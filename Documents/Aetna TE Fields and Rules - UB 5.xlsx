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52205817\source\WebDE UB\UB\"/>
    </mc:Choice>
  </mc:AlternateContent>
  <xr:revisionPtr revIDLastSave="0" documentId="13_ncr:1_{CA6D48CF-4681-4F94-8DAB-B8B5A30B8B96}" xr6:coauthVersionLast="47" xr6:coauthVersionMax="47" xr10:uidLastSave="{00000000-0000-0000-0000-000000000000}"/>
  <bookViews>
    <workbookView xWindow="-110" yWindow="-110" windowWidth="19420" windowHeight="11500" tabRatio="632" activeTab="1" xr2:uid="{00000000-000D-0000-FFFF-FFFF00000000}"/>
  </bookViews>
  <sheets>
    <sheet name="UB Fields" sheetId="14" r:id="rId1"/>
    <sheet name="OCR2DE Rules" sheetId="15" r:id="rId2"/>
    <sheet name="Output Fields_OLD" sheetId="16" state="hidden" r:id="rId3"/>
    <sheet name="Final Edit Rules" sheetId="23" r:id="rId4"/>
    <sheet name="Reject Rules" sheetId="22" r:id="rId5"/>
    <sheet name="Reject Rules (2)" sheetId="24" r:id="rId6"/>
    <sheet name="Output Fields" sheetId="18" r:id="rId7"/>
    <sheet name="OutputPrep Rules Old" sheetId="17" r:id="rId8"/>
    <sheet name="OutputPrep Rules" sheetId="26" r:id="rId9"/>
    <sheet name="Multi-page Changes" sheetId="25" r:id="rId10"/>
    <sheet name="OCR2WDE-UB-SQL" sheetId="20" r:id="rId11"/>
    <sheet name="UB-Fields-SQL" sheetId="19" r:id="rId12"/>
  </sheets>
  <definedNames>
    <definedName name="_xlnm._FilterDatabase" localSheetId="1" hidden="1">'OCR2DE Rules'!$A$1:$M$92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79" i="14" l="1"/>
  <c r="P378" i="14"/>
  <c r="P377" i="14"/>
  <c r="P376" i="14"/>
  <c r="P363" i="14"/>
  <c r="P364" i="14"/>
  <c r="P365" i="14"/>
  <c r="P366" i="14"/>
  <c r="P367" i="14"/>
  <c r="P368" i="14"/>
  <c r="P369" i="14"/>
  <c r="P370" i="14"/>
  <c r="P371" i="14"/>
  <c r="P372" i="14"/>
  <c r="P373" i="14"/>
  <c r="P374" i="14"/>
  <c r="P375" i="14"/>
  <c r="P380" i="14"/>
  <c r="P381" i="14"/>
  <c r="P382" i="14"/>
  <c r="P383" i="14"/>
  <c r="P350" i="14"/>
  <c r="P351" i="14"/>
  <c r="P352" i="14"/>
  <c r="P353" i="14"/>
  <c r="P354" i="14"/>
  <c r="P355" i="14"/>
  <c r="P356" i="14"/>
  <c r="P357" i="14"/>
  <c r="P358" i="14"/>
  <c r="P359" i="14"/>
  <c r="P360" i="14"/>
  <c r="P361" i="14"/>
  <c r="P362" i="14"/>
  <c r="P333" i="14"/>
  <c r="P334" i="14"/>
  <c r="P335" i="14"/>
  <c r="P336" i="14"/>
  <c r="P337" i="14"/>
  <c r="P338" i="14"/>
  <c r="P339" i="14"/>
  <c r="P340" i="14"/>
  <c r="P341" i="14"/>
  <c r="P342" i="14"/>
  <c r="P343" i="14"/>
  <c r="P344" i="14"/>
  <c r="P345" i="14"/>
  <c r="P346" i="14"/>
  <c r="P347" i="14"/>
  <c r="P348" i="14"/>
  <c r="P349" i="14"/>
  <c r="P332" i="14"/>
  <c r="M120" i="18"/>
  <c r="M130" i="18"/>
  <c r="M124" i="18" l="1"/>
  <c r="M122" i="18"/>
  <c r="M121" i="18"/>
  <c r="M119" i="18"/>
  <c r="M118" i="18"/>
  <c r="M117" i="18"/>
  <c r="M116" i="18"/>
  <c r="M115" i="18"/>
  <c r="M114" i="18"/>
  <c r="M113" i="18"/>
  <c r="M112" i="18"/>
  <c r="M111" i="18"/>
  <c r="M107" i="18"/>
  <c r="M106" i="18"/>
  <c r="M324" i="18"/>
  <c r="M325" i="18"/>
  <c r="M326" i="18"/>
  <c r="M327" i="18"/>
  <c r="M328" i="18"/>
  <c r="M329" i="18"/>
  <c r="M330" i="18"/>
  <c r="M331" i="18"/>
  <c r="M332" i="18"/>
  <c r="M333" i="18"/>
  <c r="M334" i="18"/>
  <c r="M335" i="18"/>
  <c r="M336" i="18"/>
  <c r="M337" i="18"/>
  <c r="M338" i="18"/>
  <c r="M339" i="18"/>
  <c r="M340" i="18"/>
  <c r="M341" i="18"/>
  <c r="M342" i="18"/>
  <c r="M343" i="18"/>
  <c r="M344" i="18"/>
  <c r="M345" i="18"/>
  <c r="M346" i="18"/>
  <c r="M323" i="18"/>
  <c r="M322" i="18"/>
  <c r="M321" i="18"/>
  <c r="M320" i="18"/>
  <c r="M319" i="18"/>
  <c r="M318" i="18"/>
  <c r="M317" i="18"/>
  <c r="M316" i="18"/>
  <c r="M315" i="18"/>
  <c r="M314" i="18"/>
  <c r="M313" i="18"/>
  <c r="M312" i="18"/>
  <c r="M304" i="18"/>
  <c r="M307" i="18"/>
  <c r="M308" i="18"/>
  <c r="M309" i="18"/>
  <c r="M310" i="18"/>
  <c r="M311" i="18"/>
  <c r="M306" i="18"/>
  <c r="M305" i="18"/>
  <c r="M303" i="18"/>
  <c r="M302" i="18"/>
  <c r="M285" i="18"/>
  <c r="M286" i="18"/>
  <c r="M287" i="18"/>
  <c r="M288" i="18"/>
  <c r="M289" i="18"/>
  <c r="M290" i="18"/>
  <c r="M291" i="18"/>
  <c r="M292" i="18"/>
  <c r="M293" i="18"/>
  <c r="M294" i="18"/>
  <c r="M295" i="18"/>
  <c r="M296" i="18"/>
  <c r="M297" i="18"/>
  <c r="M298" i="18"/>
  <c r="M299" i="18"/>
  <c r="M300" i="18"/>
  <c r="M301" i="18"/>
  <c r="M284" i="18"/>
  <c r="M272" i="18"/>
  <c r="M273" i="18"/>
  <c r="M274" i="18"/>
  <c r="M275" i="18"/>
  <c r="M276" i="18"/>
  <c r="M277" i="18"/>
  <c r="M278" i="18"/>
  <c r="M279" i="18"/>
  <c r="M280" i="18"/>
  <c r="M281" i="18"/>
  <c r="M282" i="18"/>
  <c r="M283" i="18"/>
  <c r="M271" i="18"/>
  <c r="M267" i="18"/>
  <c r="M266" i="18"/>
  <c r="M265" i="18"/>
  <c r="M264" i="18"/>
  <c r="M263" i="18"/>
  <c r="M262" i="18"/>
  <c r="M261" i="18"/>
  <c r="M260" i="18"/>
  <c r="M250" i="18"/>
  <c r="M251" i="18"/>
  <c r="M252" i="18"/>
  <c r="M253" i="18"/>
  <c r="M254" i="18"/>
  <c r="M255" i="18"/>
  <c r="M256" i="18"/>
  <c r="M257" i="18"/>
  <c r="M258" i="18"/>
  <c r="M259" i="18"/>
  <c r="M206" i="18"/>
  <c r="M207" i="18"/>
  <c r="M208" i="18"/>
  <c r="M209" i="18"/>
  <c r="M210" i="18"/>
  <c r="M211" i="18"/>
  <c r="M212" i="18"/>
  <c r="M213" i="18"/>
  <c r="M214" i="18"/>
  <c r="M215" i="18"/>
  <c r="M216" i="18"/>
  <c r="M217" i="18"/>
  <c r="M218" i="18"/>
  <c r="M219" i="18"/>
  <c r="M220" i="18"/>
  <c r="M221" i="18"/>
  <c r="M222" i="18"/>
  <c r="M223" i="18"/>
  <c r="M224" i="18"/>
  <c r="M225" i="18"/>
  <c r="M226" i="18"/>
  <c r="M227" i="18"/>
  <c r="M228" i="18"/>
  <c r="M229" i="18"/>
  <c r="M230" i="18"/>
  <c r="M231" i="18"/>
  <c r="M232" i="18"/>
  <c r="M233" i="18"/>
  <c r="M234" i="18"/>
  <c r="M235" i="18"/>
  <c r="M236" i="18"/>
  <c r="M237" i="18"/>
  <c r="M238" i="18"/>
  <c r="M239" i="18"/>
  <c r="M240" i="18"/>
  <c r="M241" i="18"/>
  <c r="M242" i="18"/>
  <c r="M243" i="18"/>
  <c r="M244" i="18"/>
  <c r="M245" i="18"/>
  <c r="M246" i="18"/>
  <c r="M247" i="18"/>
  <c r="M248" i="18"/>
  <c r="M249" i="18"/>
  <c r="M205" i="18"/>
  <c r="M200" i="18"/>
  <c r="M199" i="18"/>
  <c r="M198" i="18"/>
  <c r="M196" i="18"/>
  <c r="M195" i="18"/>
  <c r="M194" i="18"/>
  <c r="M192" i="18"/>
  <c r="M191" i="18"/>
  <c r="M190" i="18"/>
  <c r="M188" i="18"/>
  <c r="M187" i="18"/>
  <c r="M186" i="18"/>
  <c r="M184" i="18"/>
  <c r="M183" i="18"/>
  <c r="M182" i="18"/>
  <c r="M180" i="18"/>
  <c r="M179" i="18"/>
  <c r="M178" i="18"/>
  <c r="M175" i="18"/>
  <c r="M174" i="18"/>
  <c r="M173" i="18"/>
  <c r="M172" i="18"/>
  <c r="M171" i="18"/>
  <c r="M170" i="18"/>
  <c r="M169" i="18"/>
  <c r="M166" i="18"/>
  <c r="M165" i="18"/>
  <c r="M164" i="18"/>
  <c r="M163" i="18"/>
  <c r="M162" i="18"/>
  <c r="M161" i="18"/>
  <c r="M159" i="18"/>
  <c r="M158" i="18"/>
  <c r="M157" i="18"/>
  <c r="M155" i="18"/>
  <c r="M154" i="18"/>
  <c r="M153" i="18"/>
  <c r="M151" i="18"/>
  <c r="M150" i="18"/>
  <c r="M149" i="18"/>
  <c r="M147" i="18"/>
  <c r="M146" i="18"/>
  <c r="M145" i="18"/>
  <c r="M142" i="18"/>
  <c r="M141" i="18"/>
  <c r="M140" i="18"/>
  <c r="M139" i="18"/>
  <c r="M138" i="18"/>
  <c r="M137" i="18"/>
  <c r="M136" i="18"/>
  <c r="M135" i="18"/>
  <c r="M134" i="18"/>
  <c r="M82" i="18" l="1"/>
  <c r="M83" i="18"/>
  <c r="M84" i="18"/>
  <c r="M85" i="18"/>
  <c r="M86" i="18"/>
  <c r="M87" i="18"/>
  <c r="M88" i="18"/>
  <c r="M89" i="18"/>
  <c r="M90" i="18"/>
  <c r="M91" i="18"/>
  <c r="M92" i="18"/>
  <c r="M93" i="18"/>
  <c r="M94" i="18"/>
  <c r="M95" i="18"/>
  <c r="M96" i="18"/>
  <c r="M97" i="18"/>
  <c r="M98" i="18"/>
  <c r="M99" i="18"/>
  <c r="M100" i="18"/>
  <c r="M101" i="18"/>
  <c r="M102" i="18"/>
  <c r="M103" i="18"/>
  <c r="M104" i="18"/>
  <c r="M81" i="18"/>
  <c r="M80" i="18" l="1"/>
  <c r="M79" i="18"/>
  <c r="M78" i="18"/>
  <c r="M77" i="18"/>
  <c r="M66" i="18"/>
  <c r="M67" i="18"/>
  <c r="M68" i="18"/>
  <c r="M69" i="18"/>
  <c r="M70" i="18"/>
  <c r="M71" i="18"/>
  <c r="M72" i="18"/>
  <c r="M73" i="18"/>
  <c r="M74" i="18"/>
  <c r="M75" i="18"/>
  <c r="M76" i="18"/>
  <c r="M65" i="18"/>
  <c r="M54" i="18"/>
  <c r="M55" i="18"/>
  <c r="M56" i="18"/>
  <c r="M57" i="18"/>
  <c r="M58" i="18"/>
  <c r="M59" i="18"/>
  <c r="M60" i="18"/>
  <c r="M61" i="18"/>
  <c r="M62" i="18"/>
  <c r="M63" i="18"/>
  <c r="M64" i="18"/>
  <c r="M53" i="18"/>
  <c r="M52" i="18"/>
  <c r="M51" i="18"/>
  <c r="M50" i="18"/>
  <c r="M49" i="18"/>
  <c r="M38" i="18"/>
  <c r="M39" i="18"/>
  <c r="M40" i="18"/>
  <c r="M41" i="18"/>
  <c r="M42" i="18"/>
  <c r="M43" i="18"/>
  <c r="M44" i="18"/>
  <c r="M45" i="18"/>
  <c r="M46" i="18"/>
  <c r="M47" i="18"/>
  <c r="M48" i="18"/>
  <c r="M37" i="18"/>
  <c r="M36" i="18"/>
  <c r="M35" i="18"/>
  <c r="M34" i="18"/>
  <c r="M33" i="18"/>
  <c r="M32" i="18"/>
  <c r="M31" i="18"/>
  <c r="M30" i="18"/>
  <c r="M29" i="18"/>
  <c r="M28" i="18"/>
  <c r="M27" i="18"/>
  <c r="M26" i="18"/>
  <c r="M25" i="18"/>
  <c r="M24" i="18"/>
  <c r="M23" i="18"/>
  <c r="M22" i="18"/>
  <c r="M21" i="18"/>
  <c r="M20" i="18"/>
  <c r="M19" i="18"/>
  <c r="M18" i="18"/>
  <c r="M14" i="18"/>
  <c r="M13" i="18"/>
  <c r="M8" i="18"/>
  <c r="M9" i="18"/>
  <c r="M10" i="18"/>
  <c r="M11" i="18"/>
  <c r="M12" i="18"/>
  <c r="M7" i="18"/>
  <c r="M17" i="18"/>
  <c r="M16" i="18"/>
  <c r="M15" i="18"/>
  <c r="M3" i="18"/>
  <c r="M4" i="18"/>
  <c r="M5" i="18"/>
  <c r="M6" i="18"/>
  <c r="M2" i="18"/>
  <c r="R24" i="16" l="1"/>
  <c r="R23" i="16"/>
  <c r="R296" i="16" l="1"/>
  <c r="R295" i="16"/>
  <c r="R294" i="16"/>
  <c r="R293" i="16"/>
  <c r="R292" i="16"/>
  <c r="R291" i="16"/>
  <c r="R290" i="16"/>
  <c r="R289" i="16"/>
  <c r="R288" i="16"/>
  <c r="R287" i="16"/>
  <c r="R286" i="16"/>
  <c r="R285" i="16"/>
  <c r="R284" i="16"/>
  <c r="R283" i="16"/>
  <c r="R282" i="16"/>
  <c r="R281" i="16"/>
  <c r="R280" i="16"/>
  <c r="R279" i="16"/>
  <c r="R278" i="16"/>
  <c r="R277" i="16"/>
  <c r="R276" i="16"/>
  <c r="R275" i="16"/>
  <c r="R274" i="16"/>
  <c r="R273" i="16"/>
  <c r="R272" i="16"/>
  <c r="R271" i="16"/>
  <c r="R270" i="16"/>
  <c r="R269" i="16"/>
  <c r="R268" i="16"/>
  <c r="R267" i="16"/>
  <c r="R266" i="16"/>
  <c r="R265" i="16"/>
  <c r="R264" i="16"/>
  <c r="R263" i="16"/>
  <c r="R262" i="16"/>
  <c r="R261" i="16"/>
  <c r="R260" i="16"/>
  <c r="R259" i="16"/>
  <c r="R258" i="16"/>
  <c r="R257" i="16"/>
  <c r="R256" i="16"/>
  <c r="R255" i="16"/>
  <c r="R254" i="16"/>
  <c r="R253" i="16"/>
  <c r="R252" i="16"/>
  <c r="R251" i="16"/>
  <c r="R250" i="16"/>
  <c r="R249" i="16"/>
  <c r="R248" i="16"/>
  <c r="R247" i="16"/>
  <c r="R246" i="16"/>
  <c r="R245" i="16"/>
  <c r="R244" i="16"/>
  <c r="R243" i="16"/>
  <c r="R242" i="16"/>
  <c r="R241" i="16"/>
  <c r="R240" i="16"/>
  <c r="R239" i="16"/>
  <c r="R238" i="16"/>
  <c r="R237" i="16"/>
  <c r="R236" i="16"/>
  <c r="R235" i="16"/>
  <c r="R234" i="16"/>
  <c r="R233" i="16"/>
  <c r="R232" i="16"/>
  <c r="R231" i="16"/>
  <c r="R230" i="16"/>
  <c r="R229" i="16"/>
  <c r="R228" i="16"/>
  <c r="R227" i="16"/>
  <c r="R226" i="16"/>
  <c r="R225" i="16"/>
  <c r="R224" i="16"/>
  <c r="R223" i="16"/>
  <c r="R222" i="16"/>
  <c r="R221" i="16"/>
  <c r="R220" i="16"/>
  <c r="R219" i="16"/>
  <c r="R218" i="16"/>
  <c r="R217" i="16"/>
  <c r="R216" i="16"/>
  <c r="R215" i="16"/>
  <c r="R214" i="16"/>
  <c r="R213" i="16"/>
  <c r="R212" i="16"/>
  <c r="R211" i="16"/>
  <c r="R210" i="16"/>
  <c r="R209" i="16"/>
  <c r="R208" i="16"/>
  <c r="R207" i="16"/>
  <c r="R206" i="16"/>
  <c r="R205" i="16"/>
  <c r="R204" i="16"/>
  <c r="R203" i="16"/>
  <c r="R202" i="16"/>
  <c r="R201" i="16"/>
  <c r="R200" i="16"/>
  <c r="R199" i="16"/>
  <c r="R198" i="16"/>
  <c r="R197" i="16"/>
  <c r="R196" i="16"/>
  <c r="R195" i="16"/>
  <c r="R194" i="16"/>
  <c r="R193" i="16"/>
  <c r="R192" i="16"/>
  <c r="R191" i="16"/>
  <c r="R190" i="16"/>
  <c r="R189" i="16"/>
  <c r="R188" i="16"/>
  <c r="R187" i="16"/>
  <c r="R186" i="16"/>
  <c r="R185" i="16"/>
  <c r="R184" i="16"/>
  <c r="R183" i="16"/>
  <c r="R182" i="16"/>
  <c r="R181" i="16"/>
  <c r="R180" i="16"/>
  <c r="R179" i="16"/>
  <c r="R178" i="16"/>
  <c r="R177" i="16"/>
  <c r="R176" i="16"/>
  <c r="R175" i="16"/>
  <c r="R174" i="16"/>
  <c r="R173" i="16"/>
  <c r="R172" i="16"/>
  <c r="R171" i="16"/>
  <c r="R170" i="16"/>
  <c r="R169" i="16"/>
  <c r="R168" i="16"/>
  <c r="R167" i="16"/>
  <c r="R166" i="16"/>
  <c r="R165" i="16"/>
  <c r="R164" i="16"/>
  <c r="R163" i="16"/>
  <c r="R162" i="16"/>
  <c r="R161" i="16"/>
  <c r="R160" i="16"/>
  <c r="R159" i="16"/>
  <c r="R158" i="16"/>
  <c r="R157" i="16"/>
  <c r="R156" i="16"/>
  <c r="R155" i="16"/>
  <c r="R154" i="16"/>
  <c r="R153" i="16"/>
  <c r="R152" i="16"/>
  <c r="R151" i="16"/>
  <c r="R150" i="16"/>
  <c r="R149" i="16"/>
  <c r="R148" i="16"/>
  <c r="R147" i="16"/>
  <c r="R146" i="16"/>
  <c r="R145" i="16"/>
  <c r="R144" i="16"/>
  <c r="R143" i="16"/>
  <c r="R142" i="16"/>
  <c r="R141" i="16"/>
  <c r="R140" i="16"/>
  <c r="R139" i="16"/>
  <c r="R138" i="16"/>
  <c r="R137" i="16"/>
  <c r="R136" i="16"/>
  <c r="R135" i="16"/>
  <c r="R134" i="16"/>
  <c r="R133" i="16"/>
  <c r="R132" i="16"/>
  <c r="R131" i="16"/>
  <c r="R130" i="16"/>
  <c r="R129" i="16"/>
  <c r="R128" i="16"/>
  <c r="R127" i="16"/>
  <c r="R126" i="16"/>
  <c r="R125" i="16"/>
  <c r="R124" i="16"/>
  <c r="R123" i="16"/>
  <c r="R122" i="16"/>
  <c r="R121" i="16"/>
  <c r="R120" i="16"/>
  <c r="R119" i="16"/>
  <c r="R118" i="16"/>
  <c r="R117" i="16"/>
  <c r="R116" i="16"/>
  <c r="R115" i="16"/>
  <c r="R114" i="16"/>
  <c r="R113" i="16"/>
  <c r="R112" i="16"/>
  <c r="R111" i="16"/>
  <c r="R110" i="16"/>
  <c r="R109" i="16"/>
  <c r="R108" i="16"/>
  <c r="R107" i="16"/>
  <c r="R106" i="16"/>
  <c r="R105" i="16"/>
  <c r="R104" i="16"/>
  <c r="R103" i="16"/>
  <c r="R102" i="16"/>
  <c r="R101" i="16"/>
  <c r="R100" i="16"/>
  <c r="R99" i="16"/>
  <c r="R98" i="16"/>
  <c r="R97" i="16"/>
  <c r="R96" i="16"/>
  <c r="R95" i="16"/>
  <c r="R94" i="16"/>
  <c r="R93" i="16"/>
  <c r="R92" i="16"/>
  <c r="R91" i="16"/>
  <c r="R90" i="16"/>
  <c r="R89" i="16"/>
  <c r="R88" i="16"/>
  <c r="R87" i="16"/>
  <c r="R86" i="16"/>
  <c r="R85" i="16"/>
  <c r="R84" i="16"/>
  <c r="R83" i="16"/>
  <c r="R82" i="16"/>
  <c r="R81" i="16"/>
  <c r="R80" i="16"/>
  <c r="R79" i="16"/>
  <c r="R78" i="16"/>
  <c r="R77" i="16"/>
  <c r="R76" i="16"/>
  <c r="R75" i="16"/>
  <c r="R74" i="16"/>
  <c r="R73" i="16"/>
  <c r="R72" i="16"/>
  <c r="R71" i="16"/>
  <c r="R70" i="16"/>
  <c r="R69" i="16"/>
  <c r="R68" i="16"/>
  <c r="R67" i="16"/>
  <c r="R66" i="16"/>
  <c r="R65" i="16"/>
  <c r="R64" i="16"/>
  <c r="R63" i="16"/>
  <c r="R62" i="16"/>
  <c r="R61" i="16"/>
  <c r="R60" i="16"/>
  <c r="R59" i="16"/>
  <c r="R58" i="16"/>
  <c r="R57" i="16"/>
  <c r="R56" i="16"/>
  <c r="R55" i="16"/>
  <c r="R54" i="16"/>
  <c r="R53" i="16"/>
  <c r="R52" i="16"/>
  <c r="R51" i="16"/>
  <c r="R50" i="16"/>
  <c r="R49" i="16"/>
  <c r="R48" i="16"/>
  <c r="R47" i="16"/>
  <c r="R46" i="16"/>
  <c r="R45" i="16"/>
  <c r="R44" i="16"/>
  <c r="R43" i="16"/>
  <c r="R42" i="16"/>
  <c r="R41" i="16"/>
  <c r="R40" i="16"/>
  <c r="R39" i="16"/>
  <c r="R38" i="16"/>
  <c r="R37" i="16"/>
  <c r="R36" i="16"/>
  <c r="R35" i="16"/>
  <c r="R34" i="16"/>
  <c r="R33" i="16"/>
  <c r="R32" i="16"/>
  <c r="R31" i="16"/>
  <c r="R30" i="16"/>
  <c r="R29" i="16"/>
  <c r="R28" i="16"/>
  <c r="R27" i="16"/>
  <c r="R26" i="16"/>
  <c r="R25" i="16"/>
  <c r="R22" i="16"/>
  <c r="R21" i="16"/>
  <c r="R20" i="16"/>
  <c r="R19" i="16"/>
  <c r="R18" i="16"/>
  <c r="R17" i="16"/>
  <c r="R16" i="16"/>
  <c r="R15" i="16"/>
  <c r="R14" i="16"/>
  <c r="R13" i="16"/>
  <c r="R12" i="16"/>
  <c r="R11" i="16"/>
  <c r="R10" i="16"/>
  <c r="R9" i="16"/>
  <c r="R8" i="16"/>
  <c r="R7" i="16"/>
  <c r="R6" i="16"/>
  <c r="R5" i="16"/>
  <c r="R4" i="16"/>
  <c r="R3" i="16"/>
  <c r="R2" i="16"/>
</calcChain>
</file>

<file path=xl/sharedStrings.xml><?xml version="1.0" encoding="utf-8"?>
<sst xmlns="http://schemas.openxmlformats.org/spreadsheetml/2006/main" count="17521" uniqueCount="4013">
  <si>
    <t>FieldID</t>
  </si>
  <si>
    <t>FieldName</t>
  </si>
  <si>
    <t>FieldDescription</t>
  </si>
  <si>
    <t>SourceFieldName</t>
  </si>
  <si>
    <t>DetailField</t>
  </si>
  <si>
    <t>Length</t>
  </si>
  <si>
    <t>Source rec Type</t>
  </si>
  <si>
    <t>DefaultValue</t>
  </si>
  <si>
    <t>AllowedChars</t>
  </si>
  <si>
    <t>AllowedValues</t>
  </si>
  <si>
    <t>OutputFieldName</t>
  </si>
  <si>
    <t>OutputFormat</t>
  </si>
  <si>
    <t>FieldParameters</t>
  </si>
  <si>
    <t>Notes and Questions</t>
  </si>
  <si>
    <t>SQL</t>
  </si>
  <si>
    <t>UB Box 1</t>
  </si>
  <si>
    <t>Billing Provider Line 1</t>
  </si>
  <si>
    <t>OCRProvInfo_1</t>
  </si>
  <si>
    <t>0-9,A-Z,, ,',-,.,&amp;</t>
  </si>
  <si>
    <t>CompanyName=Output XMLField:BillingProvider_Name|AllowedChars:0-9, ,-,.,',A-Z;Address1=Output XMLField:BillingProvider_Addr_Street|AllowedChars:0-9,A-Z, ,-,.,/,',&amp;,#;City=Output XMLField:BillingProvider_Addr_City|AllowedChars: ,A-Z;State=Output XMLField:BillingProvider_Addr_State|AllowedChars:A-Z;Zip=Output XMLField:BillingProvider_Addr_Zip|AllowedChars:0-9;ZipPlus=Output XMLField:BillingProvider_Addr_ZipPlus|AllowedChars:0-9</t>
  </si>
  <si>
    <t>Billing Provider Line 2</t>
  </si>
  <si>
    <t>OCRProvInfo_2</t>
  </si>
  <si>
    <t>BillingProvider_Addr_Street</t>
  </si>
  <si>
    <t>Billing Provider Line 3</t>
  </si>
  <si>
    <t>OCRProvInfo_3</t>
  </si>
  <si>
    <t>Billing Provider Line 4</t>
  </si>
  <si>
    <t>OCRProvInfo_4</t>
  </si>
  <si>
    <t>0-9</t>
  </si>
  <si>
    <t>BillingProvider_Phone</t>
  </si>
  <si>
    <t>Billing Provider - Name</t>
  </si>
  <si>
    <t>BillingProvider_Name</t>
  </si>
  <si>
    <t>0-9,A-Z, ,-,.,/,',&amp;,#</t>
  </si>
  <si>
    <t>Billing Provider - Street Address</t>
  </si>
  <si>
    <t>Billing Provider - City</t>
  </si>
  <si>
    <t>BillingProvider_Addr_City</t>
  </si>
  <si>
    <t>A-Z, ,-,/</t>
  </si>
  <si>
    <t>Billing Provider - State</t>
  </si>
  <si>
    <t>BillingProvider_Addr_State</t>
  </si>
  <si>
    <t>Billing Provider - Zip</t>
  </si>
  <si>
    <t>BillingProvider_Addr_Zip</t>
  </si>
  <si>
    <t>000000000</t>
  </si>
  <si>
    <t>Billing Provider - Zip Plus</t>
  </si>
  <si>
    <t>BillingProvider_Addr_ZipPlus</t>
  </si>
  <si>
    <t>Billing Provider - Phone</t>
  </si>
  <si>
    <t>UB Box 2</t>
  </si>
  <si>
    <t>Pay To Provider Line 1</t>
  </si>
  <si>
    <t>OCRPaytoProvInfo_1</t>
  </si>
  <si>
    <t>CompanyName=Output XMLField:PayToProvider_Name|AllowedChars:0-9, ,-,.,',A-Z;Address1=Output XMLField:PayToProvider_Addr_Street|AllowedChars:0-9,A-Z, ,-,.,/,',&amp;,#;City=Output XMLField:PayToProvider_Addr_City|AllowedChars: ,A-Z;State=Output XMLField:PayToProvider_Addr_State|AllowedChars:A-Z;Zip=Output XMLField:PayToProvider_Addr_Zip|AllowedChars:0-9;ZipPlus=Output XMLField:PayToProvider_Addr_ZipPlus|AllowedChars:0-9</t>
  </si>
  <si>
    <t>Pay To Provider Line 2</t>
  </si>
  <si>
    <t>OCRPaytoProvInfo_2</t>
  </si>
  <si>
    <t>Pay To Provider Line 3</t>
  </si>
  <si>
    <t>OCRPaytoProvInfo_3</t>
  </si>
  <si>
    <t>Pay To Provider Line 4</t>
  </si>
  <si>
    <t>OCRPaytoProvInfo_4</t>
  </si>
  <si>
    <t>Pay To Provider - Org Name</t>
  </si>
  <si>
    <t>PayToProvider_Name</t>
  </si>
  <si>
    <t>A-Z, ,',-,.,</t>
  </si>
  <si>
    <t>Pay To Provider - Street Address</t>
  </si>
  <si>
    <t>PayToProvider_Addr_Street</t>
  </si>
  <si>
    <t>Pay To Provider - City</t>
  </si>
  <si>
    <t>PayToProvider_Addr_City</t>
  </si>
  <si>
    <t xml:space="preserve"> ,A-Z</t>
  </si>
  <si>
    <t>Pay To Provider - State</t>
  </si>
  <si>
    <t>PayToProvider_Addr_State</t>
  </si>
  <si>
    <t>Pay To Provider - Zip</t>
  </si>
  <si>
    <t>PayToProvider_Addr_Zip</t>
  </si>
  <si>
    <t>Pay To Provider - Zip Plus</t>
  </si>
  <si>
    <t>PayToProvider_Addr_ZipPLus</t>
  </si>
  <si>
    <t>UB Box 3a</t>
  </si>
  <si>
    <t>Patient Control Number</t>
  </si>
  <si>
    <t>OCRPatCtl</t>
  </si>
  <si>
    <t>A-Z,0-9</t>
  </si>
  <si>
    <t>UB Box 3b</t>
  </si>
  <si>
    <t>Medical Record Number</t>
  </si>
  <si>
    <t>OCRMedRecNo</t>
  </si>
  <si>
    <t>A-Z,0-9,-</t>
  </si>
  <si>
    <t>UB Box 4</t>
  </si>
  <si>
    <t>Type of Bill</t>
  </si>
  <si>
    <t>OCRBillType</t>
  </si>
  <si>
    <t>UB Box 5</t>
  </si>
  <si>
    <t>Federal Tax Number</t>
  </si>
  <si>
    <t>OCRFedID</t>
  </si>
  <si>
    <t>UB Box 6</t>
  </si>
  <si>
    <t>Statement Cover Period From</t>
  </si>
  <si>
    <t>OCRStmtDateFrom</t>
  </si>
  <si>
    <t>0-9,/</t>
  </si>
  <si>
    <t>Formatters=DateFormat:MMDDYY</t>
  </si>
  <si>
    <t>Statement Cover Period Through</t>
  </si>
  <si>
    <t>OCRStmtDateTo</t>
  </si>
  <si>
    <t>UB Box 7</t>
  </si>
  <si>
    <t>Box 7 - Line 1</t>
  </si>
  <si>
    <t>OCRNotUsedBlock11_1</t>
  </si>
  <si>
    <t>Box 7 - Line 2</t>
  </si>
  <si>
    <t>OCRNotUsedBlock11_2</t>
  </si>
  <si>
    <t>UB Box 8a</t>
  </si>
  <si>
    <t>Patient ID</t>
  </si>
  <si>
    <t>OCRPatientID</t>
  </si>
  <si>
    <t>UB Box 8b</t>
  </si>
  <si>
    <t>Patient Name</t>
  </si>
  <si>
    <t>OCRPatName</t>
  </si>
  <si>
    <t>NameLast=Output XMLField:Patient_Name_Last|AllowedChars:A-Z, ,',-,.,;NameFirst=Output XMLField:Patient_Name_First|AllowedChars: ,A-Z|Formatters:ReplaceWithSpace(-);NameMiddle=Output XMLField:Patient_Name_Middle|AllowedChars: ,A-Z</t>
  </si>
  <si>
    <t>Patient Name - Last</t>
  </si>
  <si>
    <t>Patient_Name_Last</t>
  </si>
  <si>
    <t>Patient Name - First</t>
  </si>
  <si>
    <t>Patient_Name_First</t>
  </si>
  <si>
    <t>Patient Name - Middle</t>
  </si>
  <si>
    <t>Patient_Name_Middle</t>
  </si>
  <si>
    <t>A-Z</t>
  </si>
  <si>
    <t>Patient Name - Prefix</t>
  </si>
  <si>
    <t>Patient_Name_Prefix</t>
  </si>
  <si>
    <t>Patient Name - Suffix</t>
  </si>
  <si>
    <t>Patient_Name_Suffix</t>
  </si>
  <si>
    <t>Patient Name - Generation</t>
  </si>
  <si>
    <t>Patient_Name_Gen</t>
  </si>
  <si>
    <t>UB Box 9a</t>
  </si>
  <si>
    <t>Patient Address - Street</t>
  </si>
  <si>
    <t>OCRPatAddress_Street</t>
  </si>
  <si>
    <t>UB Box 9b</t>
  </si>
  <si>
    <t>Patient Address - City</t>
  </si>
  <si>
    <t>OCRPatAddress_City</t>
  </si>
  <si>
    <t>UB Box 9c</t>
  </si>
  <si>
    <t>Patient Address - State</t>
  </si>
  <si>
    <t>OCRPatAddress_State</t>
  </si>
  <si>
    <t>UB Box 9d</t>
  </si>
  <si>
    <t>Patient Address - Zip</t>
  </si>
  <si>
    <t>OCRPatAddress_Zip</t>
  </si>
  <si>
    <t>Patient Addrress - Zip Plus</t>
  </si>
  <si>
    <t>Patient_Addr_ZipPlus</t>
  </si>
  <si>
    <t>UB Box 9e</t>
  </si>
  <si>
    <t>Patient Address - Country Code</t>
  </si>
  <si>
    <t>OCRPatAddress_CC</t>
  </si>
  <si>
    <t>UB Box 10</t>
  </si>
  <si>
    <t>Patient Birthdate</t>
  </si>
  <si>
    <t>OCRPatDOB</t>
  </si>
  <si>
    <t>Formatters=DateFormat:MMDDYYYY</t>
  </si>
  <si>
    <t>UB Box 11</t>
  </si>
  <si>
    <t>Sex</t>
  </si>
  <si>
    <t>OCRPatSex</t>
  </si>
  <si>
    <t>M,F,U</t>
  </si>
  <si>
    <t>UB Box 12</t>
  </si>
  <si>
    <t>Admission - Date</t>
  </si>
  <si>
    <t>OCRAdmitDate</t>
  </si>
  <si>
    <t>UB Box 13</t>
  </si>
  <si>
    <t>Admission - Hour</t>
  </si>
  <si>
    <t>OCRAdmitHour</t>
  </si>
  <si>
    <t>00,01,02,03,04,05,06,07,08,09,10,11,12,13,14,15,16,17,18,19,20,21,22,23,99,0,1,2,3,4,5,6,7,8,9</t>
  </si>
  <si>
    <t>Formatters=PadLeft:2|0</t>
  </si>
  <si>
    <t>UB Box 14</t>
  </si>
  <si>
    <t>Admission - Type</t>
  </si>
  <si>
    <t>OCRAdmitType</t>
  </si>
  <si>
    <t>1,2,3,4,5,9</t>
  </si>
  <si>
    <t>UB Box 15</t>
  </si>
  <si>
    <t>Admission - Source</t>
  </si>
  <si>
    <t>OCRAdmitSource</t>
  </si>
  <si>
    <t>1,2,4,5,6,8,9,D,E,F</t>
  </si>
  <si>
    <t>UB Box 16</t>
  </si>
  <si>
    <t>Discharge Hour (DHR)</t>
  </si>
  <si>
    <t>OCRDischargeHour</t>
  </si>
  <si>
    <t>UB Box 17</t>
  </si>
  <si>
    <t>Discharge Status</t>
  </si>
  <si>
    <t>OCRDischargeStat</t>
  </si>
  <si>
    <t>UB Box 18</t>
  </si>
  <si>
    <t>Condition Codes 1</t>
  </si>
  <si>
    <t>OCRInsCondCode1</t>
  </si>
  <si>
    <t>UB Box 19</t>
  </si>
  <si>
    <t>Condition Codes 2</t>
  </si>
  <si>
    <t>OCRInsCondCode2</t>
  </si>
  <si>
    <t>UB Box 20</t>
  </si>
  <si>
    <t>Condition Codes 3</t>
  </si>
  <si>
    <t>OCRInsCondCode3</t>
  </si>
  <si>
    <t>UB Box 21</t>
  </si>
  <si>
    <t>Condition Codes 4</t>
  </si>
  <si>
    <t>OCRInsCondCode4</t>
  </si>
  <si>
    <t>UB Box 22</t>
  </si>
  <si>
    <t>Condition Codes 5</t>
  </si>
  <si>
    <t>OCRInsCondCode5</t>
  </si>
  <si>
    <t>UB Box 23</t>
  </si>
  <si>
    <t>Condition Codes 6</t>
  </si>
  <si>
    <t>OCRInsCondCode6</t>
  </si>
  <si>
    <t>UB Box 24</t>
  </si>
  <si>
    <t>Condition Codes 7</t>
  </si>
  <si>
    <t>OCRInsCondCode7</t>
  </si>
  <si>
    <t>UB Box 25</t>
  </si>
  <si>
    <t>Condition Codes 8</t>
  </si>
  <si>
    <t>OCRInsCondCode8</t>
  </si>
  <si>
    <t>UB Box 26</t>
  </si>
  <si>
    <t>Condition Codes 9</t>
  </si>
  <si>
    <t>OCRInsCondCode9</t>
  </si>
  <si>
    <t>UB Box 27</t>
  </si>
  <si>
    <t>Condition Codes 10</t>
  </si>
  <si>
    <t>OCRInsCondCode10</t>
  </si>
  <si>
    <t>UB Box 28</t>
  </si>
  <si>
    <t>Condition Codes 11</t>
  </si>
  <si>
    <t>OCRInsCondCode11</t>
  </si>
  <si>
    <t>UB Box 29</t>
  </si>
  <si>
    <t>Accident State</t>
  </si>
  <si>
    <t>OCRACDTstate</t>
  </si>
  <si>
    <t>UB Box 30</t>
  </si>
  <si>
    <t>???</t>
  </si>
  <si>
    <t>OCRNotUsedBlock31</t>
  </si>
  <si>
    <t>UB Box 31a</t>
  </si>
  <si>
    <t>Occurrence Code 1a</t>
  </si>
  <si>
    <t>OCROccurCodes1A</t>
  </si>
  <si>
    <t>Occurrence Date 1a</t>
  </si>
  <si>
    <t>OCROccurDates1A</t>
  </si>
  <si>
    <t>Formatters=DateFormat:MMDDCCYY</t>
  </si>
  <si>
    <t>UB Box 31b</t>
  </si>
  <si>
    <t>Occurrence Code 1b</t>
  </si>
  <si>
    <t>OCROccurCodes1B</t>
  </si>
  <si>
    <t>Occurrence Date 1b</t>
  </si>
  <si>
    <t>OCROccurDates1B</t>
  </si>
  <si>
    <t>UB Box 32a</t>
  </si>
  <si>
    <t>Occurrence Code 2a</t>
  </si>
  <si>
    <t>OCROccurCodes2A</t>
  </si>
  <si>
    <t>Occurrence Date 2a</t>
  </si>
  <si>
    <t>OCROccurDates2A</t>
  </si>
  <si>
    <t>UB Box 32b</t>
  </si>
  <si>
    <t>Occurrence Code 2b</t>
  </si>
  <si>
    <t>OCROccurCodes2B</t>
  </si>
  <si>
    <t>Occurrence Date 2b</t>
  </si>
  <si>
    <t>OCROccurDates2B</t>
  </si>
  <si>
    <t>UB Box 33a</t>
  </si>
  <si>
    <t>Occurrence Code 3a</t>
  </si>
  <si>
    <t>OCROccurCodes3A</t>
  </si>
  <si>
    <t>Occurrence Date 3a</t>
  </si>
  <si>
    <t>OCROccurDates3A</t>
  </si>
  <si>
    <t>UB Box 33b</t>
  </si>
  <si>
    <t>Occurrence Code 3b</t>
  </si>
  <si>
    <t>OCROccurCodes3B</t>
  </si>
  <si>
    <t>Occurrence Date 3b</t>
  </si>
  <si>
    <t>OCROccurDates3B</t>
  </si>
  <si>
    <t>UB Box 34a</t>
  </si>
  <si>
    <t>Occurrence Code 4a</t>
  </si>
  <si>
    <t>OCROccurCodes4A</t>
  </si>
  <si>
    <t>Occurrence Date 4a</t>
  </si>
  <si>
    <t>OCROccurDates4A</t>
  </si>
  <si>
    <t>UB Box 34b</t>
  </si>
  <si>
    <t>Occurrence Code 4b</t>
  </si>
  <si>
    <t>OCROccurCodes4B</t>
  </si>
  <si>
    <t>Occurrence Date 4b</t>
  </si>
  <si>
    <t>OCROccurDates4B</t>
  </si>
  <si>
    <t>UB Box 35a</t>
  </si>
  <si>
    <t>Occurrence Span Code 1a</t>
  </si>
  <si>
    <t>OCROccurSpanCdsA</t>
  </si>
  <si>
    <t>Occurrence Span From 1a</t>
  </si>
  <si>
    <t>OCROccurDateFromA</t>
  </si>
  <si>
    <t>Occurrence Span Through 1a</t>
  </si>
  <si>
    <t>OCROccurDateToA</t>
  </si>
  <si>
    <t>UB Box 35b</t>
  </si>
  <si>
    <t>Occurrence Span Code 1b</t>
  </si>
  <si>
    <t>OCROccurSpanCdsB</t>
  </si>
  <si>
    <t>Occurrence Span From 1b</t>
  </si>
  <si>
    <t>OCROccurDateFromB</t>
  </si>
  <si>
    <t>Occurrence Span Through 1b</t>
  </si>
  <si>
    <t>OCROccurDateToB</t>
  </si>
  <si>
    <t>UB Box 36a</t>
  </si>
  <si>
    <t>Occurrence Span Code 2a</t>
  </si>
  <si>
    <t>OCROccurSpanCds2A</t>
  </si>
  <si>
    <t>Occurrence Span From 2a</t>
  </si>
  <si>
    <t>OCROccurDateFrom2A</t>
  </si>
  <si>
    <t>Occurrence Span Through 2a</t>
  </si>
  <si>
    <t>OCROccurDateTo2A</t>
  </si>
  <si>
    <t>UB Box 36b</t>
  </si>
  <si>
    <t>Occurrence Span Code 2b</t>
  </si>
  <si>
    <t>OCROccurSpanCds2B</t>
  </si>
  <si>
    <t>Occurrence Span From 2b</t>
  </si>
  <si>
    <t>OCROccurDateFrom2B</t>
  </si>
  <si>
    <t>Occurrence Span Through 2b</t>
  </si>
  <si>
    <t>OCROccurDateTo2B</t>
  </si>
  <si>
    <t>UB Box 37a</t>
  </si>
  <si>
    <t>?</t>
  </si>
  <si>
    <t>OCRInternCtlNbrsA</t>
  </si>
  <si>
    <t>UB Box 37b</t>
  </si>
  <si>
    <t>OCRInternCtlNbrsB</t>
  </si>
  <si>
    <t>UB Box 38</t>
  </si>
  <si>
    <t>Responsible Party - Line 1</t>
  </si>
  <si>
    <t>OCRRespPartyInfo_1</t>
  </si>
  <si>
    <t>CompanyName=Output XMLField:ResponsibleParty_Name|AllowedChars:0-9, ,-,.,',A-Z|Formatters:ReplaceWithSpace(-);Address1=Output XMLField:ResponsibleParty_Addr_Street|AllowedChars:0-9,A-Z, ,-,.,/,',&amp;,#;City=Output XMLField:ResponsibleParty_Addr_City|AllowedChars: ,A-Z;State=Output XMLField:ResponsibleParty_Addr_State|AllowedChars:A-Z;Zip=Output XMLField:ResponsibleParty_Addr_Zip|AllowedChars:0-9;ZipPlus=Output XMLField:ResponsibleParty_Addr_ZipPlus|AllowedChars:0-9</t>
  </si>
  <si>
    <t>Responsible Party - Line 2</t>
  </si>
  <si>
    <t>OCRRespPartyInfo_2</t>
  </si>
  <si>
    <t>Responsible Party - Line 3</t>
  </si>
  <si>
    <t>OCRRespPartyInfo_3</t>
  </si>
  <si>
    <t>Responsible Party - Line 4</t>
  </si>
  <si>
    <t>OCRRespPartyInfo_4</t>
  </si>
  <si>
    <t>Responsible Party - Name</t>
  </si>
  <si>
    <t>ResponsibleParty_Name</t>
  </si>
  <si>
    <t>Responsible Party - Street Address</t>
  </si>
  <si>
    <t>ResponsibleParty_Addr_Street</t>
  </si>
  <si>
    <t>Responsible Party - City</t>
  </si>
  <si>
    <t>ResponsibleParty_Addr_City</t>
  </si>
  <si>
    <t>Responsible Party - State</t>
  </si>
  <si>
    <t>ResponsibleParty_Addr_State</t>
  </si>
  <si>
    <t>Responsible Party - Zip</t>
  </si>
  <si>
    <t>ResponsibleParty_Addr_Zip</t>
  </si>
  <si>
    <t>Responsible Party - Zip Plus</t>
  </si>
  <si>
    <t>ResponsibleParty_Addr_ZipPLus</t>
  </si>
  <si>
    <t>UB Box 39a</t>
  </si>
  <si>
    <t>Value Codes - Code 1a</t>
  </si>
  <si>
    <t>OCRValueCodes1A</t>
  </si>
  <si>
    <t>Value Codes - Amount 1a</t>
  </si>
  <si>
    <t>OCRValueAmts1A</t>
  </si>
  <si>
    <t>UB Box 39b</t>
  </si>
  <si>
    <t>Value Codes - Code 1b</t>
  </si>
  <si>
    <t>OCRValueCodes1B</t>
  </si>
  <si>
    <t>Value Codes - Amount 1b</t>
  </si>
  <si>
    <t>OCRValueAmts1B</t>
  </si>
  <si>
    <t>UB Box 39c</t>
  </si>
  <si>
    <t>Value Codes - Code 1c</t>
  </si>
  <si>
    <t>OCRValueCodes1C</t>
  </si>
  <si>
    <t>Value Codes - Amount 1c</t>
  </si>
  <si>
    <t>OCRValueAmts1C</t>
  </si>
  <si>
    <t>UB Box 39d</t>
  </si>
  <si>
    <t>Value Codes - Code 1d</t>
  </si>
  <si>
    <t>OCRValueCodes1D</t>
  </si>
  <si>
    <t>Value Codes - Amount 1d</t>
  </si>
  <si>
    <t>OCRValueAmts1D</t>
  </si>
  <si>
    <t>UB Box 40a</t>
  </si>
  <si>
    <t>Value Codes - Code 2a</t>
  </si>
  <si>
    <t>OCRValueCodes2A</t>
  </si>
  <si>
    <t>Value Codes - Amount 2a</t>
  </si>
  <si>
    <t>OCRValueAmts2A</t>
  </si>
  <si>
    <t>UB Box 40b</t>
  </si>
  <si>
    <t>Value Codes - Code 2b</t>
  </si>
  <si>
    <t>OCRValueCodes2B</t>
  </si>
  <si>
    <t>Value Codes - Amount 2b</t>
  </si>
  <si>
    <t>OCRValueAmts2B</t>
  </si>
  <si>
    <t>UB Box 40c</t>
  </si>
  <si>
    <t>Value Codes - Code 2c</t>
  </si>
  <si>
    <t>OCRValueCodes2C</t>
  </si>
  <si>
    <t>Value Codes - Amount 2c</t>
  </si>
  <si>
    <t>OCRValueAmts2C</t>
  </si>
  <si>
    <t>UB Box 40d</t>
  </si>
  <si>
    <t>Value Codes - Code 2d</t>
  </si>
  <si>
    <t>OCRValueCodes2D</t>
  </si>
  <si>
    <t>Value Codes - Amount 2d</t>
  </si>
  <si>
    <t>OCRValueAmts2D</t>
  </si>
  <si>
    <t>UB Box 41a</t>
  </si>
  <si>
    <t>Value Codes - Code 3a</t>
  </si>
  <si>
    <t>OCRValueCodes3A</t>
  </si>
  <si>
    <t>Value Codes - Amount 3a</t>
  </si>
  <si>
    <t>OCRValueAmts3A</t>
  </si>
  <si>
    <t>UB Box 41b</t>
  </si>
  <si>
    <t>Value Codes - Code 3b</t>
  </si>
  <si>
    <t>OCRValueCodes3B</t>
  </si>
  <si>
    <t>Value Codes - Amount 3b</t>
  </si>
  <si>
    <t>OCRValueAmts3B</t>
  </si>
  <si>
    <t>UB Box 41c</t>
  </si>
  <si>
    <t>Value Codes - Code 3c</t>
  </si>
  <si>
    <t>OCRValueCodes3C</t>
  </si>
  <si>
    <t>Value Codes - Amount 3c</t>
  </si>
  <si>
    <t>OCRValueAmts3C</t>
  </si>
  <si>
    <t>UB Box 41d</t>
  </si>
  <si>
    <t>Value Codes - Code 3d</t>
  </si>
  <si>
    <t>OCRValueCodes3D</t>
  </si>
  <si>
    <t>Value Codes - Amount 3d</t>
  </si>
  <si>
    <t>OCRValueAmts3D</t>
  </si>
  <si>
    <t>UB Box 42</t>
  </si>
  <si>
    <t>Revenue Code</t>
  </si>
  <si>
    <t>OCRRevCodes</t>
  </si>
  <si>
    <t>UB Box 43</t>
  </si>
  <si>
    <t>Description</t>
  </si>
  <si>
    <t>OCRDescriptions</t>
  </si>
  <si>
    <t>NDCCodeQualField = NDC_Code_Qual; NDCCodeField = NDC_Code; NDCUnitsQualField = NDC_Units_Qual; NDCUnitsField = NDC_Units</t>
  </si>
  <si>
    <t>UB Box 43 - NDC</t>
  </si>
  <si>
    <t>NDC Code Qualifier</t>
  </si>
  <si>
    <t>NDC_Code_Qual</t>
  </si>
  <si>
    <t>NDC Code</t>
  </si>
  <si>
    <t>NDC_Code</t>
  </si>
  <si>
    <t>NDC Units Qualifier</t>
  </si>
  <si>
    <t>NDC_Units_Qual</t>
  </si>
  <si>
    <t>A-Z,0-9,/</t>
  </si>
  <si>
    <t>NDC Units</t>
  </si>
  <si>
    <t>NDC_Units</t>
  </si>
  <si>
    <t>A-Z,0-9,.</t>
  </si>
  <si>
    <t>UB Box 44</t>
  </si>
  <si>
    <t>HCPCS/Rate/HIPPS Code</t>
  </si>
  <si>
    <t>OCRProcCodes</t>
  </si>
  <si>
    <t>0-9,A-Z,.</t>
  </si>
  <si>
    <t>ProcCode</t>
  </si>
  <si>
    <t>Proc Code</t>
  </si>
  <si>
    <t>Modifier 1</t>
  </si>
  <si>
    <t>Modifier_1</t>
  </si>
  <si>
    <t>Modifier 2</t>
  </si>
  <si>
    <t>Modifier_2</t>
  </si>
  <si>
    <t>Modifier 3</t>
  </si>
  <si>
    <t>Modifier_3</t>
  </si>
  <si>
    <t>Modifier 4</t>
  </si>
  <si>
    <t>Modifier_4</t>
  </si>
  <si>
    <t>UB Box 45</t>
  </si>
  <si>
    <t>Service Date</t>
  </si>
  <si>
    <t>OCRServiceDates</t>
  </si>
  <si>
    <t>UB Box 46</t>
  </si>
  <si>
    <t>Service Units</t>
  </si>
  <si>
    <t>OCRServiceUnits</t>
  </si>
  <si>
    <t>0-9,.</t>
  </si>
  <si>
    <t>UB Box 47</t>
  </si>
  <si>
    <t>Total Charges</t>
  </si>
  <si>
    <t>OCRDetailCharges</t>
  </si>
  <si>
    <t>0-9,-,.</t>
  </si>
  <si>
    <t>UB Box 48</t>
  </si>
  <si>
    <t>Non-Covered Charges</t>
  </si>
  <si>
    <t>OCRNonCvdChgs</t>
  </si>
  <si>
    <t>UB Box 49</t>
  </si>
  <si>
    <t>OCRNotUsedBlock491</t>
  </si>
  <si>
    <t>UB Totals</t>
  </si>
  <si>
    <t>Revenue Code - Total</t>
  </si>
  <si>
    <t>OCRRevCodes_TotalChg</t>
  </si>
  <si>
    <t>Page Number</t>
  </si>
  <si>
    <t>OCRPageCurrent</t>
  </si>
  <si>
    <t>Total Pages</t>
  </si>
  <si>
    <t>OCRPageTotal</t>
  </si>
  <si>
    <t>Creation Date</t>
  </si>
  <si>
    <t>OCRCreationDate</t>
  </si>
  <si>
    <t>OCRTotalCharge</t>
  </si>
  <si>
    <t>Total Non-Covered Charges</t>
  </si>
  <si>
    <t>OCRNONCovTotalCharge</t>
  </si>
  <si>
    <t>OCRNotUsedBlock4923</t>
  </si>
  <si>
    <t>UB Box 50A</t>
  </si>
  <si>
    <t>Payer Name A</t>
  </si>
  <si>
    <t>OCRPayersA</t>
  </si>
  <si>
    <t>0-9, ,A-Z</t>
  </si>
  <si>
    <t>UB Box 50B</t>
  </si>
  <si>
    <t>Payer Name B</t>
  </si>
  <si>
    <t>OCRPayersB</t>
  </si>
  <si>
    <t>UB Box 50C</t>
  </si>
  <si>
    <t>Payer Name C</t>
  </si>
  <si>
    <t>OCRPayersC</t>
  </si>
  <si>
    <t>UB Box 50</t>
  </si>
  <si>
    <t>Payer Name - Aetna Medicaid</t>
  </si>
  <si>
    <t>PlanName_AetnaMedicaid</t>
  </si>
  <si>
    <t>Payer Name - COB</t>
  </si>
  <si>
    <t>PlanName_COB</t>
  </si>
  <si>
    <t>UB Box 51A</t>
  </si>
  <si>
    <t>Health Plan ID A</t>
  </si>
  <si>
    <t>OCRProviderNosA</t>
  </si>
  <si>
    <t>UB Box 51B</t>
  </si>
  <si>
    <t>Health Plan ID B</t>
  </si>
  <si>
    <t>OCRProviderNosB</t>
  </si>
  <si>
    <t>UB Box 51C</t>
  </si>
  <si>
    <t>Health Plan ID C</t>
  </si>
  <si>
    <t>OCRProviderNosC</t>
  </si>
  <si>
    <t>UB Box 52A</t>
  </si>
  <si>
    <t>Release Info A</t>
  </si>
  <si>
    <t>OCRRelInfoIndsA</t>
  </si>
  <si>
    <t>UB Box 52B</t>
  </si>
  <si>
    <t>Release Info B</t>
  </si>
  <si>
    <t>OCRRelInfoIndsB</t>
  </si>
  <si>
    <t>UB Box 52C</t>
  </si>
  <si>
    <t>Release Info C</t>
  </si>
  <si>
    <t>OCRRelInfoIndsC</t>
  </si>
  <si>
    <t>UB Box 53A</t>
  </si>
  <si>
    <t>Assignment of Benefits A</t>
  </si>
  <si>
    <t>OCRBenAssignIndsA</t>
  </si>
  <si>
    <t>UB Box 53B</t>
  </si>
  <si>
    <t>Assignment of Benefits B</t>
  </si>
  <si>
    <t>OCRBenAssignIndsB</t>
  </si>
  <si>
    <t>UB Box 53C</t>
  </si>
  <si>
    <t>Assignment of Benefits C</t>
  </si>
  <si>
    <t>OCRBenAssignIndsC</t>
  </si>
  <si>
    <t>UB Box 54A</t>
  </si>
  <si>
    <t>Prior Payments A</t>
  </si>
  <si>
    <t>OCRPriorPaymentsA</t>
  </si>
  <si>
    <t>UB Box 54B</t>
  </si>
  <si>
    <t>Prior Payments B</t>
  </si>
  <si>
    <t>OCRPriorPaymentsB</t>
  </si>
  <si>
    <t>UB Box 54C</t>
  </si>
  <si>
    <t>Prior Payments C</t>
  </si>
  <si>
    <t>OCRPriorPaymentsC</t>
  </si>
  <si>
    <t>UB Box 55A</t>
  </si>
  <si>
    <t>Estimated Amounts Due A</t>
  </si>
  <si>
    <t>OCREstAmtsDueA</t>
  </si>
  <si>
    <t>UB Box 55B</t>
  </si>
  <si>
    <t>Estimated Amounts Due B</t>
  </si>
  <si>
    <t>OCREstAmtsDueB</t>
  </si>
  <si>
    <t>UB Box 55C</t>
  </si>
  <si>
    <t>Estimated Amounts Due C</t>
  </si>
  <si>
    <t>OCREstAmtsDueC</t>
  </si>
  <si>
    <t>UB Box 56</t>
  </si>
  <si>
    <t>NPI</t>
  </si>
  <si>
    <t>OCRNPI</t>
  </si>
  <si>
    <t>UB Box 57A</t>
  </si>
  <si>
    <t>Other Provider ID A</t>
  </si>
  <si>
    <t>OCROtherProvIDA</t>
  </si>
  <si>
    <t>UB Box 57B</t>
  </si>
  <si>
    <t>Other Provider ID B</t>
  </si>
  <si>
    <t>OCROtherProvIDB</t>
  </si>
  <si>
    <t>UB Box 57C</t>
  </si>
  <si>
    <t>Other Provider ID C</t>
  </si>
  <si>
    <t>OCROtherProvIDC</t>
  </si>
  <si>
    <t>UB Box 58A</t>
  </si>
  <si>
    <t>Insured Name A</t>
  </si>
  <si>
    <t>OCRInsNamesA</t>
  </si>
  <si>
    <t>0-9,A-Z, ,-,.,/,',&amp;,#,,,</t>
  </si>
  <si>
    <t>NameLast=Output XMLField:Insured_Name_Last_A|AllowedChars:A-Z, ,',-,.,;NameFirst=Output XMLField:Insured_Name_First_A|AllowedChars: ,A-Z|Formatters:ReplaceWithSpace(-);NameMiddle=Output XMLField:Insured_Name_Middle_A|AllowedChars: ,A-Z;NamePrefix=Output XMLField:Insured_Name_Prefix_A|AllowedChars:0-9, ,A-Z;NameSuffix=Output XMLField:Insured_Name_Suffix_A|AllowedChars:0-9, ,A-Z;NameGeneration=Output XMLField:Insured_Name_Gen_A|AllowedChars:0-9, ,A-Z</t>
  </si>
  <si>
    <t>UB Box 58B</t>
  </si>
  <si>
    <t>Insured Name B</t>
  </si>
  <si>
    <t>OCRInsNamesB</t>
  </si>
  <si>
    <t>NameLast=Output XMLField:Insured_Name_Last_B|AllowedChars:A-Z, ,',-,.,;NameFirst=Output XMLField:Insured_Name_First_B|AllowedChars: ,A-Z|Formatters:ReplaceWithSpace(-);NameMiddle=Output XMLField:Insured_Name_Middle_B|AllowedChars: ,A-Z;NamePrefix=Output XMLField:Insured_Name_Prefix_B|AllowedChars:0-9, ,A-Z;NameSuffix=Output XMLField:Insured_Name_Suffix_B|AllowedChars:0-9, ,A-Z;NameGeneration=Output XMLField:Insured_Name_Gen_B|AllowedChars:0-9, ,A-Z</t>
  </si>
  <si>
    <t>UB Box 58C</t>
  </si>
  <si>
    <t>Insured Name C</t>
  </si>
  <si>
    <t>OCRInsNamesC</t>
  </si>
  <si>
    <t>NameLast=Output XMLField:Insured_Name_Last_C|AllowedChars:A-Z, ,',-,.,;NameFirst=Output XMLField:Insured_Name_First_C|AllowedChars: ,A-Z|Formatters:ReplaceWithSpace(-);NameMiddle=Output XMLField:Insured_Name_Middle_C|AllowedChars: ,A-Z;NamePrefix=Output XMLField:Insured_Name_Prefix_C|AllowedChars:0-9, ,A-Z;NameSuffix=Output XMLField:Insured_Name_Suffix_C|AllowedChars:0-9, ,A-Z;NameGeneration=Output XMLField:Insured_Name_Gen_C|AllowedChars:0-9, ,A-Z</t>
  </si>
  <si>
    <t>Insured Name A - Last</t>
  </si>
  <si>
    <t>Insured_Name_Last_A</t>
  </si>
  <si>
    <t>Insured Name A - First</t>
  </si>
  <si>
    <t>Insured_Name_First_A</t>
  </si>
  <si>
    <t>Insured Name A - MI</t>
  </si>
  <si>
    <t>Insured_Name_Middle_A</t>
  </si>
  <si>
    <t>Insured Name A - Prefix</t>
  </si>
  <si>
    <t>Insured_Name_Prefix_A</t>
  </si>
  <si>
    <t>Insured Name A - Suffix</t>
  </si>
  <si>
    <t>Insured_Name_Suffix_A</t>
  </si>
  <si>
    <t>Insured Name A - Generation</t>
  </si>
  <si>
    <t>Insured_Name_Gen_A</t>
  </si>
  <si>
    <t>Insured Name B - Last</t>
  </si>
  <si>
    <t>Insured_Name_Last_B</t>
  </si>
  <si>
    <t>Insured Name B - First</t>
  </si>
  <si>
    <t>Insured_Name_First_B</t>
  </si>
  <si>
    <t>Insured Name B - MI</t>
  </si>
  <si>
    <t>Insured_Name_Middle_B</t>
  </si>
  <si>
    <t>Insured Name B - Prefix</t>
  </si>
  <si>
    <t>Insured_Name_Prefix_B</t>
  </si>
  <si>
    <t>Insured Name B - Suffix</t>
  </si>
  <si>
    <t>Insured_Name_Suffix_B</t>
  </si>
  <si>
    <t>Insured Name B - Generation</t>
  </si>
  <si>
    <t>Insured_Name_Gen_B</t>
  </si>
  <si>
    <t>Insured Name C - Last</t>
  </si>
  <si>
    <t>Insured_Name_Last_C</t>
  </si>
  <si>
    <t>Insured Name C - First</t>
  </si>
  <si>
    <t>Insured_Name_First_C</t>
  </si>
  <si>
    <t>Insured Name C - MI</t>
  </si>
  <si>
    <t>Insured_Name_Middle_C</t>
  </si>
  <si>
    <t>Insured Name C - Prefix</t>
  </si>
  <si>
    <t>Insured_Name_Prefix_C</t>
  </si>
  <si>
    <t>Insured Name C - Suffix</t>
  </si>
  <si>
    <t>Insured_Name_Suffix_C</t>
  </si>
  <si>
    <t>Insured Name C - Generation</t>
  </si>
  <si>
    <t>Insured_Name_Gen_C</t>
  </si>
  <si>
    <t>UB Box 59A</t>
  </si>
  <si>
    <t>Patient Relationship A</t>
  </si>
  <si>
    <t>OCRPatRelsA</t>
  </si>
  <si>
    <t>UB Box 59B</t>
  </si>
  <si>
    <t>Patient Relationship B</t>
  </si>
  <si>
    <t>OCRPatRelsB</t>
  </si>
  <si>
    <t>UB Box 59C</t>
  </si>
  <si>
    <t>Patient Relationship C</t>
  </si>
  <si>
    <t>OCRPatRelsC</t>
  </si>
  <si>
    <t>UB Box 60A</t>
  </si>
  <si>
    <t>Insured Unique ID A</t>
  </si>
  <si>
    <t>OCRInsIDsA</t>
  </si>
  <si>
    <t>UB Box 60B</t>
  </si>
  <si>
    <t>Insured Unique ID B</t>
  </si>
  <si>
    <t>OCRInsIDsB</t>
  </si>
  <si>
    <t>UB Box 60D</t>
  </si>
  <si>
    <t>Insured Unique ID C</t>
  </si>
  <si>
    <t>OCRInsIDsC</t>
  </si>
  <si>
    <t>UB Box 60</t>
  </si>
  <si>
    <t>Insured ID - Aetna Medicaid</t>
  </si>
  <si>
    <t>InsID_AetnaMedicaid</t>
  </si>
  <si>
    <t>Insured ID - COB</t>
  </si>
  <si>
    <t>InsID_COB</t>
  </si>
  <si>
    <t>UB Box 61A</t>
  </si>
  <si>
    <t>Group Name A</t>
  </si>
  <si>
    <t>OCRGroupsA</t>
  </si>
  <si>
    <t>A-Z, ,0-9</t>
  </si>
  <si>
    <t>UB Box 61B</t>
  </si>
  <si>
    <t>Group Name B</t>
  </si>
  <si>
    <t>OCRGroupsB</t>
  </si>
  <si>
    <t>UB Box 61C</t>
  </si>
  <si>
    <t>Group Name C</t>
  </si>
  <si>
    <t>OCRGroupsC</t>
  </si>
  <si>
    <t>UB Box 62A</t>
  </si>
  <si>
    <t>Insurance Group No A</t>
  </si>
  <si>
    <t>OCRGroupNosA</t>
  </si>
  <si>
    <t>UB Box 62B</t>
  </si>
  <si>
    <t>Insurance Group No B</t>
  </si>
  <si>
    <t>OCRGroupNosB</t>
  </si>
  <si>
    <t>UB Box 62C</t>
  </si>
  <si>
    <t>Insurance Group No C</t>
  </si>
  <si>
    <t>OCRGroupNosC</t>
  </si>
  <si>
    <t>UB Box 63A</t>
  </si>
  <si>
    <t>Treatment Authorization Codes A</t>
  </si>
  <si>
    <t>OCRTreatAuthCdsA</t>
  </si>
  <si>
    <t>UB Box 63B</t>
  </si>
  <si>
    <t>Treatment Authorization Codes B</t>
  </si>
  <si>
    <t>OCRTreatAuthCdsB</t>
  </si>
  <si>
    <t>UB Box 63C</t>
  </si>
  <si>
    <t>Treatment Authorization Codes C</t>
  </si>
  <si>
    <t>OCRTreatAuthCdsC</t>
  </si>
  <si>
    <t>UB Box 64A</t>
  </si>
  <si>
    <t>Document Control Number A</t>
  </si>
  <si>
    <t>OCRDocCtlNumA</t>
  </si>
  <si>
    <t>UB Box 64B</t>
  </si>
  <si>
    <t>Document Control Number B</t>
  </si>
  <si>
    <t>OCRDocCtlNumB</t>
  </si>
  <si>
    <t>UB Box 64C</t>
  </si>
  <si>
    <t>Document Control Number C</t>
  </si>
  <si>
    <t>OCRDocCtlNumC</t>
  </si>
  <si>
    <t>UB Box 65A</t>
  </si>
  <si>
    <t>Employer Name A</t>
  </si>
  <si>
    <t>OCREmpNamesA</t>
  </si>
  <si>
    <t>Formatters=RemoveDoubleBlanks</t>
  </si>
  <si>
    <t>UB Box 65B</t>
  </si>
  <si>
    <t>Employer Name B</t>
  </si>
  <si>
    <t>OCREmpNamesB</t>
  </si>
  <si>
    <t>UB Box 65C</t>
  </si>
  <si>
    <t>Employer Name C</t>
  </si>
  <si>
    <t>OCREmpNamesC</t>
  </si>
  <si>
    <t>UB Box 66</t>
  </si>
  <si>
    <t>DX</t>
  </si>
  <si>
    <t>OCRDXsignifier</t>
  </si>
  <si>
    <t>N</t>
  </si>
  <si>
    <t>0,N</t>
  </si>
  <si>
    <t>UB Box 67</t>
  </si>
  <si>
    <t>Principal Diag Code</t>
  </si>
  <si>
    <t>OCRPrinDiagCode</t>
  </si>
  <si>
    <t>Principal Diag Code POA</t>
  </si>
  <si>
    <t>OCRPrinDiagPOA</t>
  </si>
  <si>
    <t>Y,N,U,W,1</t>
  </si>
  <si>
    <t>UB Box 67 A</t>
  </si>
  <si>
    <t>Other DX Codes A</t>
  </si>
  <si>
    <t>OCROthDiagCode1</t>
  </si>
  <si>
    <t>Other DX Codes POA A</t>
  </si>
  <si>
    <t>OCROthDiagPOA1</t>
  </si>
  <si>
    <t>UB Box 67 B</t>
  </si>
  <si>
    <t>Other DX Codes B</t>
  </si>
  <si>
    <t>OCROthDiagCode2</t>
  </si>
  <si>
    <t>Other DX Codes POA B</t>
  </si>
  <si>
    <t>OCROthDiagPOA2</t>
  </si>
  <si>
    <t>UB Box 67 C</t>
  </si>
  <si>
    <t>Other DX Codes C</t>
  </si>
  <si>
    <t>OCROthDiagCode3</t>
  </si>
  <si>
    <t>Other DX Codes POA C</t>
  </si>
  <si>
    <t>OCROthDiagPOA3</t>
  </si>
  <si>
    <t>UB Box 67 D</t>
  </si>
  <si>
    <t>Other DX Codes D</t>
  </si>
  <si>
    <t>OCROthDiagCode4</t>
  </si>
  <si>
    <t>Other DX Codes POA D</t>
  </si>
  <si>
    <t>OCROthDiagPOA4</t>
  </si>
  <si>
    <t>UB Box 67 E</t>
  </si>
  <si>
    <t>Other DX Codes E</t>
  </si>
  <si>
    <t>OCROthDiagCode5</t>
  </si>
  <si>
    <t>Other DX Codes POA E</t>
  </si>
  <si>
    <t>OCROthDiagPOA5</t>
  </si>
  <si>
    <t>UB Box 67 F</t>
  </si>
  <si>
    <t>Other DX Codes F</t>
  </si>
  <si>
    <t>OCROthDiagCode6</t>
  </si>
  <si>
    <t>Other DX Codes POA F</t>
  </si>
  <si>
    <t>OCROthDiagPOA6</t>
  </si>
  <si>
    <t>UB Box 67 G</t>
  </si>
  <si>
    <t>Other DX Codes G</t>
  </si>
  <si>
    <t>OCROthDiagCode7</t>
  </si>
  <si>
    <t>Other DX Codes POA G</t>
  </si>
  <si>
    <t>OCROthDiagPOA7</t>
  </si>
  <si>
    <t>UB Box 67 H</t>
  </si>
  <si>
    <t>Other DX Codes H</t>
  </si>
  <si>
    <t>OCROthDiagCode8</t>
  </si>
  <si>
    <t>Other DX Codes POA H</t>
  </si>
  <si>
    <t>OCROthDiagPOA8</t>
  </si>
  <si>
    <t>UB Box 67 I</t>
  </si>
  <si>
    <t>Other DX Codes I</t>
  </si>
  <si>
    <t>OCROtherDiagCode9</t>
  </si>
  <si>
    <t>OCROthDiagCode9</t>
  </si>
  <si>
    <t>Other DX Codes POA I</t>
  </si>
  <si>
    <t>OCROtherDiagPOA9</t>
  </si>
  <si>
    <t>OCROthDiagPOA9</t>
  </si>
  <si>
    <t>UB Box 67 J</t>
  </si>
  <si>
    <t>Other DX Codes J</t>
  </si>
  <si>
    <t>OCROtherDiagCode10</t>
  </si>
  <si>
    <t>OCROthDiagCode10</t>
  </si>
  <si>
    <t>Other DX Codes POA J</t>
  </si>
  <si>
    <t>OCROtherDiagPOA10</t>
  </si>
  <si>
    <t>OCROthDiagPOA10</t>
  </si>
  <si>
    <t>UB Box 67 K</t>
  </si>
  <si>
    <t>Other DX Codes K</t>
  </si>
  <si>
    <t>OCROtherDiagCode11</t>
  </si>
  <si>
    <t>OCROthDiagCode11</t>
  </si>
  <si>
    <t>Other DX Codes POA K</t>
  </si>
  <si>
    <t>OCROtherDiagPOA11</t>
  </si>
  <si>
    <t>OCROthDiagPOA11</t>
  </si>
  <si>
    <t>UB Box 67 L</t>
  </si>
  <si>
    <t>Other DX Codes L</t>
  </si>
  <si>
    <t>OCROtherDiagCode12</t>
  </si>
  <si>
    <t>OCROthDiagCode12</t>
  </si>
  <si>
    <t>Other DX Codes POA L</t>
  </si>
  <si>
    <t>OCROtherDiagPOA12</t>
  </si>
  <si>
    <t>OCROthDiagPOA12</t>
  </si>
  <si>
    <t>UB Box 67 M</t>
  </si>
  <si>
    <t>Other DX Codes M</t>
  </si>
  <si>
    <t>OCROtherDiagCode13</t>
  </si>
  <si>
    <t>OCROthDiagCode13</t>
  </si>
  <si>
    <t>OCROtherDiagPOA13</t>
  </si>
  <si>
    <t>OCROthDiagPOA13</t>
  </si>
  <si>
    <t>UB Box 67 N</t>
  </si>
  <si>
    <t>Other DX Codes N</t>
  </si>
  <si>
    <t>OCROtherDiagCode14</t>
  </si>
  <si>
    <t>OCROthDiagCode14</t>
  </si>
  <si>
    <t>Other DX Codes POA N</t>
  </si>
  <si>
    <t>OCROtherDiagPOA14</t>
  </si>
  <si>
    <t>OCROthDiagPOA14</t>
  </si>
  <si>
    <t>UB Box 67 O</t>
  </si>
  <si>
    <t>Other DX Codes O</t>
  </si>
  <si>
    <t>OCROtherDiagCode15</t>
  </si>
  <si>
    <t>OCROthDiagCode15</t>
  </si>
  <si>
    <t>Other DX Codes POA O</t>
  </si>
  <si>
    <t>OCROtherDiagPOA15</t>
  </si>
  <si>
    <t>OCROthDiagPOA15</t>
  </si>
  <si>
    <t>UB Box 67 P</t>
  </si>
  <si>
    <t>Other DX Codes P</t>
  </si>
  <si>
    <t>OCROtherDiagCode16</t>
  </si>
  <si>
    <t>OCROthDiagCode16</t>
  </si>
  <si>
    <t>Other DX Codes POA P</t>
  </si>
  <si>
    <t>OCROtherDiagPOA16</t>
  </si>
  <si>
    <t>OCROthDiagPOA16</t>
  </si>
  <si>
    <t>UB Box 67 Q</t>
  </si>
  <si>
    <t>Other DX Codes Q</t>
  </si>
  <si>
    <t>OCROtherDiagCode17</t>
  </si>
  <si>
    <t>OCROthDiagCode17</t>
  </si>
  <si>
    <t>Other DX Codes POA Q</t>
  </si>
  <si>
    <t>OCROtherDiagPOA17</t>
  </si>
  <si>
    <t>OCROthDiagPOA17</t>
  </si>
  <si>
    <t>UB Box 68 A</t>
  </si>
  <si>
    <t>Admitting Diagnosis Code A</t>
  </si>
  <si>
    <t>OCR68DRGA</t>
  </si>
  <si>
    <t>UB Box 68 B</t>
  </si>
  <si>
    <t>Admitting Diagnosis Code B</t>
  </si>
  <si>
    <t>OCR68DRGB</t>
  </si>
  <si>
    <t>UB Box 69</t>
  </si>
  <si>
    <t>Admitting Diagnosis</t>
  </si>
  <si>
    <t>OCRAdmitDiagCode</t>
  </si>
  <si>
    <t>UB Box 70 a</t>
  </si>
  <si>
    <t>Patient Reason DX Code a</t>
  </si>
  <si>
    <t>OCRPatReasonDX1</t>
  </si>
  <si>
    <t>UB Box 70 b</t>
  </si>
  <si>
    <t>Patient Reason DX Code b</t>
  </si>
  <si>
    <t>OCRPatReasonDX2</t>
  </si>
  <si>
    <t>UB Box 70 c</t>
  </si>
  <si>
    <t>Patient Reason DX Code c</t>
  </si>
  <si>
    <t>OCRPatReasonDX3</t>
  </si>
  <si>
    <t>UB Box 71</t>
  </si>
  <si>
    <t>PPS Code</t>
  </si>
  <si>
    <t>OCRPPSCode</t>
  </si>
  <si>
    <t>UB Box 72 a</t>
  </si>
  <si>
    <t>External Cause of Injury a</t>
  </si>
  <si>
    <t>OCRECode</t>
  </si>
  <si>
    <t>External Cause of Injury POA a</t>
  </si>
  <si>
    <t>OCRECodePOA</t>
  </si>
  <si>
    <t>UB Box 72 b</t>
  </si>
  <si>
    <t>External Cause of Injury b</t>
  </si>
  <si>
    <t>OCRECode2</t>
  </si>
  <si>
    <t>External Cause of Injury POA b</t>
  </si>
  <si>
    <t>OCRECode2POA</t>
  </si>
  <si>
    <t>UB Box 72 c</t>
  </si>
  <si>
    <t>External Cause of Injury c</t>
  </si>
  <si>
    <t>OCRECode3</t>
  </si>
  <si>
    <t>External Cause of Injury POA c</t>
  </si>
  <si>
    <t>OCRECode3POA</t>
  </si>
  <si>
    <t>UB Box 73</t>
  </si>
  <si>
    <t>73 Unlabeled</t>
  </si>
  <si>
    <t>OCRNotUsedBlock78</t>
  </si>
  <si>
    <t>UB Box 74</t>
  </si>
  <si>
    <t>Principal Procedure Code</t>
  </si>
  <si>
    <t>OCRPrinProcCode</t>
  </si>
  <si>
    <t>Principal Procedure Date</t>
  </si>
  <si>
    <t>OCRPrinProcDate</t>
  </si>
  <si>
    <t>UB Box 74 a</t>
  </si>
  <si>
    <t>Other Procedure Code a</t>
  </si>
  <si>
    <t>OCRProcCode1</t>
  </si>
  <si>
    <t>Other Procedure Date a</t>
  </si>
  <si>
    <t>OCRProcDate1</t>
  </si>
  <si>
    <t xml:space="preserve">UB Box 74 b </t>
  </si>
  <si>
    <t>Other Procedure Code b</t>
  </si>
  <si>
    <t>OCRProcCode2</t>
  </si>
  <si>
    <t>Other Procedure Date b</t>
  </si>
  <si>
    <t>OCRProcDate2</t>
  </si>
  <si>
    <t>UB Box 74 c</t>
  </si>
  <si>
    <t>Other Procedure Code c</t>
  </si>
  <si>
    <t>OCRProcCode3</t>
  </si>
  <si>
    <t>Other Procedure Date c</t>
  </si>
  <si>
    <t>OCRProcDate3</t>
  </si>
  <si>
    <t>UB Box 74 d</t>
  </si>
  <si>
    <t>Other Procedure Code d</t>
  </si>
  <si>
    <t>OCRProcCode4</t>
  </si>
  <si>
    <t>Other Procedure Date d</t>
  </si>
  <si>
    <t>OCRProcDate4</t>
  </si>
  <si>
    <t>UB Box 74 e</t>
  </si>
  <si>
    <t>Other Procedure Code e</t>
  </si>
  <si>
    <t>OCRProcCode5</t>
  </si>
  <si>
    <t>Other Procedure Date e</t>
  </si>
  <si>
    <t>OCRProcDate5</t>
  </si>
  <si>
    <t>UB Box 75</t>
  </si>
  <si>
    <t>75 Unlabeled - Line 1</t>
  </si>
  <si>
    <t>OCRNotUsed75_1</t>
  </si>
  <si>
    <t>75 Unlabeled - Line 2</t>
  </si>
  <si>
    <t>OCRNotUsed75_2</t>
  </si>
  <si>
    <t>75 Unlabeled - Line 3</t>
  </si>
  <si>
    <t>OCRNotUsed75_3</t>
  </si>
  <si>
    <t>75 Unlabeled - Line 4</t>
  </si>
  <si>
    <t>OCRNotUsed75_4</t>
  </si>
  <si>
    <t>UB Box 76</t>
  </si>
  <si>
    <t>Attending Physician NPI</t>
  </si>
  <si>
    <t>OCRAttendPhyID_NPI</t>
  </si>
  <si>
    <t>Attending Physician Qual</t>
  </si>
  <si>
    <t>OCRAttendPhyID_QUAL</t>
  </si>
  <si>
    <t>Attending Physician ID</t>
  </si>
  <si>
    <t>OCRAttendPhyID_ID</t>
  </si>
  <si>
    <t>Attending Physician Last Name</t>
  </si>
  <si>
    <t>OCRAttendPhyID_LAST</t>
  </si>
  <si>
    <t>Attending Physician First Name</t>
  </si>
  <si>
    <t>OCRAttendPhyID_FIRST</t>
  </si>
  <si>
    <t>UB Box 77</t>
  </si>
  <si>
    <t>Operating Physician NPI</t>
  </si>
  <si>
    <t>OCRPhyOper_NPI</t>
  </si>
  <si>
    <t>Operating Physician Qual</t>
  </si>
  <si>
    <t>OCRPhyOper_QUAL</t>
  </si>
  <si>
    <t>Operating Physician ID</t>
  </si>
  <si>
    <t>OCRPhyOper_ID</t>
  </si>
  <si>
    <t>Operating Physician Last Name</t>
  </si>
  <si>
    <t>OCRPhyOper_LAST</t>
  </si>
  <si>
    <t>Operating Physician First Name</t>
  </si>
  <si>
    <t>OCRPhyOper_FIRST</t>
  </si>
  <si>
    <t>UB Box 78</t>
  </si>
  <si>
    <t>Other Physician 1 NPI Qual</t>
  </si>
  <si>
    <t>OCROthPhyID2_NPIQual</t>
  </si>
  <si>
    <t>Other Physician 1 NPI</t>
  </si>
  <si>
    <t>OCROthPhyID2_NPI</t>
  </si>
  <si>
    <t>Other Physician 1 Qual</t>
  </si>
  <si>
    <t>OCROthPhyID2_QUAL</t>
  </si>
  <si>
    <t>Operating Physician 1 ID</t>
  </si>
  <si>
    <t>OCROthPhyID2_ID</t>
  </si>
  <si>
    <t>Other Physician 1 Last Name</t>
  </si>
  <si>
    <t>OCROthPhyID2_LAST</t>
  </si>
  <si>
    <t>Other Physician 1 First Name</t>
  </si>
  <si>
    <t>OCROthPhyID2_FIRST</t>
  </si>
  <si>
    <t>UB Box 79</t>
  </si>
  <si>
    <t>Other Physician 2 NPI Qual</t>
  </si>
  <si>
    <t>OCRProvSig_NPIQual</t>
  </si>
  <si>
    <t>Other Physician 2 NPI</t>
  </si>
  <si>
    <t>OCRProvSig_NPI</t>
  </si>
  <si>
    <t>Other Physician 2 Qual</t>
  </si>
  <si>
    <t>OCRProvSig_QUAL</t>
  </si>
  <si>
    <t>0-9,A-Z</t>
  </si>
  <si>
    <t>Operating Physician 2 ID</t>
  </si>
  <si>
    <t>OCRProvSig_ID</t>
  </si>
  <si>
    <t>Other Physician 2 Last Name</t>
  </si>
  <si>
    <t>OCRProvSig_LAST</t>
  </si>
  <si>
    <t>Other Physician 2 First Name</t>
  </si>
  <si>
    <t>OCRProvSig_FIRST</t>
  </si>
  <si>
    <t>UB Box 80</t>
  </si>
  <si>
    <t>Remarks Line 1</t>
  </si>
  <si>
    <t>OCRRemarks_1</t>
  </si>
  <si>
    <t>Remarks Line 2</t>
  </si>
  <si>
    <t>OCRRemarks_2</t>
  </si>
  <si>
    <t>Remarks Line 3</t>
  </si>
  <si>
    <t>OCRRemarks_3</t>
  </si>
  <si>
    <t>Remarks Line 4</t>
  </si>
  <si>
    <t>OCRRemarks_4</t>
  </si>
  <si>
    <t>UB Box 81 a</t>
  </si>
  <si>
    <t>Code Codes a 1</t>
  </si>
  <si>
    <t>OCR81CCaA</t>
  </si>
  <si>
    <t>A1,A2,A3,A4,AC,B1,B2,B3,B4,B5,B6,B7</t>
  </si>
  <si>
    <t>Code Codes a 2</t>
  </si>
  <si>
    <t>OCR81CCbA</t>
  </si>
  <si>
    <t>Code Codes a 3</t>
  </si>
  <si>
    <t>OCR81CCcA</t>
  </si>
  <si>
    <t>UB Box 81 b</t>
  </si>
  <si>
    <t>Code Codes b 1</t>
  </si>
  <si>
    <t>OCR81CCaB</t>
  </si>
  <si>
    <t>Code Codes b 2</t>
  </si>
  <si>
    <t>OCR81CCbB</t>
  </si>
  <si>
    <t>Code Codes b 3</t>
  </si>
  <si>
    <t>OCR81CCcB</t>
  </si>
  <si>
    <t>UB Box 81 c</t>
  </si>
  <si>
    <t>Code Codes c 1</t>
  </si>
  <si>
    <t>OCR81CCaC</t>
  </si>
  <si>
    <t>Code Codes c 2</t>
  </si>
  <si>
    <t>OCR81CCbC</t>
  </si>
  <si>
    <t>Code Codes c 3</t>
  </si>
  <si>
    <t>OCR81CCcC</t>
  </si>
  <si>
    <t>UB Box 81 d</t>
  </si>
  <si>
    <t>Code Codes d 1</t>
  </si>
  <si>
    <t>OCR81CCaD</t>
  </si>
  <si>
    <t>Code Codes d 2</t>
  </si>
  <si>
    <t>OCR81CCbD</t>
  </si>
  <si>
    <t>Code Codes d 3</t>
  </si>
  <si>
    <t>OCR81CCcD</t>
  </si>
  <si>
    <t>UB Reject Code</t>
  </si>
  <si>
    <t>Reject Code</t>
  </si>
  <si>
    <t>RejectCode</t>
  </si>
  <si>
    <t>UB Dummy</t>
  </si>
  <si>
    <t>Dummy Field</t>
  </si>
  <si>
    <t>Dummy</t>
  </si>
  <si>
    <t>US 898357</t>
  </si>
  <si>
    <t>UB Box 67 Multi-page</t>
  </si>
  <si>
    <t>DiagCode</t>
  </si>
  <si>
    <t>PageFields</t>
  </si>
  <si>
    <t>DiagPOA</t>
  </si>
  <si>
    <t>DiagCodePOA</t>
  </si>
  <si>
    <t>UB Box 67 A Multi-page</t>
  </si>
  <si>
    <t>DiagCodeA</t>
  </si>
  <si>
    <t>DiagPOAA</t>
  </si>
  <si>
    <t>DiagCodeAPOA</t>
  </si>
  <si>
    <t>UB Box 67 B Multi-page</t>
  </si>
  <si>
    <t>DiagCodeB</t>
  </si>
  <si>
    <t>DiagPOAB</t>
  </si>
  <si>
    <t>DiagCodeBPOA</t>
  </si>
  <si>
    <t>UB Box 67 C Multi-page</t>
  </si>
  <si>
    <t>DiagCodeC</t>
  </si>
  <si>
    <t>DiagPOAC</t>
  </si>
  <si>
    <t>DiagCodeCPOA</t>
  </si>
  <si>
    <t>UB Box 67 D Multi-page</t>
  </si>
  <si>
    <t>DiagCodeD</t>
  </si>
  <si>
    <t>DiagPOAD</t>
  </si>
  <si>
    <t>DiagCodeDPOA</t>
  </si>
  <si>
    <t>UB Box 67 E Multi-page</t>
  </si>
  <si>
    <t>DiagCodeE</t>
  </si>
  <si>
    <t>DiagPOAE</t>
  </si>
  <si>
    <t>DiagCodeEPOA</t>
  </si>
  <si>
    <t>UB Box 67 F Multi-page</t>
  </si>
  <si>
    <t>DiagCodeF</t>
  </si>
  <si>
    <t>DiagPOAF</t>
  </si>
  <si>
    <t>DiagCodeFPOA</t>
  </si>
  <si>
    <t>UB Box 67 G Multi-page</t>
  </si>
  <si>
    <t>DiagCodeG</t>
  </si>
  <si>
    <t>DiagPOAG</t>
  </si>
  <si>
    <t>DiagCodeGPOA</t>
  </si>
  <si>
    <t>UB Box 67 H Multi-page</t>
  </si>
  <si>
    <t>DiagCodeH</t>
  </si>
  <si>
    <t>DiagPOAH</t>
  </si>
  <si>
    <t>DiagCodeHPOA</t>
  </si>
  <si>
    <t>UB Box 67 I Multi-page</t>
  </si>
  <si>
    <t>DiagCodeI</t>
  </si>
  <si>
    <t>DiagPOAI</t>
  </si>
  <si>
    <t>DiagCodeIPOA</t>
  </si>
  <si>
    <t>UB Box 67 J Multi-page</t>
  </si>
  <si>
    <t>DiagCodeJ</t>
  </si>
  <si>
    <t>DiagPOAJ</t>
  </si>
  <si>
    <t>DiagCodeJPOA</t>
  </si>
  <si>
    <t>UB Box 67 K Multi-page</t>
  </si>
  <si>
    <t>DiagCodeK</t>
  </si>
  <si>
    <t>DiagPOAK</t>
  </si>
  <si>
    <t>DiagCodeKPOA</t>
  </si>
  <si>
    <t>UB Box 67 L Multi-page</t>
  </si>
  <si>
    <t>DiagCodeL</t>
  </si>
  <si>
    <t>DiagPOAL</t>
  </si>
  <si>
    <t>DiagCodeLPOA</t>
  </si>
  <si>
    <t>UB Box 67 M Multi-page</t>
  </si>
  <si>
    <t>DiagCodeM</t>
  </si>
  <si>
    <t>DiagPOAM</t>
  </si>
  <si>
    <t>DiagCodeMPOA</t>
  </si>
  <si>
    <t>UB Box 67 N Multi-page</t>
  </si>
  <si>
    <t>DiagCodeN</t>
  </si>
  <si>
    <t>DiagPOAN</t>
  </si>
  <si>
    <t>DiagCodeNPOA</t>
  </si>
  <si>
    <t>UB Box 67 O Multi-page</t>
  </si>
  <si>
    <t>DiagCodeO</t>
  </si>
  <si>
    <t>DiagPOAO</t>
  </si>
  <si>
    <t>DiagCodeOPOA</t>
  </si>
  <si>
    <t>UB Box 67 P Multi-page</t>
  </si>
  <si>
    <t>DiagCodeP</t>
  </si>
  <si>
    <t>DiagPOAP</t>
  </si>
  <si>
    <t>DiagCodePPOA</t>
  </si>
  <si>
    <t>UB Box 67 Q Multi-page</t>
  </si>
  <si>
    <t>DiagCodeQ</t>
  </si>
  <si>
    <t>DiagPOAQ</t>
  </si>
  <si>
    <t>DiagCodeQPOA</t>
  </si>
  <si>
    <t>UB Box 74 Multi-page</t>
  </si>
  <si>
    <t>PrinProcCode</t>
  </si>
  <si>
    <t>PrinProcDate</t>
  </si>
  <si>
    <t>UB Box 74 a Multi-page</t>
  </si>
  <si>
    <t>OthProcCodeA</t>
  </si>
  <si>
    <t>OthProcDateA</t>
  </si>
  <si>
    <t>UB Box 74 b  Multi-page</t>
  </si>
  <si>
    <t>OthProcCodeB</t>
  </si>
  <si>
    <t>OthProcDateB</t>
  </si>
  <si>
    <t>UB Box 74 c Multi-page</t>
  </si>
  <si>
    <t>OthProcCodeC</t>
  </si>
  <si>
    <t>OthProcDateC</t>
  </si>
  <si>
    <t>UB Box 74 d Multi-page</t>
  </si>
  <si>
    <t>OthProcCodeD</t>
  </si>
  <si>
    <t>OthProcDateD</t>
  </si>
  <si>
    <t>UB Box 74 e Multi-page</t>
  </si>
  <si>
    <t>OthProcCodeE</t>
  </si>
  <si>
    <t>OthProcDateE</t>
  </si>
  <si>
    <t>UB Box 80 Multi-page</t>
  </si>
  <si>
    <t>Remarks1</t>
  </si>
  <si>
    <t>Remarks2</t>
  </si>
  <si>
    <t>Remarks3</t>
  </si>
  <si>
    <t>Remarks4</t>
  </si>
  <si>
    <t>Map ID</t>
  </si>
  <si>
    <t>Field ID</t>
  </si>
  <si>
    <t>Box #</t>
  </si>
  <si>
    <t>Form Field</t>
  </si>
  <si>
    <t>Source Field(s)</t>
  </si>
  <si>
    <t>Output Field</t>
  </si>
  <si>
    <t>Main/Detail</t>
  </si>
  <si>
    <t>Exec Order</t>
  </si>
  <si>
    <t>Method</t>
  </si>
  <si>
    <t>Field Parameters</t>
  </si>
  <si>
    <t>Map Parameters</t>
  </si>
  <si>
    <t>Map Rule Description</t>
  </si>
  <si>
    <t>Notes</t>
  </si>
  <si>
    <t>Main</t>
  </si>
  <si>
    <t>ParseBlock</t>
  </si>
  <si>
    <t>SourceFields=OCRProvInfo_1,OCRProvInfo_2,OCRProvInfo_3,OCRProvInfo_4;GenerationLookupTable=tblNameGenerations;GenerationLookupColumn=Generation;OrgKeyWordsLookupTable=tblOrgKeyWords;OrgKeyWordsLookupColumn=OrgKeyWord;CredentialsLookupTable=tblCredentials;CredentialsLookupColumn=Credential;NotifyIfWebAPIFails=True;ParseNameIfOrgFound=False;ClearIfCorrected=True</t>
  </si>
  <si>
    <t>Parsing entire Box 1 block fields to multiple billing provider fields</t>
  </si>
  <si>
    <t>CopyValueConditional</t>
  </si>
  <si>
    <t>Condition=@OCRProvInfo_2 != #EMPTY &amp;&amp; @OCRProvInfo_3 == #EMPTY &amp;&amp; @OCRProvInfo_4 == #EMPTY &amp;&amp; #ISNUMBER[@OCRProvInfo_2] == TRUE;SourceValue=@OCRProvInfo_2</t>
  </si>
  <si>
    <t>Copy Billing Provider Phone from Box 1 line 2 to BillingProvider_Phone Output XML field if line 2 is all numeric and line 3 and line 4 are blank</t>
  </si>
  <si>
    <t>Condition=@OCRProvInfo_3 != #EMPTY &amp;&amp; @OCRProvInfo_4 == #EMPTY &amp;&amp; #ISNUMBER[@OCRProvInfo_3] == TRUE;SourceValue=@OCRProvInfo_3</t>
  </si>
  <si>
    <t>Copy Billing Provider Phone from Box 1 line 3 to BillingProvider_Phone Output XML field if line 3 is all numeric and line 4 is blank</t>
  </si>
  <si>
    <t>Condition=@OCRProvInfo_4 != #EMPTY &amp;&amp; #ISNUMBER[@OCRProvInfo_4] == TRUE;SourceValue=@OCRProvInfo_4</t>
  </si>
  <si>
    <t>Copy Billing Provider Phone from Box 1 line 4 to BillingProvider_Phone Output XML field if line 4 is not balnk and is all numberic</t>
  </si>
  <si>
    <t>SourceFields=OCRPaytoProvInfo_1,OCRPaytoProvInfo_2,OCRPaytoProvInfo_3,OCRPaytoProvInfo_4;GenerationLookupTable=tblNameGenerations;GenerationLookupColumn=Generation;OrgKeyWordsLookupTable=tblOrgKeyWords;OrgKeyWordsLookupColumn=OrgKeyWord;CredentialsLookupTable=tblCredentials;CredentialsLookupColumn=Credential;NotifyIfWebAPIFails=True;ParseNameIfOrgFound=False;ClearIfCorrected=True</t>
  </si>
  <si>
    <t>Parsing entire Box 1 block fields to multiple PayToProvider and remove invalid chars</t>
  </si>
  <si>
    <t>3a</t>
  </si>
  <si>
    <t>CopyValue</t>
  </si>
  <si>
    <t>SourceValue=#LEFT[@OCRPatCtl,20,true]</t>
  </si>
  <si>
    <t>Copy 1st 20 chars  of the HS Insured ID Number into OCRPatCtl, remove all special chars and spaces</t>
  </si>
  <si>
    <t>3b</t>
  </si>
  <si>
    <t>SourceValue=#LEFT[@OCRMedRecNo,24,true]</t>
  </si>
  <si>
    <t>Plug OCRMedRecNo from OCR field OCRMedRecNo up to 24 and remove invalid characters</t>
  </si>
  <si>
    <t>Condition=#LENGTH[@OCRBillType]&gt;3 &amp;&amp; #LEFT[@OCRBillType,1]==0;SourceValue=#RIGHT[@OCRBillType,3,true];PlugIfFalse=True;PlugValueIfFalse=@OCRBillType</t>
  </si>
  <si>
    <t>Plug Bill Type (UB Box4). if 4 characters and first is '0', remove 0 and plug remaining 3 numeric remove all not-allowed chars</t>
  </si>
  <si>
    <t>Plug Fed. ID (UB Box 5) and remove all invalid characters</t>
  </si>
  <si>
    <t>Plug Statement From Date in format MMDDYY</t>
  </si>
  <si>
    <t>Plug Statement To Date in format MMDDYY</t>
  </si>
  <si>
    <t>8a</t>
  </si>
  <si>
    <t>Plug Patient ID and remove invalid characters</t>
  </si>
  <si>
    <t>8b</t>
  </si>
  <si>
    <t>SplitNames</t>
  </si>
  <si>
    <t>GenerationLookupTable=tblNameGenerations;GenerationLookupColumn=Generation;CredentialsLookupTable=tblCredentials;CredentialsLookupColumn=Credential;PlugOrg=False;NotifyIfWebAPIFails=True</t>
  </si>
  <si>
    <t>Split the source Patient Name into multiple fields and plug in DE_PatName_First (first name), DE_PatName_Middle (middle name), DE_PatName_Last (last name and generation), DE_PatName_Prefix (prefix), DE_PatName_Suffix (suffix) and DE_PatName_Gen (generation)</t>
  </si>
  <si>
    <t>Condition=#CONTAINS[@OCRPatName,deceased]==False;PlugIfFalse=True;PlugFieldIfTrue=@OCRPatName;DestinationFieldName=@OCRPatName;</t>
  </si>
  <si>
    <t>Clear Patient Name if it contains "deceased". Make sure this executes BEFORE patient Split Name Rule</t>
  </si>
  <si>
    <t>9a</t>
  </si>
  <si>
    <t>Plug Patient Address (UB Box 9A)</t>
  </si>
  <si>
    <t>9b</t>
  </si>
  <si>
    <t>Plug Patient City (UB Box 9B)</t>
  </si>
  <si>
    <t>9c</t>
  </si>
  <si>
    <t>PlugDBValue</t>
  </si>
  <si>
    <t>TableName=tblStates;LookupColumn=State;RetrieveColumn=Abbr</t>
  </si>
  <si>
    <t>Plug Patient State (UB Box 9C) - Looks for state code in the tblStates. If found - plug the code. Otherwise - plug OCR value.</t>
  </si>
  <si>
    <t>9d</t>
  </si>
  <si>
    <t>SplitValue</t>
  </si>
  <si>
    <t>SplitChars=-;OutputFields=OCRPatAddress_Zip,Patient_Addr_ZipPlus</t>
  </si>
  <si>
    <t>Split Patient Zip code int Patient Zip and Patient Zip Plus (if exists) (UB Box 9D). Rmeove all invalid chars.</t>
  </si>
  <si>
    <t>910</t>
  </si>
  <si>
    <t>PlugStreetAddress</t>
  </si>
  <si>
    <t>OutputFields=oOCRPatAddress_Street;CityField=OCRPatAddress_City;StateField=OCRPatAddress_State;ZipField=OCRPatAddress_Zip</t>
  </si>
  <si>
    <t>Parses the patient street address fields and standardizes the street names</t>
  </si>
  <si>
    <t>Reuse/delete</t>
  </si>
  <si>
    <t>Plug Patient DOB in format MMDDYYYY</t>
  </si>
  <si>
    <t>Plug Patient Sex</t>
  </si>
  <si>
    <t>Plug Admit Date as MMDDYY</t>
  </si>
  <si>
    <t>SourceValue=#LEFT[@OCRAdmitHour,2,true]</t>
  </si>
  <si>
    <t>Plug Admint Hour in format ## if it is from 00 to 23 or if it is 99</t>
  </si>
  <si>
    <t>Plug Admit Type (1-5,9) and remove special chars</t>
  </si>
  <si>
    <t>Plug Admit Source, remove all special chars.</t>
  </si>
  <si>
    <t>SourceValue=#LEFT[@OCRDischargeHour,2,true]</t>
  </si>
  <si>
    <t>Plug Discharge Hourin in format ## if it is from 00 to 23 or if it is 99</t>
  </si>
  <si>
    <t>Plug Discharge status and remove all invalid chars</t>
  </si>
  <si>
    <t>Plug Condition Code, remove all special chars.</t>
  </si>
  <si>
    <t>31a</t>
  </si>
  <si>
    <t>Plug Occurrence Code</t>
  </si>
  <si>
    <t>Plug Occurrence Date (MMDDYYYY)</t>
  </si>
  <si>
    <t>31b</t>
  </si>
  <si>
    <t>32a</t>
  </si>
  <si>
    <t>32b</t>
  </si>
  <si>
    <t>33a</t>
  </si>
  <si>
    <t>33b</t>
  </si>
  <si>
    <t>34a</t>
  </si>
  <si>
    <t>34b</t>
  </si>
  <si>
    <t>35a</t>
  </si>
  <si>
    <t>Condition=#DATE[@OCROccurDateFromA]&gt;1/1/1900 || @OCROccurDateToA==#EMPTY;PlugIfFalse=True;PlugFieldIfFalse=@OCROccurDateToA</t>
  </si>
  <si>
    <t>Plug OCROccurDateFromA (MMDDYYYY)</t>
  </si>
  <si>
    <t>Condition=#DATE[@OCROccurDateToA]&gt;1/1/1900 || @OCROccurDateFromA==#EMPTY;PlugIfFalse=True;PlugFieldIfFalse=@OCROccurDateFromA</t>
  </si>
  <si>
    <t>Plug OCROccurDateToA (MMDDYYYY)</t>
  </si>
  <si>
    <t>35b</t>
  </si>
  <si>
    <t>Condition=#DATE[@OCROccurDateFromB]&gt;1/1/1900 || @OCROccurDateToB==#EMPTY;PlugIfFalse=True;PlugFieldIfFalse=@OCROccurDateToB</t>
  </si>
  <si>
    <t>Plug OCROccurDateFromB (MMDDYYYY)</t>
  </si>
  <si>
    <t>Condition=#DATE[@OCROccurDateToB]&gt;1/1/1900 || @OCROccurDateFromB==#EMPTY;PlugIfFalse=True;PlugFieldIfFalse=@OCROccurDateFromB</t>
  </si>
  <si>
    <t>Plug OCROccurDateToB (MMDDYYYY)</t>
  </si>
  <si>
    <t>36a</t>
  </si>
  <si>
    <t>Condition=#DATE[@OCROccurDateFrom2A]&gt;1/1/1900 || @OCROccurDateTo2A==#EMPTY;PlugIfFalse=True;PlugFieldIfFalse=@OCROccurDateTo2A</t>
  </si>
  <si>
    <t>Plug OCROccurDateFrom2A (MMDDYYYY)</t>
  </si>
  <si>
    <t>Condition=#DATE[@OCROccurDateTo2A]&gt;1/1/1900 || @OCROccurDateFrom2A==#EMPTY;PlugIfFalse=True;PlugFieldIfFalse=@OCROccurDateFrom2A</t>
  </si>
  <si>
    <t>Plug OCROccurDateTo2A (MMDDYYYY)</t>
  </si>
  <si>
    <t>36b</t>
  </si>
  <si>
    <t>Condition=#DATE[@OCROccurDateFrom2B]&gt;1/1/1900 || @OCROccurDateTo2B==#EMPTY;PlugIfFalse=True;PlugFieldIfFalse=@OCROccurDateTo2B</t>
  </si>
  <si>
    <t>Plug OCROccurDateFrom2B (MMDDYYYY)</t>
  </si>
  <si>
    <t>Condition=#DATE[@OCROccurDateTo2B]&gt;1/1/1900 || @OCROccurDateFrom2B==#EMPTY;PlugIfFalse=True;PlugFieldIfFalse=@OCROccurDateFrom2B</t>
  </si>
  <si>
    <t>Plug OCROccurDateTo2B (MMDDYYYY)</t>
  </si>
  <si>
    <t>SourceFields=OCRRespPartyInfo_1,OCRRespPartyInfo_2,OCRRespPartyInfo_3,OCRRespPartyInfo_4;GenerationLookupTable=tblNameGenerations;GenerationLookupColumn=Generation;OrgKeyWordsLookupTable=tblOrgKeyWords;OrgKeyWordsLookupColumn=OrgKeyWord;CredentialsLookupTable=tblCredentials;CredentialsLookupColumn=Credential;NotifyIfWebAPIFails=True;ParseNameIfOrgFound=False;ClearIfCorrected=True</t>
  </si>
  <si>
    <t>Parsing 4 lines in UB Box 38 - Responsible Party and splits the data into 6 fields: Name, Street, City, State, Zip and Zi pPlus</t>
  </si>
  <si>
    <t>39a</t>
  </si>
  <si>
    <t>Plug Value Code</t>
  </si>
  <si>
    <t>CopyAmount</t>
  </si>
  <si>
    <t>Plug Value Code Amount</t>
  </si>
  <si>
    <t>39b</t>
  </si>
  <si>
    <t>39c</t>
  </si>
  <si>
    <t>39d</t>
  </si>
  <si>
    <t>40a</t>
  </si>
  <si>
    <t>40b</t>
  </si>
  <si>
    <t>40c</t>
  </si>
  <si>
    <t>40d</t>
  </si>
  <si>
    <t>41a</t>
  </si>
  <si>
    <t>41b</t>
  </si>
  <si>
    <t>41c</t>
  </si>
  <si>
    <t>41d</t>
  </si>
  <si>
    <t>Detail</t>
  </si>
  <si>
    <t>Plug Revenue Code (UB Box 42) and remove all invalid characters</t>
  </si>
  <si>
    <t>UB_SplitNDC</t>
  </si>
  <si>
    <t>NDCUnitsQualifiersTable=tblNDCUnitsQualifiers</t>
  </si>
  <si>
    <t>Split input string taken from Box 43 (Description) to NDC Qualifier, NDC, NDC Unit Qualifier and NDC Unit</t>
  </si>
  <si>
    <t>Condition=@OCRRevCodes != #EMPTY &amp;&amp; #INT[@OCRRevCodes] &gt;= 100 &amp;&amp; #INT[@OCRRevCodes] &lt; 220</t>
  </si>
  <si>
    <t>Copy the OCR value into the procedure code field if revenue code is in the range 0100 - 0219</t>
  </si>
  <si>
    <t>Bug 886434</t>
  </si>
  <si>
    <r>
      <t>ProcCode</t>
    </r>
    <r>
      <rPr>
        <sz val="11"/>
        <color theme="0" tint="-0.499984740745262"/>
        <rFont val="Calibri"/>
        <family val="2"/>
        <scheme val="minor"/>
      </rPr>
      <t>,Modifier_1,Modifier_2,Modifier_3,Modifier_4</t>
    </r>
  </si>
  <si>
    <t>SplitRanges=0-4,5-6,7-8,9-10,11-12;Condition=@OCRRevCodes == #EMPTY || #INT[@OCRRevCodes] &lt; 100 || #INT[@OCRRevCodes] &gt;= 220;OutputFields=ProcCode,Modifier_1,Modifier_2,Modifier_3,Modifier_4</t>
  </si>
  <si>
    <t>Split detail field Box 44 into 5 fields: ProcCode and up to 4 modifiers if revenue code is not in the range 0100 - 0219</t>
  </si>
  <si>
    <t>US 885523, Bug 886434</t>
  </si>
  <si>
    <t>Plug Service Date (UB Box 45) and remove all invalid characters</t>
  </si>
  <si>
    <t>Plug Service Units (UB Box 46) and remove all invalid characters</t>
  </si>
  <si>
    <t>Plug Total Charges (UB Box 47) and remove all invalid characters</t>
  </si>
  <si>
    <t>Plug Non-Covered Charges (UB Box 48) and remove all invalid characters</t>
  </si>
  <si>
    <t>Totals</t>
  </si>
  <si>
    <t>Copy Total charges and remove invaild characters</t>
  </si>
  <si>
    <t>4992</t>
  </si>
  <si>
    <t>MultiPage_PlugTotalAmount</t>
  </si>
  <si>
    <t>Condition=$HSSubmissionID != #EMPTY &amp;&amp; $HSSubmissionID != 0;Method=LASTPAGE</t>
  </si>
  <si>
    <t>Plugs the Total Charge amount from the last claim page if claim is a multi-page one</t>
  </si>
  <si>
    <t>US 898353</t>
  </si>
  <si>
    <t>Copy Total Non-Covered Charges and remove invalid characters</t>
  </si>
  <si>
    <t>UB_PlanType</t>
  </si>
  <si>
    <t>LookupTable=tblAetnaPayerKeyWords;LookupColumn=KeyWord;SourceFields=OCRPayersA,OCRPayersB,OCRPayersC;COBPlanField=PlanName_COB</t>
  </si>
  <si>
    <t>Uses all non-blank fields from UB box 30 (Payer) to determine Aetna Medicaid and COB plans.</t>
  </si>
  <si>
    <t>50A</t>
  </si>
  <si>
    <t>Plug PayersA and remove invalid characters</t>
  </si>
  <si>
    <t>50B</t>
  </si>
  <si>
    <t>Plug PayersB and remove invalid characters</t>
  </si>
  <si>
    <t>50C</t>
  </si>
  <si>
    <t>Plug PayersC and remove invalid characters</t>
  </si>
  <si>
    <t>51A</t>
  </si>
  <si>
    <t>Plug Health Plan ID A (UB Box 51A) and remove all invalid characters</t>
  </si>
  <si>
    <t>51B</t>
  </si>
  <si>
    <t>Plug Health Plan ID B (UB Box 51B) and remove all invalid characters</t>
  </si>
  <si>
    <t>51C</t>
  </si>
  <si>
    <t>Plug Health Plan ID C (UB Box 51C) and remove all invalid characters</t>
  </si>
  <si>
    <t>52A</t>
  </si>
  <si>
    <t>Plug Release Info A (UB Box 52A) and remove all invalid characters</t>
  </si>
  <si>
    <t>52B</t>
  </si>
  <si>
    <t>Plug Release Info B (UB Box 52B) and remove all invalid characters</t>
  </si>
  <si>
    <t>52C</t>
  </si>
  <si>
    <t>Plug Release Info C (UB Box 52C) and remove all invalid characters</t>
  </si>
  <si>
    <t>53A</t>
  </si>
  <si>
    <t>Plug Assignment of Benefits A (UB Box 53A) and remove all invalid characters</t>
  </si>
  <si>
    <t>53B</t>
  </si>
  <si>
    <t>Plug Assignment of Benefits B (UB Box 53B) and remove all invalid characters</t>
  </si>
  <si>
    <t>53C</t>
  </si>
  <si>
    <t>Plug Assignment of Benefits C (UB Box 53C) and remove all invalid characters</t>
  </si>
  <si>
    <t>54A</t>
  </si>
  <si>
    <t>Plug Prior Payments A (UB Box 54A) and remove all invalid characters</t>
  </si>
  <si>
    <t>54B</t>
  </si>
  <si>
    <t>Plug Prior Payments B (UB Box 54B) and remove all invalid characters</t>
  </si>
  <si>
    <t>54C</t>
  </si>
  <si>
    <t>Plug Prior Payments C (UB Box 54C) and remove all invalid characters</t>
  </si>
  <si>
    <t>55A</t>
  </si>
  <si>
    <t>Plug Estimated Amounts Due A (UB Box 55A) and remove all invalid characters</t>
  </si>
  <si>
    <t>55B</t>
  </si>
  <si>
    <t>Plug Estimated Amounts Due B (UB Box 55B) and remove all invalid characters</t>
  </si>
  <si>
    <t>55C</t>
  </si>
  <si>
    <t>Plug Estimated Amounts Due C (UB Box 55C) and remove all invalid characters</t>
  </si>
  <si>
    <t>Plug NPI (UB Box 56) and remove all invalid characters</t>
  </si>
  <si>
    <t>57A</t>
  </si>
  <si>
    <t>Plug value into UB Box 57A - Other Provider ID and remove all invalid characters</t>
  </si>
  <si>
    <t>57B</t>
  </si>
  <si>
    <t>Plug value into UB Box 57B - Other Provider ID and remove all invalid characters</t>
  </si>
  <si>
    <t>57C</t>
  </si>
  <si>
    <t>Plug value into UB Box 57C - Other Provider ID and remove all invalid characters</t>
  </si>
  <si>
    <t>58A</t>
  </si>
  <si>
    <t>Split Insured Name Box 58 Line 1 to multiple fields</t>
  </si>
  <si>
    <t>58B</t>
  </si>
  <si>
    <t>Split Insured Name Box 58 Line 2 to multiple fields</t>
  </si>
  <si>
    <t>58C</t>
  </si>
  <si>
    <t>Split Insured Name Box 58 Line 3 to multiple fields</t>
  </si>
  <si>
    <t>59A</t>
  </si>
  <si>
    <t>Plug Patient Relationship A (UB Box 59A) and remove all invalid characters</t>
  </si>
  <si>
    <t>59B</t>
  </si>
  <si>
    <t>Plug Patient Relationship B (UB Box 59B) and remove all invalid characters</t>
  </si>
  <si>
    <t>59C</t>
  </si>
  <si>
    <t>Plug Patient Relationship C (UB Box 59C) and remove all invalid characters</t>
  </si>
  <si>
    <t>60A</t>
  </si>
  <si>
    <t>Plug Insured Unique ID A (UB Box 60A) and remove all invalid characters</t>
  </si>
  <si>
    <t>60B</t>
  </si>
  <si>
    <t>Plug Insured Unique ID B (UB Box 60B) and remove all invalid characters</t>
  </si>
  <si>
    <t>60D</t>
  </si>
  <si>
    <t>Plug Insured Unique ID C (UB Box 60D) and remove all invalid characters</t>
  </si>
  <si>
    <t>UB_AetnaInsID</t>
  </si>
  <si>
    <t>SourceFields=OCRInsIDsA,OCRInsIDsB,OCRInsIDsC;PlanFields=OCRPayersA,OCRPayersB,OCRPayersC;AetnaPlanField=PlanName_AetnaMedicaid;StateField=OCRPatAddress_State;IDFormatsTable=tblAetnaIDMasks;StateColumn=State;FormatColumn=IDMask</t>
  </si>
  <si>
    <t>Plug Aetna InsID based on Aetna plan name (box 50) line # or based on ID formats per state</t>
  </si>
  <si>
    <t>Moved to OutputPrep</t>
  </si>
  <si>
    <t>61A</t>
  </si>
  <si>
    <t>SourceValue=#LEFT[@OCRGroupsA,33,true]</t>
  </si>
  <si>
    <t>Plug Group Name A (UB Box 61A) and remove all invalid characters</t>
  </si>
  <si>
    <t>61B</t>
  </si>
  <si>
    <t>SourceValue=#LEFT[@OCRGroupsB,33,true]</t>
  </si>
  <si>
    <t>Plug Group Name B (UB Box 61B) and remove all invalid characters</t>
  </si>
  <si>
    <t>61C</t>
  </si>
  <si>
    <t>SourceValue=#LEFT[@OCRGroupsC,33,true]</t>
  </si>
  <si>
    <t>Plug Group Name C (UB Box 61C) and remove all invalid characters</t>
  </si>
  <si>
    <t>62A</t>
  </si>
  <si>
    <t>Plug Insurance Group No A (UB Box 62A) and remove all invalid characters</t>
  </si>
  <si>
    <t>62B</t>
  </si>
  <si>
    <t>Plug Insurance Group No B (UB Box 62B) and remove all invalid characters</t>
  </si>
  <si>
    <t>62C</t>
  </si>
  <si>
    <t>Plug Insurance Group No C (UB Box 62C) and remove all invalid characters</t>
  </si>
  <si>
    <t>63A</t>
  </si>
  <si>
    <t>CopyMostlyNumeric</t>
  </si>
  <si>
    <t>UB Box 63A (Treatment Authorization Codes) - Splits by space and removes all not mostly numeric words, then concatinates the rest (mostly numeric) words and plug in output field name</t>
  </si>
  <si>
    <t>Bug 892318</t>
  </si>
  <si>
    <t>63B</t>
  </si>
  <si>
    <t>UB Box 63B (Treatment Authorization Codes) - Splits by space and removes all not mostly numeric words, then concatinates the rest (mostly numeric) words and plug in output field name</t>
  </si>
  <si>
    <t>63C</t>
  </si>
  <si>
    <t>UB Box 63C (Treatment Authorization Codes) - Splits by space and removes all not mostly numeric words, then concatinates the rest (mostly numeric) words and plug in output field name</t>
  </si>
  <si>
    <t>64A</t>
  </si>
  <si>
    <t>UB Box 64A (Document Control Number) - Splits by space and removes all not mostly numeric words, then concatinates the rest (mostly numeric) words and plug in output field name</t>
  </si>
  <si>
    <t>64B</t>
  </si>
  <si>
    <t>UB Box 64B (Document Control Number) - Splits by space and removes all not mostly numeric words, then concatinates the rest (mostly numeric) words and plug in output field name</t>
  </si>
  <si>
    <t>64C</t>
  </si>
  <si>
    <t>65A</t>
  </si>
  <si>
    <t>UB Box 65A (Employer Name A  ) remove invalid characters and copy data</t>
  </si>
  <si>
    <t>65B</t>
  </si>
  <si>
    <t>UB Box 65B (Employer Name B  ) remove invalid characters and copy data</t>
  </si>
  <si>
    <t>65C</t>
  </si>
  <si>
    <t>UB Box 65C (Employer Name C ) remove invalid characters and copy data</t>
  </si>
  <si>
    <t>Condition=#IN[@OCRDXsignifier,0|00|9|09|10|ICD9|ICD09|ICD10];PlugValueIfTrue=0;PlugIfFalse=True;PlugValueIfFalse=N</t>
  </si>
  <si>
    <t>Plug DX (UB Box 66) and remove all invalid characters</t>
  </si>
  <si>
    <t>Page Level</t>
  </si>
  <si>
    <t>N/A</t>
  </si>
  <si>
    <t>MultiPage_FieldsPerPage</t>
  </si>
  <si>
    <t>DetailRecType=PageFields;Fields=DiagCode:OCRPrinDiagCode,DiagPOA:OCRPrinDiagPOA,DiagCodeA:OCROthDiagCode1,DiagPOAA:OCROthDiagPOA1,DiagCodeB:OCROthDiagCode2,DiagPOAB:OCROthDiagPOA2,DiagCodeC:OCROthDiagCode3,DiagPOAC:OCROthDiagPOA3,DiagCodeD:OCROthDiagCode4,DiagPOAD:OCROthDiagPOA4,DiagCodeE:OCROthDiagCode5,DiagPOAE:OCROthDiagPOA5,DiagCodeF:OCROthDiagCode6,DiagPOAF:OCROthDiagPOA6,DiagCodeG:OCROthDiagCode7,DiagPOAG:OCROthDiagPOA7,DiagCodeH:OCROthDiagCode8,DiagPOAH:OCROthDiagPOA8,DiagCodeI:OCROtherDiagCode9,DiagPOAI:OCROtherDiagPOA9,DiagCodeJ:OCROtherDiagCode10,DiagPOAJ:OCROtherDiagPOA10,DiagCodeK:OCROtherDiagCode11,DiagPOAK:OCROtherDiagPOA11,DiagCodeL:OCROtherDiagCode12,DiagPOAL:OCROtherDiagPOA12,DiagCodeM:OCROtherDiagCode13,DiagPOAM:OCROtherDiagPOA13,DiagCodeN:OCROtherDiagCode14,DiagPOAN:OCROtherDiagPOA14,DiagCodeO:OCROtherDiagCode15,DiagPOAO:OCROtherDiagPOA15,DiagCodeP:OCROtherDiagCode16,DiagPOAP:OCROtherDiagPOA16,DiagCodeQ:OCROtherDiagCode17,DiagPOAQ:OCROtherDiagPOA17,PrinProcCode:OCRPrinProcCode,PrinProcDate:OCRPrinProcDate,OthProcCodeA:OCRProcCode1,OthProcDateA:OCRProcDate1,OthProcCodeB:OCRProcCode2,OthProcDateB:OCRProcDate2,OthProcCodeC:OCRProcCode3,OthProcDateC:OCRProcDate3,OthProcCodeD:OCRProcCode4,OthProcDateD:OCRProcDate4,OthProcCodeE:OCRProcCode5,OthProcDateE:OCRProcDate5,Remarks1:OCRRemarks#1,Remarks2:OCRRemarks#2,Remarks3:OCRRemarks#3,Remarks4:OCRRemarks#4</t>
  </si>
  <si>
    <t>Plugs all DX codes (box 67, 67A-Q), Procedure codes and dates (box 74, 74a-e) and Remarks (box 80) from each page into a separate WebDE detail record set</t>
  </si>
  <si>
    <t xml:space="preserve"> US 898353 Multi-Claim</t>
  </si>
  <si>
    <t>Plug Principal Diag Code POA (UB Box 67) and remove all invalid characters</t>
  </si>
  <si>
    <t>67 A</t>
  </si>
  <si>
    <t>Plug Other DX Codes A (UB Box 67 A) and remove all invalid characters</t>
  </si>
  <si>
    <t>Plug Other DX Codes POA A (UB Box 67 A) and remove all invalid characters</t>
  </si>
  <si>
    <t>67 B</t>
  </si>
  <si>
    <t>Plug Other DX Codes B (UB Box 67 B) and remove all invalid characters</t>
  </si>
  <si>
    <t>Plug Other DX Codes POA B (UB Box 67 B) and remove all invalid characters</t>
  </si>
  <si>
    <t>67 C</t>
  </si>
  <si>
    <t>Plug Other DX Codes C (UB Box 67 C) and remove all invalid characters</t>
  </si>
  <si>
    <t>Plug Other DX Codes POA C (UB Box 67 C) and remove all invalid characters</t>
  </si>
  <si>
    <t>67 D</t>
  </si>
  <si>
    <t>Plug Other DX Codes D (UB Box 67 D) and remove all invalid characters</t>
  </si>
  <si>
    <t>Plug Other DX Codes POA D (UB Box 67 D) and remove all invalid characters</t>
  </si>
  <si>
    <t>67 E</t>
  </si>
  <si>
    <t>Plug Other DX Codes E (UB Box 67 E) and remove all invalid characters</t>
  </si>
  <si>
    <t>Plug Other DX Codes POA E (UB Box 67 E) and remove all invalid characters</t>
  </si>
  <si>
    <t>67 F</t>
  </si>
  <si>
    <t>Plug Other DX Codes F (UB Box 67 F) and remove all invalid characters</t>
  </si>
  <si>
    <t>Plug Other DX Codes POA F (UB Box 67 F) and remove all invalid characters</t>
  </si>
  <si>
    <t>67 G</t>
  </si>
  <si>
    <t>Plug Other DX Codes G (UB Box 67 G) and remove all invalid characters</t>
  </si>
  <si>
    <t>Plug Other DX Codes POA G (UB Box 67 G) and remove all invalid characters</t>
  </si>
  <si>
    <t>67 H</t>
  </si>
  <si>
    <t>Plug Other DX Codes H (UB Box 67 H) and remove all invalid characters</t>
  </si>
  <si>
    <t>Plug Other DX Codes POA H (UB Box 67 H) and remove all invalid characters</t>
  </si>
  <si>
    <t>67 I</t>
  </si>
  <si>
    <t>Plug Other DX Codes I (UB Box 67 I) and remove all invalid characters</t>
  </si>
  <si>
    <t>Plug Other DX Codes POA I (UB Box 67 I) and remove all invalid characters</t>
  </si>
  <si>
    <t>67 J</t>
  </si>
  <si>
    <t>Plug Other DX Codes J (UB Box 67 J) and remove all invalid characters</t>
  </si>
  <si>
    <t>Plug Other DX Codes POA J (UB Box 67 J) and remove all invalid characters</t>
  </si>
  <si>
    <t>67 K</t>
  </si>
  <si>
    <t>Plug Other DX Codes K (UB Box 67 K) and remove all invalid characters</t>
  </si>
  <si>
    <t>Plug Other DX Codes POA K (UB Box 67 K) and remove all invalid characters</t>
  </si>
  <si>
    <t>67 L</t>
  </si>
  <si>
    <t>Plug Other DX Codes L (UB Box 67 L) and remove all invalid characters</t>
  </si>
  <si>
    <t>Plug Other DX Codes POA L (UB Box 67 L) and remove all invalid characters</t>
  </si>
  <si>
    <t>67 M</t>
  </si>
  <si>
    <t>Plug Other DX Codes M (UB Box 67 M) and remove all invalid characters</t>
  </si>
  <si>
    <t>Plug Other DX Codes POA L (UB Box 67 M) and remove all invalid characters</t>
  </si>
  <si>
    <t>67 N</t>
  </si>
  <si>
    <t>Plug Other DX Codes N (UB Box 67 N) and remove all invalid characters</t>
  </si>
  <si>
    <t>Plug Other DX Codes POA N (UB Box 67 N) and remove all invalid characters</t>
  </si>
  <si>
    <t>67 O</t>
  </si>
  <si>
    <t>Plug Other DX Codes O (UB Box 67 0) and remove all invalid characters</t>
  </si>
  <si>
    <t>Plug Other DX Codes POA O (UB Box 67 0) and remove all invalid characters</t>
  </si>
  <si>
    <t>67 P</t>
  </si>
  <si>
    <t>Plug Other DX Codes P (UB Box 67 P) and remove all invalid characters</t>
  </si>
  <si>
    <t>Plug Other DX Codes POA P (UB Box 67 P) and remove all invalid characters</t>
  </si>
  <si>
    <t>67 Q</t>
  </si>
  <si>
    <t>Plug Other DX Codes Q (UB Box 67 Q) and remove all invalid characters</t>
  </si>
  <si>
    <t>Plug Other DX Codes POA Q (UB Box 67 Q) and remove all invalid characters</t>
  </si>
  <si>
    <t>Plug Admitting Diagnosis (UB Box 69) and remove all invalid characters</t>
  </si>
  <si>
    <t>70 a</t>
  </si>
  <si>
    <t>Plug Patient Reason DX Code a (UB Box 70 a) and remove all invalid characters</t>
  </si>
  <si>
    <t>70 b</t>
  </si>
  <si>
    <t>Plug Patient Reason DX Code b (UB Box 70 b) and remove all invalid characters</t>
  </si>
  <si>
    <t>70 c</t>
  </si>
  <si>
    <t>Plug Patient Reason DX Code c (UB Box 70 c) and remove all invalid characters</t>
  </si>
  <si>
    <t>SourceValue=#RIGHT[@OCRPPSCode,3,true]</t>
  </si>
  <si>
    <t>Plug PPS Code (UB Box 71) and remove all invalid characters</t>
  </si>
  <si>
    <t>72 a</t>
  </si>
  <si>
    <t>Plug External Cause of Injury a (UB Box 72 a) and remove all invalid characters</t>
  </si>
  <si>
    <t>Plug External Cause of Injury POA a (UB Box 72 a) and remove all invalid charact</t>
  </si>
  <si>
    <t>72 b</t>
  </si>
  <si>
    <t>Plug External Cause of Injury b (UB Box 72 b) and remove all invalid characters</t>
  </si>
  <si>
    <t>Plug External Cause of Injury POA b (UB Box 72 b) and remove all invalid charact</t>
  </si>
  <si>
    <t>72 c</t>
  </si>
  <si>
    <t>Plug External Cause of Injury c (UB Box 72 c) and remove all invalid characters</t>
  </si>
  <si>
    <t>Plug External Cause of Injury POA c (UB Box 72 c) and remove all invalid charact</t>
  </si>
  <si>
    <t>Plug Principal Procedure Code (UB Box 74) and remove all invalid characters</t>
  </si>
  <si>
    <t>Detail
PageFields</t>
  </si>
  <si>
    <t>Plug Principal Procedure Date (UB Box 74) and remove all invalid characters</t>
  </si>
  <si>
    <t>74 a</t>
  </si>
  <si>
    <t>Plug Other Procedure Code a (UB Box 74 a) and remove all invalid characters</t>
  </si>
  <si>
    <t>Plug Other Procedure Date a (UB Box 74 a) and remove all invalid characters</t>
  </si>
  <si>
    <t xml:space="preserve">74 b </t>
  </si>
  <si>
    <t>Plug Other Procedure Code b (UB Box 74 b ) and remove all invalid characters</t>
  </si>
  <si>
    <t>Plug Other Procedure Date b (UB Box 74 b ) and remove all invalid characters</t>
  </si>
  <si>
    <t>74 c</t>
  </si>
  <si>
    <t>Plug Other Procedure Code c (UB Box 74 c) and remove all invalid characters</t>
  </si>
  <si>
    <t>Plug Other Procedure Date c (UB Box 74 c) and remove all invalid characters</t>
  </si>
  <si>
    <t>74 d</t>
  </si>
  <si>
    <t>Plug Other Procedure Code d (UB Box 74 d) and remove all invalid characters</t>
  </si>
  <si>
    <t>Plug Other Procedure Date d (UB Box 74 d) and remove all invalid characters</t>
  </si>
  <si>
    <t>74 e</t>
  </si>
  <si>
    <t>Plug Other Procedure Code e (UB Box 74 e) and remove all invalid characters</t>
  </si>
  <si>
    <t>Plug Other Procedure Date e (UB Box 74 e) and remove all invalid characters</t>
  </si>
  <si>
    <t>Plug Attending Physician NPI (UB Box 76) and remove all invalid characters</t>
  </si>
  <si>
    <t>RemoveWords</t>
  </si>
  <si>
    <t>WordsToRemoveTableList=tblCredentials,tblOrgKeyWords</t>
  </si>
  <si>
    <t>Plug Attending Physician Last Name (UB Box 76) and remove all invalid characters and words</t>
  </si>
  <si>
    <t>Plug Attending Physician First Name (UB Box 76) and remove all invalid character and words</t>
  </si>
  <si>
    <t>Plug Operating Physician Last Name (UB Box 77) and remove all invalid characters and words</t>
  </si>
  <si>
    <t>Plug Operating Physician First Name (UB Box 77) and remove all invalid character and words</t>
  </si>
  <si>
    <t>Plug Operating Physician NPI (UB Box 77) and remove all invalid characters</t>
  </si>
  <si>
    <t>Plug Operating Physician Qual (UB Box 77) and remove all invalid characters</t>
  </si>
  <si>
    <t>Plug Operating Physician ID (UB Box 77) and remove all invalid characters</t>
  </si>
  <si>
    <t>Plug Other Physician 1 NPI (UB Box 78) and remove all invalid characters</t>
  </si>
  <si>
    <t>Plug Other Physician 1 Qual (UB Box 78) and remove all invalid characters</t>
  </si>
  <si>
    <t>Plug Operating Physician 1 ID (UB Box 78) and remove all invalid characters</t>
  </si>
  <si>
    <t>Plug Other Physician 1 Last Name (UB Box 78) and remove all invalid characters  and words</t>
  </si>
  <si>
    <t>Plug Other Physician 1 First Name (UB Box 78) and remove all invalid characters  and words</t>
  </si>
  <si>
    <t>Plug Other Physician 2 Last Name (UB Box 79) and remove all invalid characters and words</t>
  </si>
  <si>
    <t>Plug Other Physician 2 First Name (UB Box 79) and remove all invalid characters  and words</t>
  </si>
  <si>
    <t>Plug Provider Sig. NPI (UB Box 79) and remove all invalid characters</t>
  </si>
  <si>
    <t>Plug Other Physician 2 Qual (UB Box 79) and remove all invalid characters</t>
  </si>
  <si>
    <t>Plug Operating Physician 2 ID (UB Box 79) and remove all invalid characters</t>
  </si>
  <si>
    <t>Plug Remarks Line 1 (UB Box 80) and remove all invalid characters</t>
  </si>
  <si>
    <t>Plug Remarks Line 2 (UB Box 80) and remove all invalid characters</t>
  </si>
  <si>
    <t>Plug Remarks Line 3 (UB Box 80) and remove all invalid characters</t>
  </si>
  <si>
    <t>Plug Remarks Line 4 (UB Box 80) and remove all invalid characters</t>
  </si>
  <si>
    <t>81 a</t>
  </si>
  <si>
    <t>Plug Code Codes a 1 (UB Box 81 a) and remove all invalid characters</t>
  </si>
  <si>
    <t>Plug Code Codes a 2 (UB Box 81 a) and remove all invalid characters</t>
  </si>
  <si>
    <t>Plug Code Codes a 3 (UB Box 81 a) and remove all invalid characters</t>
  </si>
  <si>
    <t>81 b</t>
  </si>
  <si>
    <t>Plug Code Codes b 1 (UB Box 81 b) and remove all invalid characters</t>
  </si>
  <si>
    <t>Plug Code Codes b 2 (UB Box 81 b) and remove all invalid characters</t>
  </si>
  <si>
    <t>Plug Code Codes b 3 (UB Box 81 b) and remove all invalid characters</t>
  </si>
  <si>
    <t>81 c</t>
  </si>
  <si>
    <t>Plug Code Codes c 1 (UB Box 81 c) and remove all invalid characters</t>
  </si>
  <si>
    <t>Plug Code Codes c 2 (UB Box 81 c) and remove all invalid characters</t>
  </si>
  <si>
    <t>Plug Code Codes c 3 (UB Box 81 c) and remove all invalid characters</t>
  </si>
  <si>
    <t>81 d</t>
  </si>
  <si>
    <t>Plug Code Codes d 1 (UB Box 81 d) and remove all invalid characters</t>
  </si>
  <si>
    <t>Plug Code Codes d 2 (UB Box 81 d) and remove all invalid characters</t>
  </si>
  <si>
    <t>Plug Code Codes d 3 (UB Box 81 d) and remove all invalid characters</t>
  </si>
  <si>
    <t>SourceRecType</t>
  </si>
  <si>
    <t>SourceModifiers</t>
  </si>
  <si>
    <t>Required</t>
  </si>
  <si>
    <t>ValidationRegEx</t>
  </si>
  <si>
    <t>Output UB Box 1</t>
  </si>
  <si>
    <t>NULL</t>
  </si>
  <si>
    <t>CLM-SERV-PROV-NAME-GROUP</t>
  </si>
  <si>
    <t>CLM- SERV-PROV-ADDR-STREET</t>
  </si>
  <si>
    <t>CLM- SERV-PROV-ADDR-CITY</t>
  </si>
  <si>
    <t>CLM- SERV-PROV-ADDR-STATE</t>
  </si>
  <si>
    <t>CLM- SERV-PROV-ADDR-ZIP</t>
  </si>
  <si>
    <t>ResponsibleParty_Phone</t>
  </si>
  <si>
    <t>0-9, ,-</t>
  </si>
  <si>
    <t>CLM-SERV-PROV-PHONE</t>
  </si>
  <si>
    <t>Output UB Box 2</t>
  </si>
  <si>
    <t>Pay To Provider - Last Name</t>
  </si>
  <si>
    <t>CLM-BILL-PROV-NAME-GROUP</t>
  </si>
  <si>
    <t>CLM-BILL-PROV-ADDR-STREET</t>
  </si>
  <si>
    <t>CLM-BILL-PROV-ADDR-CITY</t>
  </si>
  <si>
    <t>CLM-BILL-PROV-ADDR-STATE</t>
  </si>
  <si>
    <t>CLM-BILL-PROV-ADDR-ZIP</t>
  </si>
  <si>
    <t>Output UB Box 3a</t>
  </si>
  <si>
    <t>CLM-PATIENT-ACCOUNT-NUMBER</t>
  </si>
  <si>
    <t>Output UB Box 3b</t>
  </si>
  <si>
    <t>CLM-MED-REC-NUMBER</t>
  </si>
  <si>
    <t>Output UB Box 4</t>
  </si>
  <si>
    <t>CLM-HOSP-FACILITY-CODE
CLM-HOSP-BILL-CLASSIFICATION
CLM-HOSP-FREQUENCY-CODE</t>
  </si>
  <si>
    <t>Output UB Box 5</t>
  </si>
  <si>
    <t>CLM-BILL-PROV-ID</t>
  </si>
  <si>
    <t>Output UB Box 6</t>
  </si>
  <si>
    <t>CLM-START-CCYYMMDD</t>
  </si>
  <si>
    <t>DateFormat=YYYYMMDD</t>
  </si>
  <si>
    <t>CLM-END-CCYYMMDD</t>
  </si>
  <si>
    <t>Output UB Box 7</t>
  </si>
  <si>
    <t>Not used</t>
  </si>
  <si>
    <t>Output UB Box 8a</t>
  </si>
  <si>
    <t>CLM-PAT-ID</t>
  </si>
  <si>
    <t>Output UB Box 8b</t>
  </si>
  <si>
    <t>CLM-PAT-NAME-LAST</t>
  </si>
  <si>
    <t>CLM-PAT-NAME-FIRST</t>
  </si>
  <si>
    <t>CLM-PAT-NAME-INIT</t>
  </si>
  <si>
    <t>Output UB Box 9a</t>
  </si>
  <si>
    <t>CLM-PAT-ADDR-STREET</t>
  </si>
  <si>
    <t>Output UB Box 9b</t>
  </si>
  <si>
    <t>CLM-PAT-ADDR-CITY</t>
  </si>
  <si>
    <t>Output UB Box 9c</t>
  </si>
  <si>
    <t>CLM-PAT-ADDR-STATE</t>
  </si>
  <si>
    <t>Output UB Box 9d</t>
  </si>
  <si>
    <t>CLM-PAT-ADDR-ZIP</t>
  </si>
  <si>
    <t>Output UB Box 9e</t>
  </si>
  <si>
    <t>Output UB Box 10</t>
  </si>
  <si>
    <t>Birthdate</t>
  </si>
  <si>
    <t>CLM-PAT-DOB-CCYYMMDD</t>
  </si>
  <si>
    <t>Output UB Box 11</t>
  </si>
  <si>
    <t>CLM-PAT-GENDER</t>
  </si>
  <si>
    <t>Output UB Box 12</t>
  </si>
  <si>
    <t>CLM-HOSP-ADMIT-CCYYMMDD</t>
  </si>
  <si>
    <t>Output UB Box 13</t>
  </si>
  <si>
    <t>CLM-HOSP-ADMIT-HOUR</t>
  </si>
  <si>
    <t>Output UB Box 14</t>
  </si>
  <si>
    <t>CLM-HOSP-ADMIT-TYPE</t>
  </si>
  <si>
    <t>Output UB Box 15</t>
  </si>
  <si>
    <t>CLM-HOSP-ADMIT-SOURCE</t>
  </si>
  <si>
    <t>Output UB Box 16</t>
  </si>
  <si>
    <t>CLM-HOSP-DISCHARGE-HOUR</t>
  </si>
  <si>
    <t>Output UB Box 17</t>
  </si>
  <si>
    <t>CLM-HOSP-DISCHARGE-STATUS</t>
  </si>
  <si>
    <t>Output UB Box 18</t>
  </si>
  <si>
    <t>CLM-HOSP-CONDITION-CD</t>
  </si>
  <si>
    <t>Output UB Box 19</t>
  </si>
  <si>
    <t>Output UB Box 20</t>
  </si>
  <si>
    <t>Output UB Box 21</t>
  </si>
  <si>
    <t>Output UB Box 22</t>
  </si>
  <si>
    <t>Output UB Box 23</t>
  </si>
  <si>
    <t>Output UB Box 24</t>
  </si>
  <si>
    <t>Output UB Box 25</t>
  </si>
  <si>
    <t>Output UB Box 26</t>
  </si>
  <si>
    <t>Output UB Box 27</t>
  </si>
  <si>
    <t>Output UB Box 28</t>
  </si>
  <si>
    <t>Output UB Box 29</t>
  </si>
  <si>
    <t>ACDT State</t>
  </si>
  <si>
    <t>CLM-ACCIDENT-STATE</t>
  </si>
  <si>
    <t>Output UB Box 30</t>
  </si>
  <si>
    <t>Output UB Box 31a</t>
  </si>
  <si>
    <t>CLM-HOSP-OCCUR-CODES</t>
  </si>
  <si>
    <t>CLM-HOSP-OCCUR-DTE- CCYYMMDD</t>
  </si>
  <si>
    <t>Output UB Box 31b</t>
  </si>
  <si>
    <t>Output UB Box 32a</t>
  </si>
  <si>
    <t>Output UB Box 32b</t>
  </si>
  <si>
    <t>Output UB Box 33a</t>
  </si>
  <si>
    <t>Output UB Box 33b</t>
  </si>
  <si>
    <t>Output UB Box 34a</t>
  </si>
  <si>
    <t>Output UB Box 34b</t>
  </si>
  <si>
    <t>Output UB Box 35a</t>
  </si>
  <si>
    <t>CLM-HOSP-SPAN-CODE</t>
  </si>
  <si>
    <t>CLM-HOSP-SPAN-FROM-CCYYMMDD</t>
  </si>
  <si>
    <t>CLM-HOSP-SPAN-THRU-CCYYMMDD</t>
  </si>
  <si>
    <t>Output UB Box 35b</t>
  </si>
  <si>
    <t>Output UB Box 36a</t>
  </si>
  <si>
    <t>OCROccurSpanCodes2A</t>
  </si>
  <si>
    <t>Output UB Box 36b</t>
  </si>
  <si>
    <t>OCROccurSpanCodes2B</t>
  </si>
  <si>
    <t>Output UB Box 37a</t>
  </si>
  <si>
    <t>Output UB Box 37b</t>
  </si>
  <si>
    <t>Output UB Box 38</t>
  </si>
  <si>
    <t>No requirement found</t>
  </si>
  <si>
    <t>CLM- SUBS-ADDR-STREET</t>
  </si>
  <si>
    <t>CLM- SUBS-ADDR-CITY</t>
  </si>
  <si>
    <t>CLM- SUBS-ADDR-STATE</t>
  </si>
  <si>
    <t>CLM- SUBS-ADDR-ZIP</t>
  </si>
  <si>
    <t>Output UB Box 39a</t>
  </si>
  <si>
    <t>CLM-HOSP-VALUE-CODES</t>
  </si>
  <si>
    <t>CLM-HOSP-VALUE-AMOUNT</t>
  </si>
  <si>
    <t>Output UB Box 39b</t>
  </si>
  <si>
    <t>Output UB Box 39c</t>
  </si>
  <si>
    <t>Output UB Box 39d</t>
  </si>
  <si>
    <t>Output UB Box 40a</t>
  </si>
  <si>
    <t>Output UB Box 40b</t>
  </si>
  <si>
    <t>Output UB Box 40c</t>
  </si>
  <si>
    <t>Output UB Box 40d</t>
  </si>
  <si>
    <t>Output UB Box 41a</t>
  </si>
  <si>
    <t>Output UB Box 41b</t>
  </si>
  <si>
    <t>Output UB Box 41c</t>
  </si>
  <si>
    <t>Output UB Box 41d</t>
  </si>
  <si>
    <t>Output UB Box 42</t>
  </si>
  <si>
    <t>DTL-HOSP-REVENUE-CODE-3 BYTE
DTL-HOSP-REVENUE-CODE-4 BYTE</t>
  </si>
  <si>
    <t>Output UB Box 43</t>
  </si>
  <si>
    <t>DTL-HOSP-NDC
DTL-HOSP-UNITS-QUALIFIER
DTL-HOSP-NDC-UNITS</t>
  </si>
  <si>
    <t>Output UB Box 44</t>
  </si>
  <si>
    <t>DTL-HOSP-PROCEDURE-CODE
DTL-HOSP-PROC-MODIFIER
DTL-HOSP-PROC-MODIFIER_1
DTL-HOSP-PROC-MODIFIER_2
DTL-HOSP-PROC-MODIFIER_3
DTL-HOSP-PROC-MODIFIER_4</t>
  </si>
  <si>
    <t>Output UB Box 45</t>
  </si>
  <si>
    <t>DTL-HOSP-PROCEDURE-DATE</t>
  </si>
  <si>
    <t>Output UB Box 46</t>
  </si>
  <si>
    <t>DTL-HOSP-NUM-OF-SERVICES
DTL-HOSP-NDC-UNITS</t>
  </si>
  <si>
    <t>Output UB Box 47</t>
  </si>
  <si>
    <t>DTL-HOSP-SUBMITTED-AMOUNT</t>
  </si>
  <si>
    <t>Output UB Box 48</t>
  </si>
  <si>
    <t>DTL-HOSP-NON-COVERED-CHARGES</t>
  </si>
  <si>
    <t>Output UB Box 49</t>
  </si>
  <si>
    <t>Output UB Box 50A</t>
  </si>
  <si>
    <t>CLM-INS-PLAN-NAME
CLM-COB-OTHER-PLAN-NAME
CLM-COB-OTHER-INS-IND</t>
  </si>
  <si>
    <t>Output UB Box 50B</t>
  </si>
  <si>
    <t>Output UB Box 50C</t>
  </si>
  <si>
    <t>Output UB Box 51A</t>
  </si>
  <si>
    <t>CLM-SERV-PROV-UPIN</t>
  </si>
  <si>
    <t>Output UB Box 51B</t>
  </si>
  <si>
    <t>Output UB Box 51C</t>
  </si>
  <si>
    <t>Output UB Box 52A</t>
  </si>
  <si>
    <t>Y, ,N</t>
  </si>
  <si>
    <t>CLM-RELEASE-OF-INFO-IND</t>
  </si>
  <si>
    <t>Output UB Box 52B</t>
  </si>
  <si>
    <t>Output UB Box 52C</t>
  </si>
  <si>
    <t>Output UB Box 53A</t>
  </si>
  <si>
    <t>CLM-PROVIDER-ASSIGNMENT-CODE</t>
  </si>
  <si>
    <t>Output UB Box 53B</t>
  </si>
  <si>
    <t>Output UB Box 53C</t>
  </si>
  <si>
    <t>Output UB Box 54A</t>
  </si>
  <si>
    <t>CLM-COB-OTHER-INSURED-AMT</t>
  </si>
  <si>
    <t>Output UB Box 54B</t>
  </si>
  <si>
    <t>Output UB Box 54C</t>
  </si>
  <si>
    <t>Output UB Box 55A</t>
  </si>
  <si>
    <t>CLM-HOSP-EST-AMT-DUE
CLM-HOSP-MDCR-PART-A-DED</t>
  </si>
  <si>
    <t>Output UB Box 55B</t>
  </si>
  <si>
    <t>Output UB Box 55C</t>
  </si>
  <si>
    <t>Output UB Box 56</t>
  </si>
  <si>
    <t>CLM-BILL-PROV-NATIONAL-ID</t>
  </si>
  <si>
    <t>Output UB Box 57A</t>
  </si>
  <si>
    <t>CLM-BILL-PROV-PIN</t>
  </si>
  <si>
    <t>Output UB Box 57B</t>
  </si>
  <si>
    <t>Output UB Box 57C</t>
  </si>
  <si>
    <t>Output UB Box 58A</t>
  </si>
  <si>
    <t>CLM-SUBS-NAME-LAST
CLM- SUBS-NAME-FIRST</t>
  </si>
  <si>
    <t>Output UB Box 58B</t>
  </si>
  <si>
    <t>Output UB Box 58C</t>
  </si>
  <si>
    <t>Output UB Box 59A</t>
  </si>
  <si>
    <t>CLM-PAT-RELATION</t>
  </si>
  <si>
    <t>Output UB Box 59B</t>
  </si>
  <si>
    <t>Output UB Box 59C</t>
  </si>
  <si>
    <t>Output UB Box 60A</t>
  </si>
  <si>
    <t>CLM-SUBS-ID</t>
  </si>
  <si>
    <t>Output UB Box 60B</t>
  </si>
  <si>
    <t>Output UB Box 60D</t>
  </si>
  <si>
    <t>Output UB Box 61A</t>
  </si>
  <si>
    <t>CLM-COB-OTHER-EMPLOYER-NAME</t>
  </si>
  <si>
    <t>Output UB Box 61B</t>
  </si>
  <si>
    <t>Output UB Box 61C</t>
  </si>
  <si>
    <t>Output UB Box 62A</t>
  </si>
  <si>
    <t>CLM-INS-SUBMITTED-GROUP</t>
  </si>
  <si>
    <t>Output UB Box 62B</t>
  </si>
  <si>
    <t>Output UB Box 62C</t>
  </si>
  <si>
    <t>Output UB Box 63A</t>
  </si>
  <si>
    <t>CLM-AUTHORIZATION-NUMBER</t>
  </si>
  <si>
    <t>Output UB Box 63B</t>
  </si>
  <si>
    <t>Output UB Box 63C</t>
  </si>
  <si>
    <t>Output UB Box 64A</t>
  </si>
  <si>
    <t>Claim Payer Control Number A</t>
  </si>
  <si>
    <t xml:space="preserve">CLM-PAYER-CONTROL-NO </t>
  </si>
  <si>
    <t>Output UB Box 64B</t>
  </si>
  <si>
    <t>Claim Payer Control Number B</t>
  </si>
  <si>
    <t>Output UB Box 64C</t>
  </si>
  <si>
    <t>Claim Payer Control Number C</t>
  </si>
  <si>
    <t>Output UB Box 65A</t>
  </si>
  <si>
    <t>Conditional</t>
  </si>
  <si>
    <t>Output UB Box 65B</t>
  </si>
  <si>
    <t>Output UB Box 65C</t>
  </si>
  <si>
    <t>Output UB Box 66</t>
  </si>
  <si>
    <t>CLM-HOSP-PROC-CODING-METHOD</t>
  </si>
  <si>
    <t>Output UB Box 67</t>
  </si>
  <si>
    <t>CLM-DIAGNOSIS-CODE-1</t>
  </si>
  <si>
    <t>CLM-CODE-TYPE-IND_CODE-1
CLM-POA-IND_CODE-1</t>
  </si>
  <si>
    <t>Output UB Box 67 A</t>
  </si>
  <si>
    <t>CLM-DIAGNOSIS-CODE-2
CLM-CODE-TYPE-IND_CODE-2</t>
  </si>
  <si>
    <t>CLM-POA-IND_CODE-2</t>
  </si>
  <si>
    <t>Output UB Box 67 B</t>
  </si>
  <si>
    <t>CLM-DIAGNOSIS-CODE-3
CLM-CODE-TYPE-IND_CODE-3</t>
  </si>
  <si>
    <t>CLM-POA-IND_CODE-3</t>
  </si>
  <si>
    <t>Output UB Box 67 C</t>
  </si>
  <si>
    <t>CLM-DIAGNOSIS-CODE-4
CLM-CODE-TYPE-IND_CODE-4</t>
  </si>
  <si>
    <t>CLM-POA-IND_CODE-4</t>
  </si>
  <si>
    <t>Output UB Box 67 D</t>
  </si>
  <si>
    <t>CLM-DIAGNOSIS-CODE-5
CLM-CODE-TYPE-IND_CODE-5</t>
  </si>
  <si>
    <t>CLM-POA-IND_CODE-5</t>
  </si>
  <si>
    <t>Output UB Box 67 E</t>
  </si>
  <si>
    <t>CLM-DIAGNOSIS-CODE-6
CLM-CODE-TYPE-IND_CODE-6</t>
  </si>
  <si>
    <t>CLM-POA-IND_CODE-6</t>
  </si>
  <si>
    <t>Output UB Box 67 F</t>
  </si>
  <si>
    <t>CLM-DIAGNOSIS-CODE-7
CLM-CODE-TYPE-IND_CODE-7</t>
  </si>
  <si>
    <t>CLM-POA-IND_CODE-7</t>
  </si>
  <si>
    <t>Output UB Box 67 G</t>
  </si>
  <si>
    <t>CLM-DIAGNOSIS-CODE-8
CLM-CODE-TYPE-IND_CODE-8</t>
  </si>
  <si>
    <t>CLM-POA-IND_CODE-8</t>
  </si>
  <si>
    <t>Output UB Box 67 H</t>
  </si>
  <si>
    <t>CLM-DIAGNOSIS-CODE-9
CLM-CODE-TYPE-IND_CODE-9</t>
  </si>
  <si>
    <t>CLM-POA-IND_CODE-9</t>
  </si>
  <si>
    <t>Output UB Box 67 I</t>
  </si>
  <si>
    <t>CLM-DIAGNOSIS-CODE-10
CLM-CODE-TYPE-IND_CODE-10</t>
  </si>
  <si>
    <t>CLM-POA-IND_CODE-10</t>
  </si>
  <si>
    <t>Output UB Box 67 J</t>
  </si>
  <si>
    <t>CLM-DIAGNOSIS-CODE-11
CLM-CODE-TYPE-IND_CODE-11</t>
  </si>
  <si>
    <t>CLM-POA-IND_CODE-11</t>
  </si>
  <si>
    <t>Output UB Box 67 K</t>
  </si>
  <si>
    <t>CLM-DIAGNOSIS-CODE-12
CLM-CODE-TYPE-IND_CODE-12</t>
  </si>
  <si>
    <t>CLM-POA-IND_CODE-12</t>
  </si>
  <si>
    <t>Output UB Box 67 L</t>
  </si>
  <si>
    <t>CLM-DIAGNOSIS-CODE-13
CLM-CODE-TYPE-IND_CODE-13</t>
  </si>
  <si>
    <t>CLM-POA-IND_CODE-13</t>
  </si>
  <si>
    <t>Output UB Box 67 M</t>
  </si>
  <si>
    <t>CLM-DIAGNOSIS-CODE-14
CLM-CODE-TYPE-IND_CODE-14</t>
  </si>
  <si>
    <t>CLM-POA-IND_CODE-14</t>
  </si>
  <si>
    <t>Output UB Box 67 N</t>
  </si>
  <si>
    <t>CLM-DIAGNOSIS-CODE-15
CLM-CODE-TYPE-IND_CODE-15</t>
  </si>
  <si>
    <t>CLM-POA-IND_CODE-15</t>
  </si>
  <si>
    <t>Output UB Box 67 0</t>
  </si>
  <si>
    <t>CLM-DIAGNOSIS-CODE-16
CLM-CODE-TYPE-IND_CODE-16</t>
  </si>
  <si>
    <t>CLM-POA-IND_CODE-16</t>
  </si>
  <si>
    <t>Output UB Box 67 P</t>
  </si>
  <si>
    <t>CLM-DIAGNOSIS-CODE-17
CLM-CODE-TYPE-IND_CODE-17</t>
  </si>
  <si>
    <t>CLM-POA-IND_CODE-17</t>
  </si>
  <si>
    <t>Output UB Box 67 Q</t>
  </si>
  <si>
    <t>CLM-DIAGNOSIS-CODE-18
CLM-CODE-TYPE-IND_CODE-18</t>
  </si>
  <si>
    <t>CLM-POA-IND_CODE-18</t>
  </si>
  <si>
    <t>Output UB Box 68 A</t>
  </si>
  <si>
    <t>Output UB Box 68 B</t>
  </si>
  <si>
    <t>Output UB Box 69</t>
  </si>
  <si>
    <t>CLM-HOSP-ADMIT-DIAGNOSIS-CODE
CLM-HOSP-ADMIT-DIAG-CODE-TYPE-IND_CODE</t>
  </si>
  <si>
    <t>Output UB Box 70 a</t>
  </si>
  <si>
    <t>CLM-PAT-RSN-CODE
CLM-PAT-RSN-TYPE-IND_CODE</t>
  </si>
  <si>
    <t>Output UB Box 70 b</t>
  </si>
  <si>
    <t>Output UB Box 70 c</t>
  </si>
  <si>
    <t>Output UB Box 71</t>
  </si>
  <si>
    <t>CLM-DRG-NUMBER</t>
  </si>
  <si>
    <t>Output UB Box 72 a</t>
  </si>
  <si>
    <t>CLM-EXTNL-CAUSE-OF-ACCDNT-CD
CLM-EXTNL-CAUSE-OF-ACC-TYPE-IND_CODE
CLM-EXTNL-CAUSE-OF-ACCDNT-IND-CD</t>
  </si>
  <si>
    <t>CLM-EXTNL-CAUSE-OF-ACCDNT-POA-CD</t>
  </si>
  <si>
    <t>Output UB Box 72 b</t>
  </si>
  <si>
    <t>OCRECod2</t>
  </si>
  <si>
    <t>Output UB Box 72 c</t>
  </si>
  <si>
    <t>OCRECod3</t>
  </si>
  <si>
    <t>Output UB Box 73</t>
  </si>
  <si>
    <t>Output UB Box 74</t>
  </si>
  <si>
    <t>CLM-HOSP-PROC-CODE
CLM-PROC-CODE-TYPE-IND_CODE-1</t>
  </si>
  <si>
    <t>CLM-HOSP-PROC-CCYYMMDD</t>
  </si>
  <si>
    <t>Output UB Box 74 a</t>
  </si>
  <si>
    <t>CLM-HOSP-PROC-CODE (A)
CLM-PROC-CODE-TYPE-IND_CODE-2</t>
  </si>
  <si>
    <t xml:space="preserve">Output UB Box 74 b </t>
  </si>
  <si>
    <t>CLM-HOSP-PROC-CODE (B)
CLM-PROC-CODE-TYPE-IND_CODE-3</t>
  </si>
  <si>
    <t>Output UB Box 74 c</t>
  </si>
  <si>
    <t>CLM-HOSP-PROC-CODE (c)
CLM-PROC-CODE-TYPE-IND_CODE-4</t>
  </si>
  <si>
    <t>Output UB Box 74 d</t>
  </si>
  <si>
    <t>CLM-HOSP-PROC-CODE (D)
CLM-PROC-CODE-TYPE-IND_CODE-5</t>
  </si>
  <si>
    <t>Output UB Box 74 e</t>
  </si>
  <si>
    <t>CLM-HOSP-PROC-CODE (e)
CLM-PROC-CODE-TYPE-IND_CODE-6</t>
  </si>
  <si>
    <t>Output UB Box 75</t>
  </si>
  <si>
    <t>Output UB Box 76</t>
  </si>
  <si>
    <t>CLM-HOSP-ADMIT-PROV-ID</t>
  </si>
  <si>
    <t>CLM-HOSP-ADMIT-PROV-ID-QUAL</t>
  </si>
  <si>
    <t>CLM-HOSP-ATTEND-PROV-NAME-LAST</t>
  </si>
  <si>
    <t>CLM-HOSP-ATTEND-PROV-NAME-FIRST</t>
  </si>
  <si>
    <t>Output UB Box 77</t>
  </si>
  <si>
    <t>CLM-HOSP-OPER-PROV-ID</t>
  </si>
  <si>
    <t>CLM-HOSP-OPER-PROV-ID-QUAL</t>
  </si>
  <si>
    <t>CLM-HOSP-OPER-PROV-NAME-LAST</t>
  </si>
  <si>
    <t>CLM-HOSP-OPER-PROV-NAME-FIRST</t>
  </si>
  <si>
    <t>Output UB Box 78</t>
  </si>
  <si>
    <t>CLM-HOSP-OTHR-PROV-ID-QUAL</t>
  </si>
  <si>
    <t>CLM-HOSP-OTHR-PROV-ID</t>
  </si>
  <si>
    <t>CLM-HOSP-OTHR-PROV-NAME-LAST</t>
  </si>
  <si>
    <t xml:space="preserve">CLM-HOSP-OTHR-PROV-NAME-FIRST  </t>
  </si>
  <si>
    <t>Output UB Box 79</t>
  </si>
  <si>
    <t>Output UB Box 80</t>
  </si>
  <si>
    <t>CLM-FREE-FORM-REMARKS</t>
  </si>
  <si>
    <t>Output UB Box 81 a</t>
  </si>
  <si>
    <t>CLM-HOSP-CONDITION-CD
CLM-HOSP-OCCUR-CODES
CLM-HOSP-OCCUR-DTE-CCYYMMDD
CLM-HOSP-VALUE-CODES
CLM-HOSP-VALUE-AMOUNT      
CLM-BILL-PROV-TAXONOMY-CODE
CLM-FREE-FORM-REMARKS</t>
  </si>
  <si>
    <t>Output UB Box 81 b</t>
  </si>
  <si>
    <t>Output UB Box 81 c</t>
  </si>
  <si>
    <t>Output UB Box 81 d</t>
  </si>
  <si>
    <t>US</t>
  </si>
  <si>
    <t>FlagOnDBLookup</t>
  </si>
  <si>
    <t>StoredProc=usp_TE_LookupZip;SPParameters=@City=@BillingProvider_Addr_City,@State=@BillingProvider_Addr_State,@Zip=@BillingProvider_Addr_Zip;FlagCondition=Result &lt; 1;FieldsToFlag=BillingProvider_Addr_City,BillingProvider_Addr_State,BillingProvider_Addr_Zip,BillingProvider_Addr_ZipPlus;ExecuteIfAnyBlank=True;FlagDescription=Billing Provider City, State and Zip do not match Zip Table.</t>
  </si>
  <si>
    <t>Flag Billing Provider City, State and Zip if not in the DB Zip table.</t>
  </si>
  <si>
    <t>FlagIfBlank</t>
  </si>
  <si>
    <t>FlagDescription=Billing Provider - Name is blank!</t>
  </si>
  <si>
    <t>Flag UB Box 1 (Billing Provider - Name) if blank.</t>
  </si>
  <si>
    <t>FlagByCondition</t>
  </si>
  <si>
    <t>FlagDescription=First character of Billing Provider Name is 1;Condition=@BillingProvider_Name != #EMPTY &amp;&amp; #LEFT[@BillingProvider_Name,1] == 1</t>
  </si>
  <si>
    <t>Flag Billing provider name if first char is "1"</t>
  </si>
  <si>
    <t>FlagDescription=Billing Provider street address is blank!</t>
  </si>
  <si>
    <t>Flag Billing Provider street address if blank.</t>
  </si>
  <si>
    <t>Condition=@BillingProvider_Phone==#EMPTY || #LENGTH[@BillingProvider_Phone] != 10 || #ISNUMBER[@BillingProvider_Phone] == FALSE;FlagDescription=Missing or invalid phone number</t>
  </si>
  <si>
    <t>Flag Billing provider phone if blank or invalid (not 10 digits)</t>
  </si>
  <si>
    <t>FlagDescription=Pay To Provider - Org Name is blank!</t>
  </si>
  <si>
    <t>Flag UB Box 2 (Pay To Provider - Org Name) if blank.</t>
  </si>
  <si>
    <t>FlagDescription=First character of Pay To Provider Name is 2;Condition=@PayToProvider_Name != #EMPTY &amp;&amp; #LEFT[@PayToProvider_Name,1] == 2</t>
  </si>
  <si>
    <t>Flag Pay To Provider Name if first char is "2"</t>
  </si>
  <si>
    <t>FlagDescription=Pay To Provider street address is blank!</t>
  </si>
  <si>
    <t>Flag Box 2 Pay to Provider Street Address if blank</t>
  </si>
  <si>
    <t>StoredProc=usp_TE_LookupZip;SPParameters=@City=@PayToProvider_Addr_City,@State=@PayToProvider_Addr_State,@Zip=@PayToProvider_Addr_Zip;FlagCondition=Result &lt; 1;FieldsToFlag=PayToProvider_Addr_City,PayToProvider_Addr_State,PayToProvider_Addr_Zip,PayToProvider_Addr_ZipPLus;ExecuteIfAnyBlank=True;FlagDescription=PayTo Provider City, State and Zip do not match Zip Table.</t>
  </si>
  <si>
    <t>Flag PayTo Provider City, State and Zip if not in the DB Zip table.</t>
  </si>
  <si>
    <t>FlagDescription=Pay To Provider - Zip is blank!</t>
  </si>
  <si>
    <t>Flag UB Box 2 (Pay To Provider - Zip) if blank.</t>
  </si>
  <si>
    <t>FlagOnLookup</t>
  </si>
  <si>
    <t>LookupTable=tblTypeOfBill;LookupColumn=Code;FlagDescription=Invalid Type of Bill!</t>
  </si>
  <si>
    <t>Flag UB Box 4 (Type of Bill) if it is not found in table tblTypeOfBill.</t>
  </si>
  <si>
    <t>FlagDescription=Type of Bill is blank!</t>
  </si>
  <si>
    <t>Flag Type of Bill (box 4) if blank</t>
  </si>
  <si>
    <t>Condition=#LENGTH[@OCRFedID]&lt;9 || #ISNUMBER[#LEFT[@OCRFedID,9,true]]==False || #INT[@OCRFedID]==0;FlagDescription=Invalid Federal Tax Number!</t>
  </si>
  <si>
    <t>Flag UB Box 5 (Federal Tax Number) if invalid.</t>
  </si>
  <si>
    <t>FlagDescription=Missing Federal Tax Number!</t>
  </si>
  <si>
    <t>Flag Federal Tax number (Box 5) if blank</t>
  </si>
  <si>
    <t>FlagIfBlankWithOCRData</t>
  </si>
  <si>
    <t>FlagDescription=Invalid Statement Cover Period From!</t>
  </si>
  <si>
    <t>Flag UB Box 6 - Statement Cover Period From if invalid OCR date</t>
  </si>
  <si>
    <t>FlagDescription=Invalid Statement Cover Period Through!</t>
  </si>
  <si>
    <t>Flag UB Box 6 - Statement Cover Period Through if invalid OCR date</t>
  </si>
  <si>
    <t>Condition=@OCRStmtDateFrom != #EMPTY &amp;&amp; #DATE[@OCRStmtDateFrom] &gt; #TODAY;FlagDescription=Statement Cover Period From is a future date!</t>
  </si>
  <si>
    <t>Flag UB Box 6 - Statement Cover Period From if from date is a future date</t>
  </si>
  <si>
    <t xml:space="preserve"> Bug 885666</t>
  </si>
  <si>
    <t>FlagDescription=Statement Cover Period From is blank!</t>
  </si>
  <si>
    <t>Flag UB Box 6 - Statement Cover Period From (OCRStmtDateFrom) if blank.</t>
  </si>
  <si>
    <t>Condition=@OCRStmtDateFrom != #EMPTY &amp;&amp; @OCRStmtDateTo == #EMPTY;FlagDescription=Statement Cover Period Through is blank!</t>
  </si>
  <si>
    <t>Flag UB Box 6 - Statement Cover Period Through (OCRStmtDateTo) if blank and From is not blank.</t>
  </si>
  <si>
    <t>Mario - modify</t>
  </si>
  <si>
    <t>Condition=@OCRStmtDateTo != #EMPTY &amp;&amp; #DATE[@OCRStmtDateTo] &gt; #TODAY;FlagDescription=Statement Cover Period To is a future date!</t>
  </si>
  <si>
    <t>Flag UB Box 6 - Statement Cover Period Through if through date is a future date</t>
  </si>
  <si>
    <t>Condition=#DATE[@OCRStmtDateFrom]&gt;#DATE[@OCRStmtDateTo];FlagDescription=Invalid statement period - from date is after through date!</t>
  </si>
  <si>
    <t>Flag UB Box 6 (Statement Cover Period From) if invalid statement perion - from date is after through date.</t>
  </si>
  <si>
    <t>FlagInvalidAetnaID</t>
  </si>
  <si>
    <t>FlagDescription=Patient ID has invalid format!;StateField=OCRPatAddress_State;IDFormatsTable=tblAetnaIDMasks;StateColumn=State;FormatColumn=IDMask</t>
  </si>
  <si>
    <t>Flag Patient ID if format does not match Aetna state ID format</t>
  </si>
  <si>
    <t>FlagDescription=Patient is blank!</t>
  </si>
  <si>
    <t>Flag Patient id (Box 8a) if blank</t>
  </si>
  <si>
    <t>Condition=@Patient_Name_Last==#EMPTY;FlagDescription=Blank Patient Name - Last!</t>
  </si>
  <si>
    <t>Flag UB Box 8b (Patient Name - Last) if invalid format.</t>
  </si>
  <si>
    <t>Why by condition</t>
  </si>
  <si>
    <t>FlagDescription=Patient Name - First is blank!</t>
  </si>
  <si>
    <t>Flag UB Box 8b (Patient Name - First) if it is blank</t>
  </si>
  <si>
    <t>Condition=@Patient_Name_Last != EMPTY &amp;&amp; #LENGTH[@Patient_Name_Last] &lt; 3;FlagDescription=Patient Last Name is too short</t>
  </si>
  <si>
    <t>Flag Patient Last Name if not blank and length is less than 3 chars</t>
  </si>
  <si>
    <t>US 894254</t>
  </si>
  <si>
    <t>Condition=@Patient_Name_First != EMPTY &amp;&amp; #LENGTH[@Patient_Name_First] &lt; 3;FlagDescription=Patient First Name is too short</t>
  </si>
  <si>
    <t>Flag Patient First Name if not blank and length is less than 3 chars</t>
  </si>
  <si>
    <t>FlagDescription=Patient Name - Address is blank!</t>
  </si>
  <si>
    <t>Flag UB Box 9a (Patient Address Street) if it is blank</t>
  </si>
  <si>
    <t>Rosen</t>
  </si>
  <si>
    <t>StoredProc=usp_TE_LookupZip;SPParameters=@City=@OCRPatAddress_City,@State=@OCRPatAddress_State,@Zip=@OCRPatAddress_Zip;FlagCondition=Result &lt; 1;FieldsToFlag=OCRPatAddress_City,OCRPatAddress_State,OCRPatAddress_Zip,Patient_Addr_ZipPlus;ExecuteIfAnyBlank=True;FlagDescription=Billing Provider City, State and Zip do not match Zip Table.</t>
  </si>
  <si>
    <t>Flag Patient Address City, State and Zip if not in the DB Zip table.</t>
  </si>
  <si>
    <t>FlagDescription=Patient Birthdate is blank!</t>
  </si>
  <si>
    <t>Flag UB Box 10 (Patient Birthdate) if it is blank</t>
  </si>
  <si>
    <t>FlagDescription=Invalid Patient Birthdate!</t>
  </si>
  <si>
    <t>Flag UB Box 10 - Patient Birthdate if invalid OCR date</t>
  </si>
  <si>
    <t>Condition=@OCRPatDOB != #EMPTY &amp;&amp; #DATE[@OCRPatDOB] &gt; #TODAY;FlagDescription=Patient Birthdate is a future date!</t>
  </si>
  <si>
    <t>Flag UB Box 10 - Patient Birthdate if it is a future date</t>
  </si>
  <si>
    <t>FlagDescription=Patient Sex is blank!</t>
  </si>
  <si>
    <t>Flag Patient Sex if blank</t>
  </si>
  <si>
    <t>Condition=@OCRAdmitDate != #EMPTY &amp;&amp; #DATE[@OCRAdmitDate] &gt; #TODAY;FlagDescription=Admission - Date is a future date!</t>
  </si>
  <si>
    <t>Flag UB Box 12 - Admission - Date if it is a future date</t>
  </si>
  <si>
    <t>FlagDescription=Invalid Admission - Date!</t>
  </si>
  <si>
    <t>Flag UB Box 12 - Admission - Date if invalid OCR date</t>
  </si>
  <si>
    <t>LookupTable=tblAdmissionHour;LookupColumn=Code;FlagDescription=Invalid Admission - Hour</t>
  </si>
  <si>
    <t>Flag UB Box 13 - Admission - Hour if it is not found into lookup table</t>
  </si>
  <si>
    <t>LookupTable=tblAdmissionType;LookupColumn=Code;FlagDescription=Invalid Admission - Type</t>
  </si>
  <si>
    <t>Flag UB Box 14 - Admission - Type if it is not found into lookup table</t>
  </si>
  <si>
    <t>LookupTable=tblAdmissionSource;LookupColumn=Code;FlagDescription=Invalid Admission - Source</t>
  </si>
  <si>
    <t>Flag UB Box 15 - Admission - Source if it is not found into lookup table</t>
  </si>
  <si>
    <t>LookupTable=tblDischargeHour;LookupColumn=Code;FlagDescription=Invalid Discharge Hour</t>
  </si>
  <si>
    <t>Flag UB Box 16 - Discharge Hour if it is not found into lookup table</t>
  </si>
  <si>
    <t>LookupTable=tblDischargeStatus;LookupColumn=Status;FlagDescription=Invalid Discharge Status</t>
  </si>
  <si>
    <t>Flag UB Box 17 (Discharge Status) if invalid.</t>
  </si>
  <si>
    <t>FlagDescription=Discharge Status is blank!</t>
  </si>
  <si>
    <t>Flag UB Box 17 (Discharge Status) if blank.</t>
  </si>
  <si>
    <t>Mario</t>
  </si>
  <si>
    <t>LookupTable=tblConditionCodes;LookupColumn=Code;FlagDescription=Invalid Condition Codes 1</t>
  </si>
  <si>
    <t>Flag UB Box 18 - Condition Codes 1 if it is not found into lookup table</t>
  </si>
  <si>
    <t>LookupTable=tblConditionCodes;LookupColumn=Code;FlagDescription=Invalid Condition Codes 2</t>
  </si>
  <si>
    <t>Flag UB Box 19 - Condition Codes 2 if it is not found into lookup table</t>
  </si>
  <si>
    <t>LookupTable=tblConditionCodes;LookupColumn=Code;FlagDescription=Invalid Condition Codes 3</t>
  </si>
  <si>
    <t>Flag UB Box 20 - Condition Codes 3 if it is not found into lookup table</t>
  </si>
  <si>
    <t>LookupTable=tblConditionCodes;LookupColumn=Code;FlagDescription=Invalid Condition Codes 4</t>
  </si>
  <si>
    <t>Flag UB Box 21 - Condition Codes 4 if it is not found into lookup table</t>
  </si>
  <si>
    <t>LookupTable=tblConditionCodes;LookupColumn=Code;FlagDescription=Invalid Condition Codes 5</t>
  </si>
  <si>
    <t>Flag UB Box 22 - Condition Codes 5 if it is not found into lookup table</t>
  </si>
  <si>
    <t>LookupTable=tblConditionCodes;LookupColumn=Code;FlagDescription=Invalid Condition Codes 6</t>
  </si>
  <si>
    <t>Flag UB Box 23 - Condition Codes 6 if it is not found into lookup table</t>
  </si>
  <si>
    <t>LookupTable=tblConditionCodes;LookupColumn=Code;FlagDescription=Invalid Condition Codes 7</t>
  </si>
  <si>
    <t>Flag UB Box 24 - Condition Codes 7 if it is not found into lookup table</t>
  </si>
  <si>
    <t>LookupTable=tblConditionCodes;LookupColumn=Code;FlagDescription=Invalid Condition Codes 8</t>
  </si>
  <si>
    <t>Flag UB Box 25 - Condition Codes 8 if it is not found into lookup table</t>
  </si>
  <si>
    <t>LookupTable=tblConditionCodes;LookupColumn=Code;FlagDescription=Invalid Condition Codes 9</t>
  </si>
  <si>
    <t>Flag UB Box 26 - Condition Codes 9 if it is not found into lookup table</t>
  </si>
  <si>
    <t>LookupTable=tblConditionCodes;LookupColumn=Code;FlagDescription=Invalid Condition Codes 10</t>
  </si>
  <si>
    <t>Flag UB Box 27 - Condition Codes 10 if it is not found into lookup table</t>
  </si>
  <si>
    <t>LookupTable=tblConditionCodes;LookupColumn=Code;FlagDescription=Invalid Condition Codes 11</t>
  </si>
  <si>
    <t>Flag UB Box 28 - Condition Codes 11 if it is not found into lookup table</t>
  </si>
  <si>
    <t>FlagDescription=Invalid Occurrence Date 1a!</t>
  </si>
  <si>
    <t>Flag UB Box 31a - Occurrence Date 1a if invalid OCR date</t>
  </si>
  <si>
    <t>Condition=@OCROccurDates1A != #EMPTY &amp;&amp; (#DATE[@OCROccurDates1A] &gt; #TODAY || (@OCRStmtDateFrom != #EMPTY &amp;&amp; #DATE[@OCROccurDates1A]&gt;#DATE[@OCRStmtDateFrom]));FlagDescription=Occurrence Date 1a is in the future</t>
  </si>
  <si>
    <t>Flag UB Box 31a - Occurrence Date 1a if it is a future date</t>
  </si>
  <si>
    <t>LookupTable=tblOccurrenceCodes;LookupColumn=Code;FlagDescription=Invalid Occurrence Code 1a!</t>
  </si>
  <si>
    <t>Flag UB Box 31a (Occurrence Code 1a) if it is not found in lookup table: tblOccurrenceCodes.</t>
  </si>
  <si>
    <t>Flag UB Box 31a (Occurrence Code 1a) if it is blank but the date is not</t>
  </si>
  <si>
    <t>Condition=@OCROccurDates1B != #EMPTY &amp;&amp; (#DATE[@OCROccurDates1B] &gt; #TODAY || (@OCRStmtDateFrom != #EMPTY &amp;&amp; #DATE[@OCROccurDates1B]&gt;#DATE[@OCRStmtDateFrom]));FlagDescription=Occurrence Date 1b is in the future</t>
  </si>
  <si>
    <t>Flag UB Box 31b - Occurrence Date 1b if it is a future date</t>
  </si>
  <si>
    <t>FlagDescription=Invalid Occurrence Date 1b!</t>
  </si>
  <si>
    <t>Flag UB Box 31b - Occurrence Date 1b if invalid OCR date</t>
  </si>
  <si>
    <t>LookupTable=tblOccurrenceCodes;LookupColumn=Code;FlagDescription=Invalid Occurrence Code 1b!</t>
  </si>
  <si>
    <t>Flag UB Box 31b (Occurrence Code 1b) if it is not found in lookup table: tblOccurrenceCodes.</t>
  </si>
  <si>
    <t>Flag UB Box 31b (Occurrence Code 1b) if it is blank but the date is not</t>
  </si>
  <si>
    <t>FlagDescription=Invalid Occurrence Date 2a!</t>
  </si>
  <si>
    <t>Flag UB Box 32a - Occurrence Date 2a if invalid OCR date</t>
  </si>
  <si>
    <t>Condition=@OCROccurDates2A != #EMPTY &amp;&amp; (#DATE[@OCROccurDates2A] &gt; #TODAY || (@OCRStmtDateFrom != #EMPTY &amp;&amp; #DATE[@OCROccurDates2A]&gt;#DATE[@OCRStmtDateFrom]));FlagDescription=Occurrence Date 2a is in the future</t>
  </si>
  <si>
    <t>Flag UB Box 32a - Occurrence Date 2a if it is a future date</t>
  </si>
  <si>
    <t>LookupTable=tblOccurrenceCodes;LookupColumn=Code;FlagDescription=Invalid Occurrence Code 2a!</t>
  </si>
  <si>
    <t>Flag UB Box 32a (Occurrence Code 2a) if it is not found in lookup table: tblOccurrenceCodes.</t>
  </si>
  <si>
    <t>Flag UB Box 32a (Occurrence Code 2a) if it is blank but the date is not</t>
  </si>
  <si>
    <t>FlagDescription=Invalid Occurrence Date 2b!</t>
  </si>
  <si>
    <t>Flag UB Box 32b - Occurrence Date 2b if invalid OCR date</t>
  </si>
  <si>
    <t>LookupTable=tblOccurrenceCodes;LookupColumn=Code;FlagDescription=Invalid Occurrence Code 2b!</t>
  </si>
  <si>
    <t>Flag UB Box 32b (Occurrence Code 2b) if it is not found in lookup table: tblOccurrenceCodes.</t>
  </si>
  <si>
    <t>Flag UB Box 32b (Occurrence Code 2b) if it is blank but the date is not</t>
  </si>
  <si>
    <t>FlagDescription=Invalid Occurrence Date 3a!</t>
  </si>
  <si>
    <t>Flag UB Box 33a - Occurrence Date 3a if invalid OCR date</t>
  </si>
  <si>
    <t>Condition=@OCROccurDates3A != #EMPTY &amp;&amp; (#DATE[@OCROccurDates3A] &gt; #TODAY || (@OCRStmtDateFrom != #EMPTY &amp;&amp; #DATE[@OCROccurDates3A]&gt;#DATE[@OCRStmtDateFrom]));FlagDescription=Occurrence Date 3a is in the future</t>
  </si>
  <si>
    <t>Flag UB Box 33a - Occurrence Date 3a if it is a future date</t>
  </si>
  <si>
    <t>LookupTable=tblOccurrenceCodes;LookupColumn=Code;FlagDescription=Invalid Occurrence Code 3a!</t>
  </si>
  <si>
    <t>Flag UB Box 33a (Occurrence Code 3a) if it is not found in lookup table: tblOccurrenceCodes.</t>
  </si>
  <si>
    <t>Flag UB Box 33a (Occurrence Code 3a) if it is blank but the date is not</t>
  </si>
  <si>
    <t>Condition=@OCROccurDates3B != #EMPTY &amp;&amp; (#DATE[@OCROccurDates3B] &gt; #TODAY || (@OCRStmtDateFrom != #EMPTY &amp;&amp; #DATE[@OCROccurDates3B]&gt;#DATE[@OCRStmtDateFrom]));FlagDescription=Occurrence Date 3b is in the future</t>
  </si>
  <si>
    <t>Flag UB Box 33b - Occurrence Date 3b if it is a future date</t>
  </si>
  <si>
    <t>FlagDescription=Invalid Occurrence Date 3b!</t>
  </si>
  <si>
    <t>Flag UB Box 33b - Occurrence Date 3b if invalid OCR date</t>
  </si>
  <si>
    <t>LookupTable=tblOccurrenceCodes;LookupColumn=Code;FlagDescription=Invalid Occurrence Code 3b!</t>
  </si>
  <si>
    <t>Flag UB Box 33b (Occurrence Code 3b) if it is not found in lookup table: tblOccurrenceCodes.</t>
  </si>
  <si>
    <t>Flag UB Box 33b (Occurrence Code 3b) if it is blank but the date is not</t>
  </si>
  <si>
    <t>FlagDescription=Invalid Occurrence Date 4a!</t>
  </si>
  <si>
    <t>Flag UB Box 34a - Occurrence Date 4a if invalid OCR date</t>
  </si>
  <si>
    <t>Condition=@OCROccurDates4A != #EMPTY &amp;&amp; (#DATE[@OCROccurDates4A] &gt; #TODAY || (@OCRStmtDateFrom != #EMPTY &amp;&amp; #DATE[@OCROccurDates4A]&gt;#DATE[@OCRStmtDateFrom]));FlagDescription=Occurrence Date 4a is in the future</t>
  </si>
  <si>
    <t>Flag UB Box 34a - Occurrence Date 4a if it is a future date</t>
  </si>
  <si>
    <t>LookupTable=tblOccurrenceCodes;LookupColumn=Code;FlagDescription=Invalid Occurrence Code 4a!</t>
  </si>
  <si>
    <t>Flag UB Box 34a (Occurrence Code 4a) if it is not found in lookup table: tblOccurrenceCodes.</t>
  </si>
  <si>
    <t>Flag UB Box 34a (Occurrence Code 4a) if it is blank but the date is not</t>
  </si>
  <si>
    <t>Condition=@OCROccurDates4B != #EMPTY &amp;&amp; (#DATE[@OCROccurDates4B] &gt; #TODAY || (@OCRStmtDateFrom != #EMPTY &amp;&amp; #DATE[@OCROccurDates4B]&gt;#DATE[@OCRStmtDateFrom]));FlagDescription=Occurrence Date 4b is in the future</t>
  </si>
  <si>
    <t>Flag UB Box 34b - Occurrence Date 4b if it is a future date</t>
  </si>
  <si>
    <t>FlagDescription=Invalid Occurrence Date 4b!</t>
  </si>
  <si>
    <t>Flag UB Box 34b - Occurrence Date 4b if invalid OCR date</t>
  </si>
  <si>
    <t>LookupTable=tblOccurrenceCodes;LookupColumn=Code;FlagDescription=Invalid Occurrence Code 4b!</t>
  </si>
  <si>
    <t>Flag UB Box 34b (Occurrence Code 4b) if it is not found in lookup table: tblOccurrenceCodes.</t>
  </si>
  <si>
    <t>Flag UB Box 34b (Occurrence Code 4b) if it is blank but the date is not</t>
  </si>
  <si>
    <t>FlagDescription=Invalid Occurrence Span From 1a!</t>
  </si>
  <si>
    <t>Flag UB Box 35a - Occurrence Span From 1a if invalid OCR date</t>
  </si>
  <si>
    <t>Condition=@OCROccurDateFromA == #EMPTY &amp;&amp; (@OCROccurSpanCdsA != #EMPTY || @OCROccurDateToA !=  #EMPTY);FlagDescription=From Date is blank but Code or Through Date have data.</t>
  </si>
  <si>
    <t>Flag UB Box 35a - Occurrence Span From 1a if blank but Code or Trough Date have data</t>
  </si>
  <si>
    <t>Condition=@OCROccurDateFromA != #EMPTY &amp;&amp; (#DATE[@OCROccurDateFromA] &gt; #TODAY || (@OCRStmtDateFrom != #EMPTY &amp;&amp; #DATE[@OCROccurDateFromA]&gt;#DATE[@OCRStmtDateFrom]));FlagDescription=Occurrence Span From 1a is in the future</t>
  </si>
  <si>
    <t>Flag UB Box 35a - Occurrence Span From 1a if it is a future date</t>
  </si>
  <si>
    <t>FlagDescription=Invalid Occurrence Span Through 1a!</t>
  </si>
  <si>
    <t>Flag UB Box 35a - Occurrence Span Through 1a if invalid OCR date</t>
  </si>
  <si>
    <t>Condition=@OCROccurDateToA == #EMPTY &amp;&amp; (@OCROccurSpanCdsA != #EMPTY || @OCROccurDateFromA != #EMPTY);FlagDescription=Through Date is blank but Code or From Date have data.</t>
  </si>
  <si>
    <t>Flag UB Box 35a - Occurrence Span Through 1a if blank but Code or From Date have data</t>
  </si>
  <si>
    <t>Condition=@OCROccurDateToA != #EMPTY &amp;&amp; (#DATE[@OCROccurDateToA] &gt; #TODAY || (@OCRStmtDateFrom != #EMPTY &amp;&amp; #DATE[@OCROccurDateToA]&gt;#DATE[@OCRStmtDateFrom]));FlagDescription=Occurrence Span Through 1a is in the future</t>
  </si>
  <si>
    <t>Flag UB Box 35a - Occurrence Span Through 1a if it is a future date</t>
  </si>
  <si>
    <t>LookupTable=tblOccurrenceSpanCodes;LookupColumn=Code;FlagDescription=Invalid Occurrence Span Code 1a!</t>
  </si>
  <si>
    <t>Flag UB Box 35a (Occurrence Span Code 1a) if it is not found in lookup table: tblOccurrenceSpanCodes.</t>
  </si>
  <si>
    <t>Condition=@OCROccurSpanCdsA == #EMPTY &amp;&amp; @OCROccurDateFromA != #EMPTY;FlagDescription=Field is blank but From Date has data!</t>
  </si>
  <si>
    <t>Flag UB Box 35a (Occurrence Span Code 1a) if it is blank and From Date field has data.</t>
  </si>
  <si>
    <t>FlagDescription=Invalid Occurrence Span From 1b!</t>
  </si>
  <si>
    <t>Flag UB Box 35b - Occurrence Span From 1b if invalid OCR date</t>
  </si>
  <si>
    <t>Condition=@OCROccurDateFromB == #EMPTY &amp;&amp; (@OCROccurSpanCdsB != #EMPTY || @OCROccurDateToB != #EMPTY);FlagDescription=From Date is blank but Code or Through Date have data.</t>
  </si>
  <si>
    <t>Flag UB Box 35b - Occurrence Span From 1b if blank but Code or Trough Date have data</t>
  </si>
  <si>
    <t>Condition=@OCROccurDateFromB != #EMPTY &amp;&amp; (#DATE[@OCROccurDateFromB] &gt; #TODAY || (@OCRStmtDateFrom != #EMPTY &amp;&amp; #DATE[@OCROccurDateFromB]&gt;#DATE[@OCRStmtDateFrom]));FlagDescription=Occurrence Span From 1b is in the future</t>
  </si>
  <si>
    <t>Flag UB Box 35b - Occurrence Span From 1b if it is a future date</t>
  </si>
  <si>
    <t>FlagDescription=Invalid Occurrence Span Through 1b!</t>
  </si>
  <si>
    <t>Flag UB Box 35b - Occurrence Span Through 1b if invalid OCR date</t>
  </si>
  <si>
    <t>Condition=@OCROccurDateToB == #EMPTY &amp;&amp; (@OCROccurSpanCdsB != #EMPTY || @OCROccurDateFromB != #EMPTY);FlagDescription=Through Date is blank but Code or From Date have data.</t>
  </si>
  <si>
    <t>Flag UB Box 35b - Occurrence Span Through 1b if blank but Code or From Date have data</t>
  </si>
  <si>
    <t>Condition=@OCROccurDateToB != #EMPTY &amp;&amp; (#DATE[@OCROccurDateToB] &gt; #TODAY || (@OCRStmtDateFrom != #EMPTY &amp;&amp; #DATE[@OCROccurDateToB]&gt;#DATE[@OCRStmtDateFrom]));FlagDescription=Occurrence Span Through 1b is in the future</t>
  </si>
  <si>
    <t>Flag UB Box 35b - Occurrence Span Through 1b if it is a future date</t>
  </si>
  <si>
    <t>LookupTable=tblOccurrenceSpanCodes;LookupColumn=Code;FlagDescription=Invalid Occurrence Span Code 1b!</t>
  </si>
  <si>
    <t>Flag UB Box 35b (Occurrence Span Code 1b) if it is not found in lookup table: tblOccurrenceSpanCodes.</t>
  </si>
  <si>
    <t>Condition=@OCROccurSpanCdsB == #EMPTY &amp;&amp; @OCROccurDateFromB != #EMPTY;FlagDescription=Field is blank but From Date has data!</t>
  </si>
  <si>
    <t>Flag UB Box 35b (Occurrence Span Code 1b) if it is blank and From Date field has data.</t>
  </si>
  <si>
    <t>FlagDescription=Invalid Occurrence Span From 2a!</t>
  </si>
  <si>
    <t>Flag UB Box 36a - Occurrence Span From 2a if invalid OCR date</t>
  </si>
  <si>
    <t>Condition=@OCROccurDateFrom2A == #EMPTY &amp;&amp; (@OCROccurSpanCds2A != #EMPTY || @OCROccurDateTo2A != #EMPTY);FlagDescription=From Date is blank but Code or Through Date have data.</t>
  </si>
  <si>
    <t>Flag UB Box 36a - Occurrence Span From 2a if blank but Code or Trough Date have data</t>
  </si>
  <si>
    <t>Condition=@OCROccurDateFrom2A != #EMPTY &amp;&amp; (#DATE[@OCROccurDateFrom2A] &gt; #TODAY || (@OCRStmtDateFrom != #EMPTY &amp;&amp; #DATE[@OCROccurDateFrom2A]&gt;#DATE[@OCRStmtDateFrom]));FlagDescription=Occurrence Span From 2a is in the future</t>
  </si>
  <si>
    <t>Flag UB Box 36a - Occurrence Span From 2a if it is a future date</t>
  </si>
  <si>
    <t>FlagDescription=Invalid Occurrence Span Through 2a!</t>
  </si>
  <si>
    <t>Flag UB Box 36a - Occurrence Span Through 2a if invalid OCR date</t>
  </si>
  <si>
    <t>Condition=@OCROccurDateTo2A == #EMPTY &amp;&amp; (@OCROccurSpanCds2A != #EMPTY || @OCROccurDateFrom2A != #EMPTY);FlagDescription=Through Date is blank but Code or From Date have data.</t>
  </si>
  <si>
    <t>Flag UB Box 36a - Occurrence Span Through 2a if blank but Code or From Date have data</t>
  </si>
  <si>
    <t>Condition=@OCROccurDateTo2A != #EMPTY &amp;&amp; (#DATE[@OCROccurDateTo2A] &gt; #TODAY || (@OCRStmtDateFrom != #EMPTY &amp;&amp; #DATE[@OCROccurDateTo2A]&gt;#DATE[@OCRStmtDateFrom]));FlagDescription=Occurrence Span Through 2a is in the future</t>
  </si>
  <si>
    <t>Flag UB Box 36a - Occurrence Span Through 2a if it is a future date</t>
  </si>
  <si>
    <t>LookupTable=tblOccurrenceSpanCodes;LookupColumn=Code;FlagDescription=Invalid Occurrence Span Code 2a!</t>
  </si>
  <si>
    <t>Flag UB Box 36a (Occurrence Span Code 2a) if it is not found in lookup table: tblOccurrenceSpanCodes.</t>
  </si>
  <si>
    <t>Condition=@OCROccurSpanCds2A == #EMPTY &amp;&amp; @OCROccurDateFrom2A != #EMPTY;FlagDescription=Field is blank but From Date has data!</t>
  </si>
  <si>
    <t>Flag UB Box 36a (Occurrence Span Code 2a) if it is blank and From Date field has data.</t>
  </si>
  <si>
    <t>FlagDescription=Invalid Occurrence Span From 2b!</t>
  </si>
  <si>
    <t>Flag UB Box 36b - Occurrence Span From 2b if invalid OCR date</t>
  </si>
  <si>
    <t>Condition=@OCROccurDateFrom2B == #EMPTY &amp;&amp; (@OCROccurSpanCds2B != #EMPTY || @OCROccurDateTo2B != #EMPTY);FlagDescription=From Date is blank but Code or Through Date have data.</t>
  </si>
  <si>
    <t>Flag UB Box 36b - Occurrence Span From 2b if blank but Code or Trough Date have data</t>
  </si>
  <si>
    <t>Condition=@OCROccurDateFrom2B != #EMPTY &amp;&amp; (#DATE[@OCROccurDateFrom2B] &gt; #TODAY || (@OCRStmtDateFrom != #EMPTY &amp;&amp; #DATE[@OCROccurDateFrom2B]&gt;#DATE[@OCRStmtDateFrom]));FlagDescription=Occurrence Span From 2b is in the future</t>
  </si>
  <si>
    <t>Flag UB Box 36b - Occurrence Span From 2b if it is a future date</t>
  </si>
  <si>
    <t>FlagDescription=Invalid Occurrence Span Through 2b!</t>
  </si>
  <si>
    <t>Flag UB Box 36b - Occurrence Span Through 2b if invalid OCR date</t>
  </si>
  <si>
    <t>Condition=@OCROccurDateTo2B == #EMPTY &amp;&amp; (@OCROccurSpanCds2B != #EMPTY || @OCROccurDateFrom2B != #EMPTY);FlagDescription=Through Date is blank but Code or From Date have data.</t>
  </si>
  <si>
    <t>Flag UB Box 36b - Occurrence Span Through 2b if blank but Code or From Date have data</t>
  </si>
  <si>
    <t>Condition=@OCROccurDateTo2B != #EMPTY &amp;&amp; (#DATE[@OCROccurDateTo2B] &gt; #TODAY || (@OCRStmtDateFrom != #EMPTY &amp;&amp; #DATE[@OCROccurDateTo2B]&gt;#DATE[@OCRStmtDateFrom]));FlagDescription=Occurrence Span Through 2b is in the future</t>
  </si>
  <si>
    <t>Flag UB Box 36b - Occurrence Span Through 2b if it is a future date</t>
  </si>
  <si>
    <t>LookupTable=tblOccurrenceSpanCodes;LookupColumn=Code;FlagDescription=Invalid Occurrence Span Code 2b!</t>
  </si>
  <si>
    <t>Flag UB Box 36b (Occurrence Span Code 2b) if it is not found in lookup table: tblOccurrenceSpanCodes.</t>
  </si>
  <si>
    <t>Condition=@OCROccurSpanCds2B == #EMPTY &amp;&amp; @OCROccurDateFrom2B != #EMPTY;FlagDescription=Field is blank but From Date has data!</t>
  </si>
  <si>
    <t>Flag UB Box 36b (Occurrence Span Code 2b) if it is blank and From Date field has data.</t>
  </si>
  <si>
    <t>Responsible Party - City, state and zip</t>
  </si>
  <si>
    <t>StoredProc=usp_TE_LookupZip;SPParameters=@City=@ResponsibleParty_Addr_City,@State=@ResponsibleParty_Addr_State,@Zip=@ResponsibleParty_Addr_Zip;FlagCondition=Result &lt; 1;FieldsToFlag=ResponsibleParty_Addr_City,ResponsibleParty_Addr_State,ResponsibleParty_Addr_Zip,ResponsibleParty_Addr_ZipPlus;ExecuteIfAnyBlank=True;FlagDescription=Responsible Party City, State and Zip do not match Zip Table.</t>
  </si>
  <si>
    <t>Flag Responsible Party City, State and Zip if not in the DB Zip table.</t>
  </si>
  <si>
    <t>Responsible Party - Street</t>
  </si>
  <si>
    <t>FlagDescription=Responsible Party street address is blank</t>
  </si>
  <si>
    <t>Flag Responsible Party street address if blank</t>
  </si>
  <si>
    <t>LookupTable=tblValueCodes;LookupColumn=Code;FlagDescription=Invalid Value Codes - Code 1a!</t>
  </si>
  <si>
    <t>Flag UB Box 39a (Value Codes - Code 1a) if it is not found in lookup table: tblValueCodes.</t>
  </si>
  <si>
    <t xml:space="preserve">Condition=@OCRValueAmts1A != #EMPTY &amp;&amp; @OCRValueCodes1A== #EMPTY;FlagDescription=Value Codes - Code 1a is blank but Value Codes - Amount 1a is present </t>
  </si>
  <si>
    <t>Flag UB Box 39a - Value Codes - Code 1a if it is blank but  Value Codes - Amount 1a is present</t>
  </si>
  <si>
    <t xml:space="preserve">Condition=@OCRValueAmts1A == #EMPTY &amp;&amp; @OCRValueCodes1A!= #EMPTY;FlagDescription=Value Codes - Amount 1a is blank but Value Codes - Code 1a is present </t>
  </si>
  <si>
    <t>Flag UB Box 39a - Value Codes - Amount 1a if it is blank but Value Codes - Code 1a is present</t>
  </si>
  <si>
    <t>LookupTable=tblValueCodes;LookupColumn=Code;FlagDescription=Invalid Value Codes - Code 1b!</t>
  </si>
  <si>
    <t>Flag UB Box 39b (Value Codes - Code 1b) if it is not found in lookup table: tblValueCodes.</t>
  </si>
  <si>
    <t xml:space="preserve">Condition=@OCRValueAmts1B != #EMPTY &amp;&amp; @OCRValueCodes1B== #EMPTY;FlagDescription=Value Codes - Code 1b is blank but Value Codes - Amount 1b is present </t>
  </si>
  <si>
    <t>Flag UB Box 39b - Value Codes - Code 1b if it is blank but  Value Codes - Amount 1b is present</t>
  </si>
  <si>
    <t xml:space="preserve">Condition=@OCRValueAmts1B == #EMPTY &amp;&amp; @OCRValueCodes1B!= #EMPTY;FlagDescription=Value Codes - Amount 1b is blank but Value Codes - Code 1b is present </t>
  </si>
  <si>
    <t>Flag UB Box 39b - Value Codes - Amount 1b if it is blank but Value Codes - Code 1b is present</t>
  </si>
  <si>
    <t>LookupTable=tblValueCodes;LookupColumn=Code;FlagDescription=Invalid Value Codes - Code 1c!</t>
  </si>
  <si>
    <t>Flag UB Box 39c (Value Codes - Code 1c) if it is not found in lookup table: tblValueCodes.</t>
  </si>
  <si>
    <t xml:space="preserve">Condition=@OCRValueAmts1C != #EMPTY &amp;&amp; @OCRValueCodes1C== #EMPTY;FlagDescription=Value Codes - Code 1c is blank but Value Codes - Amount 1c is present </t>
  </si>
  <si>
    <t>Flag UB Box 39c - Value Codes - Code 1c if it is blank but  Value Codes - Amount 1c is present</t>
  </si>
  <si>
    <t xml:space="preserve">Condition=@OCRValueAmts1C == #EMPTY &amp;&amp; @OCRValueCodes1C!= #EMPTY;FlagDescription=Value Codes - Amount 1c is blank but Value Codes - Code 1c is present </t>
  </si>
  <si>
    <t>Flag UB Box 39c - Value Codes - Amount 1c if it is blank but Value Codes - Code 1c is present</t>
  </si>
  <si>
    <t>LookupTable=tblValueCodes;LookupColumn=Code;FlagDescription=Invalid Value Codes - Code 1d!</t>
  </si>
  <si>
    <t>Flag UB Box 39d (Value Codes - Code 1d) if it is not found in lookup table: tblValueCodes.</t>
  </si>
  <si>
    <t xml:space="preserve">Condition=@OCRValueAmts1D != #EMPTY &amp;&amp; @OCRValueCodes1D== #EMPTY;FlagDescription=Value Codes - Code 1d is blank but Value Codes - Amount 1d is present </t>
  </si>
  <si>
    <t>Flag UB Box 39d - Value Codes - Code 1d if it is blank but  Value Codes - Amount 1d is present</t>
  </si>
  <si>
    <t xml:space="preserve">Condition=@OCRValueAmts1D == #EMPTY &amp;&amp; @OCRValueCodes1D!= #EMPTY;FlagDescription=Value Codes - Amount 1d is blank but Value Codes - Code 1d is present </t>
  </si>
  <si>
    <t>Flag UB Box 39d - Value Codes - Amount 1d if it is blank but Value Codes - Code 1d is present</t>
  </si>
  <si>
    <t>LookupTable=tblValueCodes;LookupColumn=Code;FlagDescription=Invalid Value Codes - Code 2a!</t>
  </si>
  <si>
    <t>Flag UB Box 40a (Value Codes - Code 2a) if it is not found in lookup table: tblValueCodes.</t>
  </si>
  <si>
    <t xml:space="preserve">Condition=@OCRValueAmts2A != #EMPTY &amp;&amp; @OCRValueCodes2A== #EMPTY;FlagDescription=Value Codes - Code 2a is blank but Value Codes - Amount 2a is present </t>
  </si>
  <si>
    <t>Flag UB Box 40a - Value Codes - Code 2a if it is blank but  Value Codes - Amount 2a is present</t>
  </si>
  <si>
    <t xml:space="preserve">Condition=@OCRValueAmts2A == #EMPTY &amp;&amp; @OCRValueCodes2A!= #EMPTY;FlagDescription=Value Codes - Amount 2a is blank but Value Codes - Code 2a is present </t>
  </si>
  <si>
    <t>Flag UB Box 40a - Value Codes - Amount 2a if it is blank but Value Codes - Code 2a is present</t>
  </si>
  <si>
    <t>LookupTable=tblValueCodes;LookupColumn=Code;FlagDescription=Invalid Value Codes - Code 2b!</t>
  </si>
  <si>
    <t>Flag UB Box 40b (Value Codes - Code 2b) if it is not found in lookup table: tblValueCodes.</t>
  </si>
  <si>
    <t xml:space="preserve">Condition=@OCRValueAmts2B != #EMPTY &amp;&amp; @OCRValueCodes2B== #EMPTY;FlagDescription=Value Codes - Code 2b is blank but Value Codes - Amount 2b is present </t>
  </si>
  <si>
    <t>Flag UB Box 40b - Value Codes - Code 2b if it is blank but  Value Codes - Amount 2b is present</t>
  </si>
  <si>
    <t xml:space="preserve">Condition=@OCRValueAmts2B == #EMPTY &amp;&amp; @OCRValueCodes2B!= #EMPTY;FlagDescription=Value Codes - Amount 2b is blank but Value Codes - Code 2b is present </t>
  </si>
  <si>
    <t>Flag UB Box 40b - Value Codes - Amount 2b if it is blank but Value Codes - Code 2b is present</t>
  </si>
  <si>
    <t>LookupTable=tblValueCodes;LookupColumn=Code;FlagDescription=Invalid Value Codes - Code 2c!</t>
  </si>
  <si>
    <t>Flag UB Box 40c (Value Codes - Code 2c) if it is not found in lookup table: tblValueCodes.</t>
  </si>
  <si>
    <t xml:space="preserve">Condition=@OCRValueAmts2C != #EMPTY &amp;&amp; @OCRValueCodes2C== #EMPTY;FlagDescription=Value Codes - Code 2c is blank but Value Codes - Amount 2c is present </t>
  </si>
  <si>
    <t>Flag UB Box 40c - Value Codes - Code 2c if it is blank but  Value Codes - Amount 2c is present</t>
  </si>
  <si>
    <t xml:space="preserve">Condition=@OCRValueAmts2C == #EMPTY &amp;&amp; @OCRValueCodes2C!= #EMPTY;FlagDescription=Value Codes - Amount 2c is blank but Value Codes - Code 2c is present </t>
  </si>
  <si>
    <t>Flag UB Box 40c - Value Codes - Amount 2c if it is blank  but Value Codes - Code 2c is present</t>
  </si>
  <si>
    <t>LookupTable=tblValueCodes;LookupColumn=Code;FlagDescription=Invalid Value Codes - Code 2d!</t>
  </si>
  <si>
    <t>Flag UB Box 40d (Value Codes - Code 2d) if it is not found in lookup table: tblValueCodes.</t>
  </si>
  <si>
    <t xml:space="preserve">Condition=@OCRValueAmts2D != #EMPTY &amp;&amp; @OCRValueCodes2D== #EMPTY;FlagDescription=Value Codes - Code 2d is blank but Value Codes - Amount 2d is present </t>
  </si>
  <si>
    <t>Flag UB Box 40d - Value Codes - Code 2d if it is blank but  Value Codes - Amount 2d is present</t>
  </si>
  <si>
    <t xml:space="preserve">Condition=@OCRValueAmts2D == #EMPTY &amp;&amp; @OCRValueCodes2D!= #EMPTY;FlagDescription=Value Codes - Amount 2d is blank but Value Codes - Code 2d is present </t>
  </si>
  <si>
    <t>Flag UB Box 40d - Value Codes - Amount 2d if it is blank but Value Codes - Code 2d is present</t>
  </si>
  <si>
    <t>LookupTable=tblValueCodes;LookupColumn=Code;FlagDescription=Invalid Value Codes - Code 3a!</t>
  </si>
  <si>
    <t>Flag UB Box 41a (Value Codes - Code 3a) if it is not found in lookup table: tblValueCodes.</t>
  </si>
  <si>
    <t xml:space="preserve">Condition=@OCRValueAmts3A != #EMPTY &amp;&amp; @OCRValueCodes3A== #EMPTY;FlagDescription=Value Codes - Code 3a is blank but Value Codes - Amount 3a is present </t>
  </si>
  <si>
    <t>Flag UB Box 41a - Value Codes - Code 3a if it is blank but  Value Codes - Amount 3a is present</t>
  </si>
  <si>
    <t xml:space="preserve">Condition=@OCRValueAmts3A == #EMPTY &amp;&amp; @OCRValueCodes3A!= #EMPTY;FlagDescription=Value Codes - Amount 3a is blank but Value Codes - Code 3a is present </t>
  </si>
  <si>
    <t>Flag UB Box 41a - Value Codes - Amount 3a if it is blank but Value Codes - Code 3a is present</t>
  </si>
  <si>
    <t>LookupTable=tblValueCodes;LookupColumn=Code;FlagDescription=Invalid Value Codes - Code 3b!</t>
  </si>
  <si>
    <t>Flag UB Box 41b (Value Codes - Code 3b) if it is not found in lookup table: tblValueCodes.</t>
  </si>
  <si>
    <t xml:space="preserve">Condition=@OCRValueAmts3B != #EMPTY &amp;&amp; @OCRValueCodes3B== #EMPTY;FlagDescription=Value Codes - Code 3b is blank but Value Codes - Amount 3b is present </t>
  </si>
  <si>
    <t>Flag UB Box 41b - Value Codes - Code 3b if it is blank but  Value Codes - Amount 3b is present</t>
  </si>
  <si>
    <t xml:space="preserve">Condition=@OCRValueAmts3B == #EMPTY &amp;&amp; @OCRValueCodes3B!= #EMPTY;FlagDescription=Value Codes - Amount 3b is blank but Value Codes - Code 3b is present </t>
  </si>
  <si>
    <t>Flag UB Box 41b - Value Codes - Amount 3b if it is blank but Value Codes - Code 3b is present</t>
  </si>
  <si>
    <t>LookupTable=tblValueCodes;LookupColumn=Code;FlagDescription=Invalid Value Codes - Code 3c!</t>
  </si>
  <si>
    <t>Flag UB Box 41c (Value Codes - Code 3c) if it is not found in lookup table: tblValueCodes.</t>
  </si>
  <si>
    <t xml:space="preserve">Condition=@OCRValueAmts3C != #EMPTY &amp;&amp; @OCRValueCodes3C== #EMPTY;FlagDescription=Value Codes - Code 3c is blank but Value Codes - Amount 3c is present </t>
  </si>
  <si>
    <t>Flag UB Box 41c - Value Codes - Code 3c if it is blank but  Value Codes - Amount 3c is present</t>
  </si>
  <si>
    <t xml:space="preserve">Condition=@OCRValueAmts3C == #EMPTY &amp;&amp; @OCRValueCodes3C!= #EMPTY;FlagDescription=Value Codes - Amount 3c is blank but Value Codes - Code 3c is present </t>
  </si>
  <si>
    <t>Flag UB Box 41c - Value Codes - Amount 3c if it is blank but Value Codes - Code 3c is present</t>
  </si>
  <si>
    <t>LookupTable=tblValueCodes;LookupColumn=Code;FlagDescription=Invalid Value Codes - Code 3d!</t>
  </si>
  <si>
    <t>Flag UB Box 41d (Value Codes - Code 3d) if it is not found in lookup table: tblValueCodes.</t>
  </si>
  <si>
    <t xml:space="preserve">Condition=@OCRValueAmts3D != #EMPTY &amp;&amp; @OCRValueCodes3D== #EMPTY;FlagDescription=Value Codes - Code 3d is blank but Value Codes - Amount 3d is present </t>
  </si>
  <si>
    <t>Flag UB Box 41d - Value Codes - Code 3d if it is blank but  Value Codes - Amount 3d is present</t>
  </si>
  <si>
    <t xml:space="preserve">Condition=@OCRValueAmts3D == #EMPTY &amp;&amp; @OCRValueCodes3D!= #EMPTY;FlagDescription=Value Codes - Amount 3d is blank but Value Codes - Code 3d is present </t>
  </si>
  <si>
    <t>Flag UB Box 41d - Value Codes - Amount 3d if it is blank but Value Codes - Code 3d is present</t>
  </si>
  <si>
    <t>FlagBlankDetailRecs</t>
  </si>
  <si>
    <t>FlagDescription=All fields in the detail line are blank!;SourceFields=OCRRevCodes,NDC_Code_Qual,NDC_Code,NDC_Units_Qual,NDC_Units,ProcCode,Modifier_1,Modifier_2,Modifier_3,Modifier_4,OCRServiceDates,OCRServiceUnits,OCRDetailCharges,OCRNonCvdChgs</t>
  </si>
  <si>
    <t>Flags all fields in the current detail record visible in WebDE if all fields are blank</t>
  </si>
  <si>
    <t>Condition=@OCRRevCodes==#EMPTY &amp;&amp; (@OCRDescriptions!=#EMPTY || @OCRProcCodes!=#EMPTY || @OCRServiceDates!=#EMPTY || @OCRServiceUnits!=#EMPTY ||@OCRDetailCharges!=#EMPTY || @OCRNonCvdChgs!=#EMPTY);FlagDescription=Revenue Code is blank, but there is value on the any of the other fields on same the line!</t>
  </si>
  <si>
    <t>Flag UB Box 42 - Revenue Code (OCRRevCodes) if blank and there is value on the any of the other fields on the line</t>
  </si>
  <si>
    <t>LookupTable=tblRevenueCodes;LookupColumn=RevenueCode;SourceValue=#INT[@OCRRevCodes];FlagDescription=Invalid Revenue Code</t>
  </si>
  <si>
    <t>Flag UB Box 42 (Revenue Code) if invalid.</t>
  </si>
  <si>
    <t>Condition=@OCRRevCodes!=#EMPTY &amp;&amp; @NDC_Code_Qual==#EMPTY &amp;&amp; @NDC_Code_Qual==#EMPTY &amp;&amp; @NDC_Code==#EMPTY &amp;&amp; @NDC_Units_Qual==#EMPTY &amp;&amp; @NDC_Units==#EMPTY &amp;&amp; @ProcCode==#EMPTY &amp;&amp; @Modifier_1==#EMPTY &amp;&amp; @Modifier_2==#EMPTY &amp;&amp; @Modifier_3==#EMPTY &amp;&amp; @Modifier_4==#EMPTY &amp;&amp; @OCRServiceDates==#EMPTY &amp;&amp; @OCRServiceUnits==#EMPTY &amp;&amp; @OCRDetailCharges==#EMPTY &amp;&amp; @OCRNonCvdChgs==#EMPTY;FlagDescription=Revenue Code present but all other fields are blank!;FieldsToFlag=OCRRevCodes,NDC_Code_Qual,NDC_Code,NDC_Units_Qual,NDC_Units,ProcCode,Modifier_1,Modifier_2,Modifier_3,Modifier_4,OCRServiceDates,OCRServiceUnits,OCRDetailCharges,OCRNonCvdChgs</t>
  </si>
  <si>
    <t>Flag all fields if blanbk but there is revenue code</t>
  </si>
  <si>
    <t>Condition=@NDC_Code_Qual==#EMPTY &amp;&amp; @NDC_Code!=#EMPTY;FieldsToFlag=NDC_Code_Qual,NDC_Code;FlagDescription=NDC Code Qualifier is blank, but NDC Code is not!</t>
  </si>
  <si>
    <t>Flag UB Box 43 - NDC (NDC Code Qualifier) if invalid.</t>
  </si>
  <si>
    <t>Condition=@NDC_Code_Qual!=#EMPTY &amp;&amp; @NDC_Code==#EMPTY;FieldsToFlag=NDC_Code_Qual,NDC_Code;FlagDescription=NDC Code is blank, but NDC Code Qualifier is not!</t>
  </si>
  <si>
    <t>Flag UB Box 43 - NDC (NDC Code Qualifier) if not blank but the NDC Code is blank.</t>
  </si>
  <si>
    <t>Condition=@NDC_Units_Qual==#EMPTY &amp;&amp; @NDC_Units!=#EMPTY;FieldsToFlag=NDC_Units_Qual,NDC_Units;FlagDescription=NDC Units Qualifier is blank, but NDC Units is not!</t>
  </si>
  <si>
    <t>Flag UB Box 43 - NDC (NDC Units Qualifier) if invalid.</t>
  </si>
  <si>
    <t>Condition=@NDC_Units_Qual!=#EMPTY &amp;&amp; @NDC_Units==#EMPTY;FieldsToFlag=NDC_Units_Qual,NDC_Units;FlagDescription=NDC Units is blank, but NDC Units Qualifier is not!</t>
  </si>
  <si>
    <t>Flag UB Box 43 - NDC (NDC Units Qualifier) if not blank but the NDC Units is blank.</t>
  </si>
  <si>
    <t>Condition=@NDC_Code!=#EMPTY &amp;&amp; (#LENGTH[@NDC_Code]!=11 || #ISNUMBER[@NDC_Code]==False);FieldsToFlag=NDC_Code_Qual,NDC_Code;FlagDescription=NDC code is not 11 digits!</t>
  </si>
  <si>
    <t>Flag UB Box 43 - NDC (NDC Code) if NDC Code is not 11 chars.</t>
  </si>
  <si>
    <t>StoredProc=usp_TE_LookupCPCode;SPParameters=@Code=@ProcCode;FlagCondition=Result &lt; 1 &amp;&amp; @ProcCode != #EMPTY &amp;&amp; (@OCRRevCodes == #EMPTY || @OCRRevCodes&lt;100 || @OCRRevCodes&gt;219);FieldsToFlag=ProcCode;ExecuteIfAnyBlank=False;FlagDescription=Proc Code not found and Rev Code is not in the range 100-219.</t>
  </si>
  <si>
    <t>Flag UB Box 44 - Proc Code (ProcCode) if the procedure code is not found in the lookup table AND Rev Code is not in the range 100-219</t>
  </si>
  <si>
    <t>LookupTable=tblModifiers;LookupColumn=Code;FlagDescription=Invalid modifier!</t>
  </si>
  <si>
    <t>Flag UB Box 44 - Modifier 1 (Modifier_1) if not found into modifiers table.</t>
  </si>
  <si>
    <t>Flag UB Box 44 - Modifier 2 (Modifier_2) if not found into modifiers table.</t>
  </si>
  <si>
    <t>Flag UB Box 44 - Modifier 3 (Modifier_3) if not found into modifiers table.</t>
  </si>
  <si>
    <t>Flag UB Box 44 - Modifier 4 (Modifier_4) if not found into modifiers table.</t>
  </si>
  <si>
    <t>FlagDescription=Invalid Service Date!</t>
  </si>
  <si>
    <t>Flag UB Box 45 - Service Date if invalid OCR date</t>
  </si>
  <si>
    <t>Condition=@OCRServiceDates != #EMPTY &amp;&amp; #DATE[@OCRServiceDates] &gt; #TODAY;FlagDescription=Service Date is a future date!</t>
  </si>
  <si>
    <t>Flag UB Box 45 - Service Date if it is a future date</t>
  </si>
  <si>
    <t>FlagDescription=Service Units is blank</t>
  </si>
  <si>
    <t>Flag Service Units if blank</t>
  </si>
  <si>
    <t>FlagDescription=Review Service Units value;Condition=@OCRServiceUnits != EMPTY &amp;&amp; (#DECIMAL[@OCRServiceUnits] &lt; 1 || #DECIMAL[@OCRServiceUnits] &gt; 9)</t>
  </si>
  <si>
    <t>Flag Service Units if less than 1 or greater than 9</t>
  </si>
  <si>
    <t>890334
891386</t>
  </si>
  <si>
    <t>Condition=@OCRDetailCharges != #EMPTY &amp;&amp; #INT[@OCRDetailCharges] &gt; 999999 &amp;&amp; @UBHeader.OCRTotalCharge != #EMPTY &amp;&amp; #INT[@UBHeader.OCRTotalCharge] &gt; 9999999;FieldsToFlag=OCRDetailCharges,UBHeader.OCRTotalCharge;FlagDescription=Detail charge is more than 6 digits and claim total charge is more than 7 digits</t>
  </si>
  <si>
    <t>Flag detail charge and total claim charge detail charge if more than 6 digits and total claim charge is more than 7 digits.</t>
  </si>
  <si>
    <t>Condition=@OCRDetailCharges!=#EMPTY &amp;&amp; #INT[@OCRDetailCharges]&gt;50000000 &amp;&amp; @OCRServiceUnits!=#EMPTY &amp;&amp; #DECIMAL[@OCRServiceUnits]&lt;2000 &amp;&amp; @OCRRevCodes!=#EMPTY &amp;&amp; (#INT[@OCRRevCodes]&lt;100 || #INT[@OCRRevCodes]&gt;219);FieldsToFlag=OCRDetailCharges,OCRServiceUnits,OCRRevCodes;FlagDescription=Detail charge is more than $500,000, Units are more than 2,000 and Revenue code is NOT within 100-219 range</t>
  </si>
  <si>
    <t>Flag detail charges, units and revenue code if detail charge is more than $500,000, units are less than 2,000 and revenue code is NOT within 100-219 range</t>
  </si>
  <si>
    <t>Condition=@OCRDetailCharges!=#EMPTY &amp;&amp; #INT[@OCRDetailCharges]&gt;50000000 &amp;&amp; @OCRServiceUnits!=#EMPTY &amp;&amp; #DECIMAL[@OCRServiceUnits]&lt;10;FieldsToFlag=OCRDetailCharges,OCRServiceUnits;FlagDescription=Detail charge is more than $500,000 and units are less than 10.</t>
  </si>
  <si>
    <t>Flag detail charges and units if detail charge is more than $500,000, units are less than 10</t>
  </si>
  <si>
    <t>Condition=@OCRDetailCharges==#EMPTY &amp;&amp; @OCRevCodes!=#EMPTY;FlagDescription=Detail charge is blank but Revenue Code is not blank</t>
  </si>
  <si>
    <t>Flag Detail charge it blank but Revenue Code is not blank</t>
  </si>
  <si>
    <t>Condition=#LENGTH[@OCRNonCvdChgs]&gt;6;FlagDescription=The amount is more than 6 characters!</t>
  </si>
  <si>
    <t>Flag Non Covered Charge if the amount is more than 6 characters.</t>
  </si>
  <si>
    <t>OCRTotalCharge
OCRServiceUnits (Detail)</t>
  </si>
  <si>
    <t>FlagEqualConsecutiveFields</t>
  </si>
  <si>
    <t>Condition=@OCRServiceUnits != #EMPTY &amp;&amp; #INT[@OCRServiceUnits] &gt; 1;SourceField=OCRServiceUnits;FlagDescription=Consecutive equal Units field values</t>
  </si>
  <si>
    <t>Flags units in 2 or more consecutive lines if values of Units fields are equal and the value is greater than 1</t>
  </si>
  <si>
    <t>US 888826</t>
  </si>
  <si>
    <t>Condition=#LENGTH[@OCRTotalCharge]&gt;7;FlagDescription=The total charges amount is more than 7 characters!</t>
  </si>
  <si>
    <t>Flag Total Charge if the amount is more than 7 characters.</t>
  </si>
  <si>
    <t>FlagInvalidTotalCharge</t>
  </si>
  <si>
    <t>FlagDescription=Total charge is not equal to the sum of the detail line charges;DetailChargeField=OCRDetailCharges;FlagDetailCharges=True</t>
  </si>
  <si>
    <t>Flag Total charge and all line charges if total charge is not equal to the sum of the line charges</t>
  </si>
  <si>
    <t>Condition=#LENGTH[@OCRNONCovTotalCharge]&gt;7;FlagDescription=The total non-covered charges is more than 7 characters!</t>
  </si>
  <si>
    <t>Flag Total Non-Covered Charge if the amount is more than 7 characters.</t>
  </si>
  <si>
    <t>FlagDescription=Invalid Creation Date!</t>
  </si>
  <si>
    <t>Flag UB Totals - Creation Date if invalid OCR date</t>
  </si>
  <si>
    <t>FlagDescription=Aetna Plan Name is blank;FieldsToFlag=PlanName_AetnaMedicaid,PlanName_COB</t>
  </si>
  <si>
    <t>Flag Aetna Plan Name and COB Plan Name if Aetna Plan Name is blank</t>
  </si>
  <si>
    <t>FlagAetnaPlanName</t>
  </si>
  <si>
    <t>FlagDescription=Aetna Plan Name does not contain Aetna Medicaid key word/phrase;LookupTable=tblAetnaPayerKeyWords;LookupColumn=KeyWord;FieldsToFlag=PlanName_AetnaMedicaid,PlanName_COB</t>
  </si>
  <si>
    <t>Flag Aetna Plan Name and COB Plan Name if Aetna Plan Name does not contain Medicaid key word/phrase</t>
  </si>
  <si>
    <t>Condition=OCRPriorPaymentsA==#EMPTY &amp;&amp; (OCRPayersA!=#EMPTY || OCRProviderNosA!=#EMPTY) ;FlagDescription=Prior Payments A is blank  but either Payer Name A or Helth Plan A is not blank</t>
  </si>
  <si>
    <t>Flag UB Box 54A - Prior Payments Name A (OCRPriorPaymentsA) if blank  but either Payer Name A or Helth Plan A is not blank</t>
  </si>
  <si>
    <t>Condition=OCRPriorPaymentsB==#EMPTY &amp;&amp; (OCRPayersB!=#EMPTY || OCRProviderNosB!=#EMPTY) ;FlagDescription=Prior Payments B is blank  but either Payer Name B or Helth Plan B is not blank</t>
  </si>
  <si>
    <t>Flag UB Box 54B - Prior Payments Name B (OCRPriorPaymentsB) if blank  but either Payer Name B or Helth Plan B is not blank</t>
  </si>
  <si>
    <t>Condition=OCRPriorPaymentsC==#EMPTY &amp;&amp; (OCRPayersC!=#EMPTY || OCRProviderNosC!=#EMPTY) ;FlagDescription=Prior Payments C is blank  but either Payer Name C or Helth Plan C is not blank</t>
  </si>
  <si>
    <t>Flag UB Box 54C - Prior Payments Name C (OCRPriorPaymentsC) if blank  but either Payer Name C or Helth Plan C is not blank</t>
  </si>
  <si>
    <t>FlagInvalidNPI</t>
  </si>
  <si>
    <t>FlagDescription=Invalid NPI</t>
  </si>
  <si>
    <t>Flag UB Box 56 (NPI) if it is not a valid NPI</t>
  </si>
  <si>
    <t>FlagDescription=NPI is blank</t>
  </si>
  <si>
    <t>Flag UB Box 56 (NPI) if it is blank</t>
  </si>
  <si>
    <t>FlagDescription=Other Provider ID A is blank</t>
  </si>
  <si>
    <t>Flag UB Box 57A - Other Provider ID A if blank.</t>
  </si>
  <si>
    <t>FlagDescription=Insured Name A is blank</t>
  </si>
  <si>
    <t>Flag UB Box 58A - Insured Name A (OCRInsNamesA) if blank.</t>
  </si>
  <si>
    <t>Condition=@Insured_Name_Last_A != EMPTY &amp;&amp; #LENGTH[@Insured_Name_Last_A] &lt; 3;FlagDescription=Insured A Last Name is too short</t>
  </si>
  <si>
    <t>Flag Insured A Last Name if not blank and length is less than 3 chars</t>
  </si>
  <si>
    <t>Condition=@Insured_Name_First_A != EMPTY &amp;&amp; #LENGTH[@Insured_Name_First_A] &lt; 3;FlagDescription=Insured A First Name is too short</t>
  </si>
  <si>
    <t>Flag Insured A First Name if not blank and length is less than 3 chars</t>
  </si>
  <si>
    <t>Condition=@Insured_Name_Last_B != EMPTY &amp;&amp; #LENGTH[@Insured_Name_Last_B] &lt; 3;FlagDescription=Insured B Last Name is too short</t>
  </si>
  <si>
    <t>Flag Insured B Last Name if not blank and length is less than 3 chars</t>
  </si>
  <si>
    <t>Condition=@Insured_Name_First_B != EMPTY &amp;&amp; #LENGTH[@Insured_Name_First_B] &lt; 3;FlagDescription=Insured B First Name is too short</t>
  </si>
  <si>
    <t>Flag Insured B First Name if not blank and length is less than 3 chars</t>
  </si>
  <si>
    <t>Condition=@Insured_Name_Last_C != EMPTY &amp;&amp; #LENGTH[@Insured_Name_Last_C] &lt; 3;FlagDescription=Insured C Last Name is too short</t>
  </si>
  <si>
    <t>Flag Insured C Last Name if not blank and length is less than 3 chars</t>
  </si>
  <si>
    <t>Condition=@Insured_Name_First_C != EMPTY &amp;&amp; #LENGTH[@Insured_Name_First_C] &lt; 3;FlagDescription=Insured C First Name is too short</t>
  </si>
  <si>
    <t>Flag Insured C First Name if not blank and length is less than 3 chars</t>
  </si>
  <si>
    <t>FlagDescription=Patient Relationship A is blank</t>
  </si>
  <si>
    <t>Flag UB Box 59A - Patient Relationship A (OCRPatRelsA) if blank.</t>
  </si>
  <si>
    <t>FlagDescription=Blank Insured IDs!;FieldsToFlag=OCRInsIDsA,OCRInsIDsB,OCRInsIDsC</t>
  </si>
  <si>
    <t>Flag UB Box 60 A, B and C (Insured IDs) if the determined Aetna InsID is blank (which means all 3 are blank)</t>
  </si>
  <si>
    <t>Condition=@OCRDocCtlNumA == #EMPTY &amp;&amp; #IN[#RIGHT[@OCRBillType,1],7|8];FlagDescription=Document Control Number A is empty, but Box 4 Bill Type ends with 7 or 8!</t>
  </si>
  <si>
    <t>Flag UB Box 64A - Document Control Number A (OCRDocCtlNumA) if empty but Box 4 TOB (OCRBillType) ends with 7 or 8.</t>
  </si>
  <si>
    <t>Condition=@OCRDocCtlNumB == #EMPTY &amp;&amp; #IN[#RIGHT[@OCRBillType,1],7|8];FlagDescription=Document Control Number B is empty, but Box 4 Bill Type ends with 7 or 8!</t>
  </si>
  <si>
    <t>Flag UB Box 64B - Document Control Number B (OCRDocCtlNumB) if empty but Box 4 TOB (OCRBillType) ends with 7 or 8.</t>
  </si>
  <si>
    <t>Condition=@OCRDocCtlNumC == #EMPTY &amp;&amp; #IN[#RIGHT[@OCRBillType,1],7|8];FlagDescription=Document Control Number C is empty, but Box 4 Bill Type ends with 7 or 8!</t>
  </si>
  <si>
    <t>Flag UB Box 64C - Document Control Number C (OCRDocCtlNumC) if empty but Box 4 TOB (OCRBillType) ends with 7 or 8.</t>
  </si>
  <si>
    <t>StoredProc=usp_TE_LookupDiagCode;SPParameters=@DiagCode=@DiagCode;FlagCondition=Result &lt; 1;FieldsToFlag=DiagCode,DiagPOA;ExecuteIfAnyBlank=False;FlagDescription=Principal Diag Code not found in DiagCodes table.</t>
  </si>
  <si>
    <t>Flag UB Box 67 - Principal Diag Code (and corresponding POA field) if diag. code not found in DiagCode table.</t>
  </si>
  <si>
    <t>US 898365</t>
  </si>
  <si>
    <t>Condition=@DiagPOA != #EMPTY &amp;&amp; #IN[@DiagPOA,Y|N|U|W| |1]==False;FieldsToFlag=DiagPOA,DiagCode;FlagDescription=Invalid Diag POA!</t>
  </si>
  <si>
    <t>Flag UB Box 67 - Principal Diag Code POA (and corresponding Code field) if not Y,N,U,W or 1.</t>
  </si>
  <si>
    <t>Condition=@DiagPOA == #EMPTY &amp;&amp; @DiagCode != #EMPTY;FlagDescription=Diag POA is blank but Diag Code is not blank!</t>
  </si>
  <si>
    <t>Flag UB Box 67 - Principal Diag Code POA if blank but Diag Code is not blank</t>
  </si>
  <si>
    <t>StoredProc=usp_TE_LookupDiagCode;SPParameters=@DiagCode=@DiagCodeA;FlagCondition=Result &lt; 1;FieldsToFlag=DiagCodeA,DiagPOAA;ExecuteIfAnyBlank=False;FlagDescription=Other DX Codes A not found in DiagCodes table.</t>
  </si>
  <si>
    <t>Flag UB Box 67 A - Other DX Codes A (and corresponding POA field) if diag. code not found in DiagCode table.</t>
  </si>
  <si>
    <t>Condition=@DiagPOAA != #EMPTY &amp;&amp; #IN[@DiagPOAA,Y|N|U|W| |1]==False;FieldsToFlag=DiagPOAA,DiagCodeA;FlagDescription=Invalid Diag POA!</t>
  </si>
  <si>
    <t>Flag UB Box 67 A - Other DX Codes POA A (and corresponding Code field) if not Y,N,U,W or 1.</t>
  </si>
  <si>
    <t>Condition=@DiagPOAA == #EMPTY &amp;&amp; @DiagCodeA != #EMPTY;FlagDescription=Diag POA is blank but Diag Code is not blank!</t>
  </si>
  <si>
    <t>Flag UB Box 67 - Other Diag Code POA A if blank but Diag Code A is not blank</t>
  </si>
  <si>
    <t>StoredProc=usp_TE_LookupDiagCode;SPParameters=@DiagCode=@DiagCodeB;FlagCondition=Result &lt; 1;FieldsToFlag=DiagCodeB,DiagPOAB;ExecuteIfAnyBlank=False;FlagDescription=Other DX Codes B not found in DiagCodes table.</t>
  </si>
  <si>
    <t>Flag UB Box 67 B - Other DX Codes B (and corresponding POA field) if diag. code not found in DiagCode table.</t>
  </si>
  <si>
    <t>Condition=@DiagPOAB != #EMPTY &amp;&amp; #IN[@DiagPOAB,Y|N|U|W| |1]==False;FieldsToFlag=DiagPOAB,DiagCodeB;FlagDescription=Invalid Diag POA!</t>
  </si>
  <si>
    <t>Flag UB Box 67 B - Other DX Codes POA B (and corresponding Code field) if not Y,N,U,W or 1.</t>
  </si>
  <si>
    <t>Condition=@DiagPOAB == #EMPTY &amp;&amp; @DiagCodeB != #EMPTY;FlagDescription=Diag POA is blank but Diag Code is not blank!</t>
  </si>
  <si>
    <t>Flag UB Box 67 - Other Diag Code POA B if blank but Diag Code B is not blank</t>
  </si>
  <si>
    <t>StoredProc=usp_TE_LookupDiagCode;SPParameters=@DiagCode=@DiagCodeC;FlagCondition=Result &lt; 1;FieldsToFlag=DiagCodeC,DiagPOAC;ExecuteIfAnyBlank=False;FlagDescription=Other DX Codes C not found in DiagCodes table.</t>
  </si>
  <si>
    <t>Flag UB Box 67 C - Other DX Codes C (and corresponding POA field) if diag. code not found in DiagCode table.</t>
  </si>
  <si>
    <t>Condition=@DiagPOAC != #EMPTY &amp;&amp; #IN[@DiagPOAC,Y|N|U|W| |1]==False;FieldsToFlag=DiagPOAC,DiagCodeEC;FlagDescription=Invalid Diag POA!</t>
  </si>
  <si>
    <t>Flag UB Box 67 C - Other DX Codes POA C (and corresponding Code field) if not Y,N,U,W or 1.</t>
  </si>
  <si>
    <t>Condition=@DiagPOAC == #EMPTY &amp;&amp; @DiagCodeC != #EMPTY;FlagDescription=Diag POA is blank but Diag Code is not blank!</t>
  </si>
  <si>
    <t>Flag UB Box 67 - Other Diag Code POA C if blank but Diag Code C is not blank</t>
  </si>
  <si>
    <t>StoredProc=usp_TE_LookupDiagCode;SPParameters=@DiagCode=@DiagCodeD;FlagCondition=Result &lt; 1;FieldsToFlag=DiagCodeD,DiagPOAD;ExecuteIfAnyBlank=False;FlagDescription=Other DX Codes D not found in DiagCodes table.</t>
  </si>
  <si>
    <t>Flag UB Box 67 D - Other DX Codes D (and corresponding POA field) if diag. code not found in DiagCode table.</t>
  </si>
  <si>
    <t>Condition=@DiagPOAD != #EMPTY &amp;&amp; #IN[@DiagPOAD,Y|N|U|W| |1]==False;FieldsToFlag=DiagPOAD,DiagCodeD;FlagDescription=Invalid Diag POA!</t>
  </si>
  <si>
    <t>Flag UB Box 67 D - Other DX Codes POA D (and corresponding Code field) if not Y,N,U,W or 1.</t>
  </si>
  <si>
    <t>Condition=@DiagPOAD == #EMPTY &amp;&amp; @DiagCodeD != #EMPTY;FlagDescription=Diag POA is blank but Diag Code is not blank!</t>
  </si>
  <si>
    <t>Flag UB Box 67 - Other Diag Code POA D if blank but Diag Code D is not blank</t>
  </si>
  <si>
    <t>StoredProc=usp_TE_LookupDiagCode;SPParameters=@DiagCode=@DiagCodeE;FlagCondition=Result &lt; 1;FieldsToFlag=DiagCodeE,DiagPOAE;ExecuteIfAnyBlank=False;FlagDescription=Other DX Codes E not found in DiagCodes table.</t>
  </si>
  <si>
    <t>Flag UB Box 67 E - Other DX Codes E (and corresponding POA field) if diag. code not found in DiagCode table.</t>
  </si>
  <si>
    <t>Condition=@DiagPOAE != #EMPTY &amp;&amp; #IN[@DiagPOAE,Y|N|U|W| |1]==False;FieldsToFlag=DiagPOAE,DiagCodeE;FlagDescription=Invalid Diag POA!</t>
  </si>
  <si>
    <t>Flag UB Box 67 E - Other DX Codes POA E (and corresponding Code field) if not Y,N,U,W or 1.</t>
  </si>
  <si>
    <t>Condition=@DiagPOAE == #EMPTY &amp;&amp; @DiagCodeE != #EMPTY;FlagDescription=Diag POA is blank but Diag Code is not blank!</t>
  </si>
  <si>
    <t>Flag UB Box 67 - Other Diag Code POA E if blank but Diag Code E is not blank</t>
  </si>
  <si>
    <t>StoredProc=usp_TE_LookupDiagCode;SPParameters=@DiagCode=@DiagCodeF;FlagCondition=Result &lt; 1;FieldsToFlag=DiagCodeF,DiagPOAF;ExecuteIfAnyBlank=False;FlagDescription=Other DX Codes F not found in DiagCodes table.</t>
  </si>
  <si>
    <t>Flag UB Box 67 F - Other DX Codes F (and corresponding POA field) if diag. code not found in DiagCode table.</t>
  </si>
  <si>
    <t>Condition=@DiagPOAF != #EMPTY &amp;&amp; #IN[@DiagPOAF,Y|N|U|W| |1]==False;FieldsToFlag=DiagPOAF,DiagCodeF;FlagDescription=Invalid Diag POA!</t>
  </si>
  <si>
    <t>Flag UB Box 67 F - Other DX Codes POA F (and corresponding Code field) if not Y,N,U,W or 1.</t>
  </si>
  <si>
    <t>Condition=@DiagPOAF == #EMPTY &amp;&amp; @DiagCodeF != #EMPTY;FlagDescription=Diag POA is blank but Diag Code is not blank!</t>
  </si>
  <si>
    <t>Flag UB Box 67 - Other Diag Code POA F if blank but Diag Code F is not blank</t>
  </si>
  <si>
    <t>StoredProc=usp_TE_LookupDiagCode;SPParameters=@DiagCode=@DiagCodeG;FlagCondition=Result &lt; 1;FieldsToFlag=DiagCodeG,DiagPOAG;ExecuteIfAnyBlank=False;FlagDescription=Other DX Codes G not found in DiagCodes table.</t>
  </si>
  <si>
    <t>Flag UB Box 67 G - Other DX Codes G (and corresponding POA field) if diag. code not found in DiagCode table.</t>
  </si>
  <si>
    <t>Condition=@DiagPOAG != #EMPTY &amp;&amp; #IN[@DiagPOAG,Y|N|U|W| |1]==False;FieldsToFlag=DiagPOAG,DiagCodeG;FlagDescription=Invalid Diag POA!</t>
  </si>
  <si>
    <t>Flag UB Box 67 G - Other DX Codes POA G (and corresponding Code field) if not Y,N,U,W or 1.</t>
  </si>
  <si>
    <t>Condition=@DiagPOAG == #EMPTY &amp;&amp; @DiagCodeG != #EMPTY;FlagDescription=Diag POA is blank but Diag Code is not blank!</t>
  </si>
  <si>
    <t>Flag UB Box 67 - Other Diag Code POA G if blank but Diag Code G is not blank</t>
  </si>
  <si>
    <t>StoredProc=usp_TE_LookupDiagCode;SPParameters=@DiagCode=@DiagCodeH;FlagCondition=Result &lt; 1;FieldsToFlag=DiagCodeH,DiagPOAH;ExecuteIfAnyBlank=False;FlagDescription=Other DX Codes H not found in DiagCodes table.</t>
  </si>
  <si>
    <t>Flag UB Box 67 H - Other DX Codes H (and corresponding POA field) if diag. code not found in DiagCode table.</t>
  </si>
  <si>
    <t>Condition=@DiagPOAH != #EMPTY &amp;&amp; #IN[@DiagPOAH,Y|N|U|W| |1]==False;FieldsToFlag=DiagPOAH,DiagCodeH;FlagDescription=Invalid Diag POA!</t>
  </si>
  <si>
    <t>Flag UB Box 67 H - Other DX Codes POA H (and corresponding Code field) if not Y,N,U,W or 1.</t>
  </si>
  <si>
    <t>Condition=@DiagPOAH == #EMPTY &amp;&amp; @DiagCodeH != #EMPTY;FlagDescription=Diag POA is blank but Diag Code is not blank!</t>
  </si>
  <si>
    <t>Flag UB Box 67 - Other Diag Code POA H if blank but Diag Code H is not blank</t>
  </si>
  <si>
    <t>StoredProc=usp_TE_LookupDiagCode;SPParameters=@DiagCode=@DiagCodeI;FlagCondition=Result &lt; 1;FieldsToFlag=DiagCodeI,DiagPOAI;ExecuteIfAnyBlank=False;FlagDescription=Other DX Codes I not found in DiagCodes table.</t>
  </si>
  <si>
    <t>Flag UB Box 67 I - Other DX Codes I (and corresponding POA field) if diag. code not found in DiagCode table.</t>
  </si>
  <si>
    <t>Condition=@DiagPOAI != #EMPTY &amp;&amp; #IN[@DiagPOAI,Y|N|U|W| |1]==False;FieldsToFlag=DiagPOAI,DiagCodeI;FlagDescription=Invalid Diag POA!</t>
  </si>
  <si>
    <t>Flag UB Box 67 I - Other DX Codes POA I (and corresponding Code field) if not Y,N,U,W or 1.</t>
  </si>
  <si>
    <t>Condition=@DiagPOAI == #EMPTY &amp;&amp; @DiagCodeI != #EMPTY;FlagDescription=Diag POA is blank but Diag Code is not blank!</t>
  </si>
  <si>
    <t>Flag UB Box 67 - Other Diag Code POA I if blank but Diag Code I is not blank</t>
  </si>
  <si>
    <t>StoredProc=usp_TE_LookupDiagCode;SPParameters=@DiagCode=@DiagCodeJ;FlagCondition=Result &lt; 1;FieldsToFlag=DiagCodeJ,DiagPOAJ;ExecuteIfAnyBlank=False;FlagDescription=Other DX Codes J not found in DiagCodes table.</t>
  </si>
  <si>
    <t>Flag UB Box 67 J - Other DX Codes J (and corresponding POA field) if diag. code not found in DiagCode table.</t>
  </si>
  <si>
    <t>Condition=@DiagPOAJ != #EMPTY &amp;&amp; #IN[@DiagPOAJ,Y|N|U|W| |1]==False;FieldsToFlag=DiagPOAJ,DiagCodeJ;FlagDescription=Invalid Diag POA!</t>
  </si>
  <si>
    <t>Flag UB Box 67 J - Other DX Codes POA J (and corresponding Code field) if not Y,N,U,W or 1.</t>
  </si>
  <si>
    <t>Condition=@DiagPOAJ == #EMPTY &amp;&amp; @DiagCodeJ != #EMPTY;FlagDescription=Diag POA is blank but Diag Code is not blank!</t>
  </si>
  <si>
    <t>Flag UB Box 67 - Other Diag Code POA J if blank but Diag Code J is not blank</t>
  </si>
  <si>
    <t>StoredProc=usp_TE_LookupDiagCode;SPParameters=@DiagCode=@DiagCodeK;FlagCondition=Result &lt; 1;FieldsToFlag=DiagCodeK,DiagPOAK;ExecuteIfAnyBlank=False;FlagDescription=Other DX Codes K not found in DiagCodes table.</t>
  </si>
  <si>
    <t>Flag UB Box 67 K - Other DX Codes K (and corresponding POA field) if diag. code not found in DiagCode table.</t>
  </si>
  <si>
    <t>Condition=@DiagPOAK != #EMPTY &amp;&amp; #IN[@DiagPOAK,Y|N|U|W| |1]==False;FieldsToFlag=DiagPOAK,DiagCodeK;FlagDescription=Invalid Diag POA!</t>
  </si>
  <si>
    <t>Flag UB Box 67 K - Other DX Codes POA K (and corresponding Code field) if not Y,N,U,W or 1.</t>
  </si>
  <si>
    <t>Condition=@DiagPOAK == #EMPTY &amp;&amp; @DiagCodeK != #EMPTY;FlagDescription=Diag POA is blank but Diag Code is not blank!</t>
  </si>
  <si>
    <t>Flag UB Box 67 - Other Diag Code POA K if blank but Diag Code K is not blank</t>
  </si>
  <si>
    <t>StoredProc=usp_TE_LookupDiagCode;SPParameters=@DiagCode=@DiagCodeL;FlagCondition=Result &lt; 1;FieldsToFlag=DiagCodeL,DiagPOAL;ExecuteIfAnyBlank=False;FlagDescription=Other DX Codes L not found in DiagCodes table.</t>
  </si>
  <si>
    <t>Flag UB Box 67 L - Other DX Codes L (and corresponding POA field) if diag. code not found in DiagCode table.</t>
  </si>
  <si>
    <t>Condition=@DiagPOAL != #EMPTY &amp;&amp; #IN[@DiagPOAL,Y|N|U|W| |1]==False;FieldsToFlag=DiagPOAL,DiagCodeL;FlagDescription=Invalid Diag POA!</t>
  </si>
  <si>
    <t>Flag UB Box 67 L - Other DX Codes POA L (and corresponding Code field) if not Y,N,U,W or 1.</t>
  </si>
  <si>
    <t>Condition=@DiagPOAL == #EMPTY &amp;&amp; @DiagCodeL != #EMPTY;FlagDescription=Diag POA is blank but Diag Code is not blank!</t>
  </si>
  <si>
    <t>Flag UB Box 67 - Other Diag Code POA L if blank but Diag Code L is not blank</t>
  </si>
  <si>
    <t>StoredProc=usp_TE_LookupDiagCode;SPParameters=@DiagCode=@DiagCodeM;FlagCondition=Result &lt; 1;FieldsToFlag=DiagCodeM,DiagPOAM;ExecuteIfAnyBlank=False;FlagDescription=Other DX Codes M not found in DiagCodes table.</t>
  </si>
  <si>
    <t>Flag UB Box 67 M - Other DX Codes M (and corresponding POA field) if diag. code not found in DiagCode table.</t>
  </si>
  <si>
    <t>Other DX Codes POA M</t>
  </si>
  <si>
    <t>Condition=@DiagPOAM != #EMPTY &amp;&amp; #IN[@DiagPOAM,Y|N|U|W| |1]==False;FieldsToFlag=DiagPOAM,DiagCodeM;FlagDescription=Invalid Diag POA!</t>
  </si>
  <si>
    <t>Flag UB Box 67 M - Other DX Codes POA L (and corresponding Code field) if not Y,N,U,W or 1.</t>
  </si>
  <si>
    <t>Condition=@DiagPOAM == #EMPTY &amp;&amp; @DiagCodeM != #EMPTY;FlagDescription=Diag POA is blank but Diag Code is not blank!</t>
  </si>
  <si>
    <t>Flag UB Box 67 - Other Diag Code POA M if blank but Diag Code M is not blank</t>
  </si>
  <si>
    <t>StoredProc=usp_TE_LookupDiagCode;SPParameters=@DiagCode=@DiagCodeN;FlagCondition=Result &lt; 1;FieldsToFlag=DiagCodeN,DiagPOAN;ExecuteIfAnyBlank=False;FlagDescription=Other DX Codes N not found in DiagCodes table.</t>
  </si>
  <si>
    <t>Flag UB Box 67 N - Other DX Codes N (and corresponding POA field) if diag. code not found in DiagCode table.</t>
  </si>
  <si>
    <t>Condition=@DiagPOAN != #EMPTY &amp;&amp; #IN[@DiagPOAN,Y|N|U|W| |1]==False;FieldsToFlag=DiagPOAN,DiagCodeN;FlagDescription=Invalid Diag POA!</t>
  </si>
  <si>
    <t>Flag UB Box 67 N - Other DX Codes POA N (and corresponding Code field) if not Y,N,U,W or 1.</t>
  </si>
  <si>
    <t>Condition=@DiagPOAN == #EMPTY &amp;&amp; @DiagCodeN != #EMPTY;FlagDescription=Diag POA is blank but Diag Code is not blank!</t>
  </si>
  <si>
    <t>Flag UB Box 67 - Other Diag Code POA N if blank but Diag Code N is not blank</t>
  </si>
  <si>
    <t>StoredProc=usp_TE_LookupDiagCode;SPParameters=@DiagCode=@DiagCodeO;FlagCondition=Result &lt; 1;FieldsToFlag=DiagCodeO,DiagPOAO;ExecuteIfAnyBlank=False;FlagDescription=Other DX Codes O not found in DiagCodes table.</t>
  </si>
  <si>
    <t>Flag UB Box 67 0 - Other DX Codes O (and corresponding POA field) if diag. code not found in DiagCode table.</t>
  </si>
  <si>
    <t>Condition=@DiagPOAO != #EMPTY &amp;&amp; #IN[@DiagPOAO,Y|N|U|W| |1]==False;FieldsToFlag=DiagPOAO,DiagCodeO;FlagDescription=Invalid Diag POA!</t>
  </si>
  <si>
    <t>Flag UB Box 67 0 - Other DX Codes POA O (and corresponding Code field) if not Y,N,U,W or 1.</t>
  </si>
  <si>
    <t>Condition=@DiagPOAO == #EMPTY &amp;&amp; @DiagCodeO != #EMPTY;FlagDescription=Diag POA is blank but Diag Code is not blank!</t>
  </si>
  <si>
    <t>Flag UB Box 67 - Other Diag Code POA O if blank but Diag Code O is not blank</t>
  </si>
  <si>
    <t>StoredProc=usp_TE_LookupDiagCode;SPParameters=@DiagCode=@DiagCodeP;FlagCondition=Result &lt; 1;FieldsToFlag=DiagCodeP,DiagPOAP;ExecuteIfAnyBlank=False;FlagDescription=Other DX Codes P not found in DiagCodes table.</t>
  </si>
  <si>
    <t>Flag UB Box 67 P - Other DX Codes P (and corresponding POA field) if diag. code not found in DiagCode table.</t>
  </si>
  <si>
    <t>Condition=@DiagPOAP != #EMPTY &amp;&amp; #IN[@DiagPOAP,Y|N|U|W| |1]==False;FieldsToFlag=DiagPOAP,DiagCodeP;FlagDescription=Invalid Diag POA!</t>
  </si>
  <si>
    <t>Flag UB Box 67 P - Other DX Codes POA P (and corresponding Code field) if not Y,N,U,W or 1.</t>
  </si>
  <si>
    <t>Condition=@DiagPOAP == #EMPTY &amp;&amp; @DiagCodeP != #EMPTY;FlagDescription=Diag POA is blank but Diag Code is not blank!</t>
  </si>
  <si>
    <t>Flag UB Box 67 - Other Diag Code POA P if blank but Diag Code P is not blank</t>
  </si>
  <si>
    <t>StoredProc=usp_TE_LookupDiagCode;SPParameters=@DiagCode=@DiagCodeQ;FlagCondition=Result &lt; 1;FieldsToFlag=DiagCodeQ,DiagPOAQ;ExecuteIfAnyBlank=False;FlagDescription=Other DX Codes Q not found in DiagCodes table.</t>
  </si>
  <si>
    <t>Flag UB Box 67 Q - Other DX Codes Q (and corresponding POA field) if diag. code not found in DiagCode table.</t>
  </si>
  <si>
    <t>Condition=@DiagPOAQ != #EMPTY &amp;&amp; #IN[@DiagPOAQ,Y|N|U|W| |1]==False;FieldsToFlag=DiagPOAQ,DiagCodeQ;FlagDescription=Invalid Diag POA!</t>
  </si>
  <si>
    <t>Flag UB Box 67 Q - Other DX Codes POA Q (and corresponding Code field) if not Y,N,U,W or 1.</t>
  </si>
  <si>
    <t>Condition=@DiagPOAQ== #EMPTY &amp;&amp; @DiagCodeQ != #EMPTY;FlagDescription=Diag POA is blank but Diag Code is not blank!</t>
  </si>
  <si>
    <t>Flag UB Box 67 - Other Diag Code POA Q if blank but Diag Code Q is not blank</t>
  </si>
  <si>
    <t>Diag Codes</t>
  </si>
  <si>
    <t>6795</t>
  </si>
  <si>
    <t>FlagGaps</t>
  </si>
  <si>
    <t>Condition=$ReviewCount == 0;FlagDescription=DX Code is blank while there are non-blank DX codes after this DX code.;PrimaryFields=DiagCode,DiagCodeA,DiagCodeB,DiagCodeC,DiagCodeD,DiagCodeE,DiagCodeF,DiagCodeG,DiagCodeH,DiagCodeI,DiagCodeJ,DiagCodeK,DiagCodeL,DiagCodeM,DiagCodeN,DiagCodeO,DiagCodeP,DiagCodeQ;SecondaryFields=DiagPOA,DiagPOAA,DiagPOAB,DiagPOAC,DiagPOAD,DiagPOAE,DiagPOAF,DiagPOAG,DiagPOAH,DiagPOAI,DiagPOAJ,DiagPOAK,DiagPOAL,DiagPOAM,DiagPOAN,DiagPOAO,DiagPOAP,DiagPOAQ</t>
  </si>
  <si>
    <t>Flag all blank DX codes if they are before the last non-blank DX code</t>
  </si>
  <si>
    <t>Condition=$MultiClaim==Y;FieldsToFlag=OCRPrinDiagCode,OCRPrinDiagPOA,OCROthDiagCode1,OCROthDiagPOA1,OCROthDiagCode2,OCROthDiagPOA2,OCROthDiagCode3,OCROthDiagPOA3,OCROthDiagCode4,OCROthDiagPOA4,OCROthDiagCode5,OCROthDiagPOA5,OCROthDiagCode6,OCROthDiagPOA6,OCROthDiagCode7,OCROthDiagPOA7,OCROthDiagCode8,OCROthDiagPOA8,OCROtherDiagCode9,OCROtherDiagPOA9,OCROtherDiagCode10,OCROtherDiagPOA10,OCROtherDiagCode11,OCROtherDiagPOA11,OCROtherDiagCode12,OCROtherDiagPOA12,OCROtherDiagCode13,OCROtherDiagPOA13,OCROtherDiagCode14,OCROtherDiagPOA14,OCROtherDiagCode15,OCROtherDiagPOA15,OCROtherDiagCode16,OCROtherDiagPOA16,OCROtherDiagCode17,OCROtherDiagPOA17;FlagDescription=Multi-page claim - review and key DX codes from all pages</t>
  </si>
  <si>
    <t>Flag all DX codes if claim is multi-page</t>
  </si>
  <si>
    <t>StoredProc=usp_TE_LookupDiagCode;SPParameters=@DiagCode=@OCRAdmitDiagCode;FlagCondition=Result &lt; 1;FieldsToFlag=OCRAdmitDiagCode;ExecuteIfAnyBlank=False;FlagDescription=Admitting Diagnosis not found in DiagCodes table.</t>
  </si>
  <si>
    <t>Flag UB Box 69 - Admitting Diagnosis if diag. code not found in DiagCode table.</t>
  </si>
  <si>
    <t>Condition=@OCRAdmitDiagCode==#EMPTY &amp;&amp; @OCRAdmitDate!=#Empty</t>
  </si>
  <si>
    <t>Flag UB Box 69 - Admitting Diagnosis when blank and Admit Date (box 12) is not blank</t>
  </si>
  <si>
    <t>StoredProc=usp_TE_LookupDiagCode;SPParameters=@DiagCode=@OCRPatReasonDX1;FlagCondition=Result &lt; 1;FieldsToFlag=OCRPatReasonDX1;ExecuteIfAnyBlank=False;FlagDescription=Invalid Patient Reason DX Code a.</t>
  </si>
  <si>
    <t>Flag UB Box 70 a - Patient Reason DX Code a (SourceFieldName) if not found into diag code lookup table.</t>
  </si>
  <si>
    <t>StoredProc=usp_TE_LookupDiagCode;SPParameters=@DiagCode=@OCRPatReasonDX2;FlagCondition=Result &lt; 1;FieldsToFlag=OCRPatReasonDX2;ExecuteIfAnyBlank=False;FlagDescription=Invalid Patient Reason DX Code b.</t>
  </si>
  <si>
    <t>Flag UB Box 70 b - Patient Reason DX Code b (SourceFieldName) if not found into diag code lookup table.</t>
  </si>
  <si>
    <t>StoredProc=usp_TE_LookupDiagCode;SPParameters=@DiagCode=@OCRPatReasonDX3;FlagCondition=Result &lt; 1;FieldsToFlag=OCRPatReasonDX3;ExecuteIfAnyBlank=False;FlagDescription=Invalid Patient Reason DX Code c.</t>
  </si>
  <si>
    <t>Flag UB Box 70 c - Patient Reason DX Code c (SourceFieldName) if not found into diag code lookup table.</t>
  </si>
  <si>
    <t>LookupTable=tblDrugCodes;LookupColumn=Code;FlagDescription=Invalid PPS Code</t>
  </si>
  <si>
    <t>Flag UB Box 71 - PPS Code (OCRPPSCode) if not found in the lookup table</t>
  </si>
  <si>
    <t>StoredProc=usp_TE_LookupDiagCode;SPParameters=@DiagCode=@OCRECode;FlagCondition=Result &lt; 1;FieldsToFlag=OCRECode,OCRECodePOA;ExecuteIfAnyBlank=False;FlagDescription=Invalid External Cause of Injury a.</t>
  </si>
  <si>
    <t>Flag UB Box 72 a - External Cause of Injury a (OCRECode) if not found into lookup table.</t>
  </si>
  <si>
    <t>Condition=@OCRECodePOA != #EMPTY &amp;&amp; #IN[@OCRECodePOA,Y|N|U|W| |1]==False;FieldsToFlag=OCRECodePOA,OCRECode;FlagDescription=Invalid ECode POA!</t>
  </si>
  <si>
    <t>Flag UB Box 72 a - External Cause of Injury POA a (and corresponding Code field) if not Y,N,U,W,1 or space.</t>
  </si>
  <si>
    <t>FlagIfBlankConditional</t>
  </si>
  <si>
    <t>Condition=@OCRECode != #EMPTY;FlagDescription=Missing POA Code</t>
  </si>
  <si>
    <t>Flag box 72a (ECI) POA if blank but Ecode has a value</t>
  </si>
  <si>
    <t>StoredProc=usp_TE_LookupDiagCode;SPParameters=@DiagCode=@OCRECode2;FlagCondition=Result &lt; 1;FieldsToFlag=OCRECode2,OCRECode2POA;ExecuteIfAnyBlank=False;FlagDescription=Invalid External Cause of Injury b.</t>
  </si>
  <si>
    <t>Flag UB Box 72 b - External Cause of Injury b (OCRECode2) if not found into lookup table.</t>
  </si>
  <si>
    <t>Condition=@OCRECode2POA != #EMPTY &amp;&amp; #IN[@OCRECode2POA,Y|N|U|W| |1]==False;FieldsToFlag=OCRECode2POA,OCRECode2;FlagDescription=Invalid ECode POA!</t>
  </si>
  <si>
    <t>Flag UB Box 72 b - External Cause of Injury POA b (and corresponding Code field) if not Y,N,U,W,1 or space.</t>
  </si>
  <si>
    <t>Condition=@OCRECode2 != #EMPTY;FlagDescription=Missing POA Code</t>
  </si>
  <si>
    <t>Flag box 72b (ECI) POA if blank but Ecode has a value</t>
  </si>
  <si>
    <t>StoredProc=usp_TE_LookupDiagCode;SPParameters=@DiagCode=@OCRECode3;FlagCondition=Result &lt; 1;FieldsToFlag=OCRECode3,OCRECode3POA;ExecuteIfAnyBlank=False;FlagDescription=Invalid External Cause of Injury c.</t>
  </si>
  <si>
    <t>Flag UB Box 72 c - External Cause of Injury c (OCRECode3) if not found into lookup table.</t>
  </si>
  <si>
    <t>Condition=@OCRECode3POA != #EMPTY &amp;&amp; #IN[@OCRECode3POA,Y|N|U|W| |1]==False;FieldsToFlag=OCRECode3POA,OCRECode3;FlagDescription=Invalid ECode POA!</t>
  </si>
  <si>
    <t>Flag UB Box 72 c - External Cause of Injury POA c (and corresponding Code field) if not Y,N,U,W,1 or space.</t>
  </si>
  <si>
    <t>Condition=@OCRECode3 != #EMPTY;FlagDescription=Missing POA Code</t>
  </si>
  <si>
    <t>Flag box 72c (ECI) POA if blank but Ecode has a value</t>
  </si>
  <si>
    <t>StoredProc=usp_TE_LookupProcCode;SPParameters=@ProcCode=@PrinProcCode,@DocType=UB;ExecuteIfAnyBlank=False;FlagCondition=Result &lt; 1;FlagDescription=Invalid Principal Procedure Code.</t>
  </si>
  <si>
    <t>Flag UB Box 74 - Principal Procedure Code (OCRPrinProcCode) if not found into lookup table.</t>
  </si>
  <si>
    <r>
      <rPr>
        <strike/>
        <sz val="11"/>
        <color theme="1"/>
        <rFont val="Calibri"/>
        <family val="2"/>
        <scheme val="minor"/>
      </rPr>
      <t>FlagIfBlankWithOCRData</t>
    </r>
    <r>
      <rPr>
        <sz val="11"/>
        <color theme="1"/>
        <rFont val="Calibri"/>
        <family val="2"/>
        <scheme val="minor"/>
      </rPr>
      <t xml:space="preserve">
FlagIfBlankConditional</t>
    </r>
  </si>
  <si>
    <t>FlagDescription=Missing or Invalid Principal Procedure Date!;Condition=@PrinProcCode != #EMPTY</t>
  </si>
  <si>
    <t>Flag UB Box 74 e (Other Procedure Date e) if blank but Other Procedure Code e is not blank</t>
  </si>
  <si>
    <t>Condition=@PrinProcDate != #EMPTY &amp;&amp; #DATE[@PrinProcDate] &gt; #TODAY;FlagDescription=Principal Procedure Date is a future date!</t>
  </si>
  <si>
    <t>Flag UB Box 74 - Principal Procedure Date if it is a future date</t>
  </si>
  <si>
    <t>StoredProc=usp_TE_LookupProcCode;SPParameters=@ProcCode=@OthProcCodeA,@DocType=UB;ExecuteIfAnyBlank=False;FlagCondition=Result &lt; 1;FlagDescription=Invalid Other Procedure Code a.</t>
  </si>
  <si>
    <t>Flag UB Box 74 a - Other Procedure Code a (OCRProcCode1) if not found into lookup table.</t>
  </si>
  <si>
    <t>FlagDescription=Invalid Other Procedure Date a!</t>
  </si>
  <si>
    <t>Flag UB Box 74 a (Other Procedure Date a) if blank but Other Procedure Code a is not blank</t>
  </si>
  <si>
    <t>Condition=@OthProcDateA != #EMPTY &amp;&amp; #DATE[@OthProcDateA] &gt; #TODAY;FlagDescription=Other Procedure Date a is a future date!</t>
  </si>
  <si>
    <t>Flag UB Box 74 a - Other Procedure Date a if it is a future date</t>
  </si>
  <si>
    <t>StoredProc=usp_TE_LookupProcCode;SPParameters=@ProcCode=@OthProcCodeB,@DocType=UB;ExecuteIfAnyBlank=False;FlagCondition=Result &lt; 1;FlagDescription=Invalid Other Procedure Code b.</t>
  </si>
  <si>
    <t>Flag UB Box 74 b  - Other Procedure Code b (OCRProcCode2) if not found into lookup table.</t>
  </si>
  <si>
    <t>FlagDescription=Invalid Other Procedure Date b!</t>
  </si>
  <si>
    <t>Flag UB Box 74 b (Other Procedure Date b) if blank but Other Procedure Code b is not blank</t>
  </si>
  <si>
    <t>Condition=@OthProcDateB != #EMPTY &amp;&amp; #DATE[@OthProcDateB] &gt; #TODAY;FlagDescription=Other Procedure Date b is a future date!</t>
  </si>
  <si>
    <t>Flag UB Box 74 b  - Other Procedure Date b if it is a future date</t>
  </si>
  <si>
    <t>StoredProc=usp_TE_LookupProcCode;SPParameters=@ProcCode=@OthProcCodeC,@DocType=UB;ExecuteIfAnyBlank=False;FlagCondition=Result &lt; 1;FlagDescription=Invalid Other Procedure Code c.</t>
  </si>
  <si>
    <t>Flag UB Box 74 c - Other Procedure Code c (OCRProcCode3) if not found into lookup table.</t>
  </si>
  <si>
    <t>FlagDescription=Invalid Other Procedure Date c!</t>
  </si>
  <si>
    <t>Flag UB Box 74 c (Other Procedure Date c) if blank but Other Procedure Code c is not blank</t>
  </si>
  <si>
    <t>Condition=@OthProcDateC != #EMPTY &amp;&amp; #DATE[@OthProcDateC] &gt; #TODAY;FlagDescription=Other Procedure Date c is a future date!</t>
  </si>
  <si>
    <t>Flag UB Box 74 c - Other Procedure Date c if it is a future date</t>
  </si>
  <si>
    <t>StoredProc=usp_TE_LookupProcCode;SPParameters=@ProcCode=@OthProcCodeD,@DocType=UB;ExecuteIfAnyBlank=False;FlagCondition=Result &lt; 1;FlagDescription=Invalid Other Procedure Code d.</t>
  </si>
  <si>
    <t>Flag UB Box 74 d - Other Procedure Code d (OCRProcCode4) if not found into lookup table.</t>
  </si>
  <si>
    <t>FlagDescription=Invalid Other Procedure Date d!</t>
  </si>
  <si>
    <t>Flag UB Box 74 d (Other Procedure Date d) if blank but Other Procedure Code d is not blank</t>
  </si>
  <si>
    <t>Condition=@OthProcDateD != #EMPTY &amp;&amp; #DATE[@OthProcDateD] &gt; #TODAY;FlagDescription=Other Procedure Date d is a future date!</t>
  </si>
  <si>
    <t>Flag UB Box 74 d - Other Procedure Date d if it is a future date</t>
  </si>
  <si>
    <t>StoredProc=usp_TE_LookupProcCode;SPParameters=@ProcCode=@OthProcCodeE,@DocType=UB;ExecuteIfAnyBlank=False;FlagCondition=Result &lt; 1;FlagDescription=Invalid Other Procedure Code e.</t>
  </si>
  <si>
    <t>Flag UB Box 74 e - Other Procedure Code e (OCRProcCode5) if not found into lookup table.</t>
  </si>
  <si>
    <t>Condition=@OthProcDateE != #EMPTY &amp;&amp; #DATE[OthProcDateE] &gt; #TODAY;FlagDescription=Other Procedure Date e is a future date!</t>
  </si>
  <si>
    <t>Flag UB Box 74 e - Other Procedure Date e if it is a future date</t>
  </si>
  <si>
    <t>FlagDescription=Attending Physician Last Name is blank</t>
  </si>
  <si>
    <t>Flag Attending Physician Last Name if blank</t>
  </si>
  <si>
    <t>Flag UB Box 76 (Attending Physician NPI) if it is not a valid NPI</t>
  </si>
  <si>
    <t>FlagDescription=NPI is blank!</t>
  </si>
  <si>
    <t>Flag UB Box 76 (Attending Physician NPI) if it is blank.</t>
  </si>
  <si>
    <t>Condition=@OCRAttendPhyID_LAST != EMPTY &amp;&amp; #LENGTH[@OCRAttendPhyID_LAST] &lt; 3;FlagDescription=Attending Physician Last Name is too short</t>
  </si>
  <si>
    <t>Flag Attending Physician Last Name if not blank and length is less than 3 chars</t>
  </si>
  <si>
    <t>Condition=@OCRAttendPhyID_FIRST != EMPTY &amp;&amp; #LENGTH[@OCRAttendPhyID_FIRST] &lt; 3;FlagDescription=Attending Physician First Name is too short</t>
  </si>
  <si>
    <t>Flag Attending Physician First Name if not blank and length is less than 3 chars</t>
  </si>
  <si>
    <t>Flag UB Box 77 (Operating Physician NPI) if it is not a valid NPI</t>
  </si>
  <si>
    <t>Condition=@OCRPhyOper_NPI == #EMPTY &amp;&amp; (@OCRPhyOper_LAST!=#EMPTY || @OCRPhyOper_FIRST != #EMPTY);FlagDescription=Names are present and NPI is blank!</t>
  </si>
  <si>
    <t>Flag UB Box 77 (Operating Physician NPI) if it is blank and names are present</t>
  </si>
  <si>
    <t>Operating Physician QUAL</t>
  </si>
  <si>
    <t>Condition=@OCRPhyOper_QUAL == #EMPTY &amp;&amp; @OCRPhyOper_ID != #EMPTY;FlagDescription=ID is present but Qualifier is blank!</t>
  </si>
  <si>
    <t>Flag UB Box 77 (Operating Physician ID Qualifier) if it is blank but ID is present</t>
  </si>
  <si>
    <t>Condition=@OCRPhyOper_LAST != EMPTY &amp;&amp; #LENGTH[@OCRPhyOper_LAST] &lt; 3;FlagDescription=Operating Physician Last Name is too short</t>
  </si>
  <si>
    <t>Flag Operating Physician Last Name if not blank and length is less than 3 chars</t>
  </si>
  <si>
    <t>Condition=@OCRPhyOper_LAST_FIRST != EMPTY &amp;&amp; #LENGTH[@OCRPhyOper_LAST_FIRST] &lt; 3;FlagDescription=Operating Physician First Name is too short</t>
  </si>
  <si>
    <t>Flag Operating Physician First Name if not blank and length is less than 3 chars</t>
  </si>
  <si>
    <t>Flag UB Box 78 (Other Physician 1 NPI) if it is not a valid NPI</t>
  </si>
  <si>
    <t>Condition=@OCROthPhyID2_ID != #EMPTY &amp;&amp; @OCROthPhyID2_QUAL == #EMPTY;FlagDescription=Other Physician 1 Qualifier is blank and ID contains data!</t>
  </si>
  <si>
    <t>Flag UB Box 78 (Other Physician 1 ID Qualifier) if blank and data present in Other Physician ID field</t>
  </si>
  <si>
    <t xml:space="preserve"> Last Name</t>
  </si>
  <si>
    <t>Condition=@OCROthPhyID2_LAST != EMPTY &amp;&amp; #LENGTH[@OCROthPhyID2_LAST] &lt; 3;FlagDescription=Other Physician 1 Last Name is too short</t>
  </si>
  <si>
    <t>Flag Other Physician 1 Last Name if not blank and length is less than 3 chars</t>
  </si>
  <si>
    <t>Condition=@OCROthPhyID2_FIRST != EMPTY &amp;&amp; #LENGTH[@OCROthPhyID2_LAST_FIRST] &lt; 3;FlagDescription=Other Physician 1 First Name is too short</t>
  </si>
  <si>
    <t>Flag Other Physician 1 First Name if not blank and length is less than 3 chars</t>
  </si>
  <si>
    <t>Flag UB Box 79 (Other Physician 2 NPI) if it is not a valid NPI</t>
  </si>
  <si>
    <t>Condition=@OCRProvSig_ID != #EMPTY &amp;&amp; @OCRProvSig_QUAL == #EMPTY;FlagDescription=Other Physician 2 Qualifier is blank and ID contains data!</t>
  </si>
  <si>
    <t>Flag UB Box 79 (Other Physician 2 ID Qualifier) if blank and data present in Operating Physician ID field</t>
  </si>
  <si>
    <t>Condition=@OCRProvSig_LAST != EMPTY &amp;&amp; #LENGTH[@OCRProvSig_LAST] &lt; 3;FlagDescription=Other Physician 2 Last Name is too short</t>
  </si>
  <si>
    <t>Flag Other Physician 2 Last Name if not blank and length is less than 3 chars</t>
  </si>
  <si>
    <t>Condition=@OCRProvSig_FIRST != EMPTY &amp;&amp; #LENGTH[@OCRProvSig_LAST_FIRST] &lt; 3;FlagDescription=Other Physician 2 First Name is too short</t>
  </si>
  <si>
    <t>Flag Other Physician 2 First Name if not blank and length is less than 3 chars</t>
  </si>
  <si>
    <t>Remarks</t>
  </si>
  <si>
    <t>Detail-PageFields</t>
  </si>
  <si>
    <t>Condition=@Remarks1==#EMPTY &amp;&amp; @Remarks2==#EMPTY &amp;&amp; @Remarks2==#EMPTY &amp;&amp; @Remarks4==#EMPTY;FieldsToFlag=Remarks1,Remarks2,Remarks3,Remarks4;FlagDescription=All Remark lines are blank</t>
  </si>
  <si>
    <t>Flag all remarks lines (box 80) if all lines are blank</t>
  </si>
  <si>
    <t>US 898365 (Multi-page UB)
bug 906745</t>
  </si>
  <si>
    <t>81a</t>
  </si>
  <si>
    <t>Code Codes a</t>
  </si>
  <si>
    <t>Condition=@OCR81CCbA != #EMPTY || @OCR81CCcA != #EMPTY;FlagDescription=Blank field in column 1 row a but data in the other columns; FieldsToFlag=OCR81CCaA,OCR81CCbA,OCR81CCcA</t>
  </si>
  <si>
    <t>Flag all fields in row a of box 81 if 1st column is blank but there is data in any of the other 2 columns</t>
  </si>
  <si>
    <t>81b</t>
  </si>
  <si>
    <t>Code Codes b</t>
  </si>
  <si>
    <t>Condition=@OCR81CCbB != #EMPTY || @OCR81CCcB != #EMPTY;FlagDescription=Blank field in column 1 row b but data in the other columns; FieldsToFlag=OCR81CCaB,OCR81CCbB,OCR81CCcB</t>
  </si>
  <si>
    <t>Flag all fields in row b of box 81 if 1st column is blank but there is data in any of the other 2 columns</t>
  </si>
  <si>
    <t>81c</t>
  </si>
  <si>
    <t>Code Codes c</t>
  </si>
  <si>
    <t>Condition=@OCR81CCbC != #EMPTY || @OCR81CCcC != #EMPTY;FlagDescription=Blank field in column 1 row c but data in the other columns; FieldsToFlag=OCR81CCaC,OCR81CCbC,OCR81CCcC</t>
  </si>
  <si>
    <t>Flag all fields in row c of box 81 if 1st column is blank but there is data in any of the other 2 columns</t>
  </si>
  <si>
    <t>81d</t>
  </si>
  <si>
    <t>Code Codes d</t>
  </si>
  <si>
    <t>Condition=@OCR81CCbD != #EMPTY || @OCR81CCcD != #EMPTY;FlagDescription=Blank field in column 1 row d but data in the other columns; FieldsToFlag=OCR81CCaD,OCR81CCbD,OCR81CCcD</t>
  </si>
  <si>
    <t>Flag all fields in row d of box 81 if 1st column is blank but there is data in any of the other 2 columns</t>
  </si>
  <si>
    <t>Field</t>
  </si>
  <si>
    <t>Output XML Field</t>
  </si>
  <si>
    <t>Main/
Detail</t>
  </si>
  <si>
    <t>Parameters</t>
  </si>
  <si>
    <t>Rule Description</t>
  </si>
  <si>
    <t>n/a</t>
  </si>
  <si>
    <t>R Reject Code</t>
  </si>
  <si>
    <t>41</t>
  </si>
  <si>
    <t>ClearOutput XMLFields</t>
  </si>
  <si>
    <t>Condition=$ReviewCount &gt; 0</t>
  </si>
  <si>
    <t>Clear RejectCode Output XML field when RejectCount UDF is greater than 0</t>
  </si>
  <si>
    <t>42</t>
  </si>
  <si>
    <t>ClearUDFs</t>
  </si>
  <si>
    <t>Condition=$ReviewCount &gt; 0;UDFsToClear=RejectCode</t>
  </si>
  <si>
    <t>Clear RejectCode UDF when RejectCount UDF is greater than 0</t>
  </si>
  <si>
    <t>Subscriber ID</t>
  </si>
  <si>
    <t>9101</t>
  </si>
  <si>
    <t>RejectByCondition</t>
  </si>
  <si>
    <t>Condition=$ReviewCount &gt; 0 &amp;&amp; @InsID_AetnaMedicaid == #EMPTY &amp;&amp; @Patient_Name_First != #EMPTY &amp;&amp; @OCRPatDOB != #EMPTY;RejectCode=R1;LogFieldType=Output XML</t>
  </si>
  <si>
    <t>Reject the claim if ReviewCount UDF &gt; 0, Insured ID is blank but Patient first name and DOB are not. Log the reject code R1 in Output XML.</t>
  </si>
  <si>
    <r>
      <rPr>
        <b/>
        <sz val="11"/>
        <color theme="1"/>
        <rFont val="Calibri"/>
        <family val="2"/>
        <scheme val="minor"/>
      </rPr>
      <t>R1</t>
    </r>
    <r>
      <rPr>
        <sz val="11"/>
        <color theme="1"/>
        <rFont val="Calibri"/>
        <family val="2"/>
        <scheme val="minor"/>
      </rPr>
      <t>: Only ID is blank</t>
    </r>
  </si>
  <si>
    <t>9102</t>
  </si>
  <si>
    <t>Condition=$ReviewCount &gt; 0 &amp;&amp; @InsID_AetnaMedicaid != #EMPTY &amp;&amp; @Patient_Name_First == #EMPTY &amp;&amp; @OCRPatDOB != #EMPTY;RejectCode=R1;LogFieldType=Output XML</t>
  </si>
  <si>
    <t>Reject the claim if ReviewCount UDF &gt; 0, Patient first name is blank, Insured ID and patient DOB are not blank. Log the reject code R1 in Output XML.</t>
  </si>
  <si>
    <r>
      <rPr>
        <b/>
        <sz val="11"/>
        <color theme="1"/>
        <rFont val="Calibri"/>
        <family val="2"/>
        <scheme val="minor"/>
      </rPr>
      <t>R1</t>
    </r>
    <r>
      <rPr>
        <sz val="11"/>
        <color theme="1"/>
        <rFont val="Calibri"/>
        <family val="2"/>
        <scheme val="minor"/>
      </rPr>
      <t>: Only first name is blank</t>
    </r>
  </si>
  <si>
    <t>Patient DOB</t>
  </si>
  <si>
    <t>9103</t>
  </si>
  <si>
    <t>Condition=$ReviewCount &gt; 0 &amp;&amp; @InsID_AetnaMedicaid != #EMPTY &amp;&amp; @Patient_Name_First != #EMPTY &amp;&amp; @OCRPatDOB == #EMPTY;RejectCode=R1;LogFieldType=Output XML</t>
  </si>
  <si>
    <t>Reject the claim if ReviewCount UDF &gt; 0, Patient DOB is blank, Insured ID and patient first name are not blank. Log the reject code R1 in Output XML.</t>
  </si>
  <si>
    <r>
      <rPr>
        <b/>
        <sz val="11"/>
        <color theme="1"/>
        <rFont val="Calibri"/>
        <family val="2"/>
        <scheme val="minor"/>
      </rPr>
      <t>R1</t>
    </r>
    <r>
      <rPr>
        <sz val="11"/>
        <color theme="1"/>
        <rFont val="Calibri"/>
        <family val="2"/>
        <scheme val="minor"/>
      </rPr>
      <t>: Only pat DOB is blank</t>
    </r>
  </si>
  <si>
    <t>9111</t>
  </si>
  <si>
    <t>Condition=$ReviewCount &gt; 0 &amp;&amp; @InsID_AetnaMedicaid == #EMPTY &amp;&amp; @Patient_Name_First == #EMPTY;RejectCode=L1;LogFieldType=UDF</t>
  </si>
  <si>
    <t>Reject the claim if ReviewCount UDF &gt; 0, Insured ID and Patient First Name are blank. Log the reject code L1 in Output XML.</t>
  </si>
  <si>
    <r>
      <rPr>
        <b/>
        <sz val="11"/>
        <color theme="1"/>
        <rFont val="Calibri"/>
        <family val="2"/>
        <scheme val="minor"/>
      </rPr>
      <t>L1</t>
    </r>
    <r>
      <rPr>
        <sz val="11"/>
        <color theme="1"/>
        <rFont val="Calibri"/>
        <family val="2"/>
        <scheme val="minor"/>
      </rPr>
      <t>: ID and first name are blank</t>
    </r>
  </si>
  <si>
    <t>9112</t>
  </si>
  <si>
    <t>Condition=$ReviewCount &gt; 0 &amp;&amp; @InsID_AetnaMedicaid == #EMPTY &amp;&amp; @Patient_DOB == #EMPTY;RejectCode=L2;LogFieldType=UDF</t>
  </si>
  <si>
    <t>Reject the claim if ReviewCount UDF &gt; 0, Insured ID and Patient DOB are blank. Log the reject code L2 in UDF.</t>
  </si>
  <si>
    <r>
      <rPr>
        <b/>
        <sz val="11"/>
        <color theme="1"/>
        <rFont val="Calibri"/>
        <family val="2"/>
        <scheme val="minor"/>
      </rPr>
      <t>L2</t>
    </r>
    <r>
      <rPr>
        <sz val="11"/>
        <color theme="1"/>
        <rFont val="Calibri"/>
        <family val="2"/>
        <scheme val="minor"/>
      </rPr>
      <t>: ID and DOB are blank</t>
    </r>
  </si>
  <si>
    <t>RejectByLookup</t>
  </si>
  <si>
    <t>Condition=$ReviewCount &gt; 0;SourceValue=#INT[@OCRBillType];LookupTable=tblTypeOfBill;LookupColumn=Code;RejectCondition=NOTEXIST;ExecuteIfBlank=TRUE;RejectCode=R2;LogFieldType=Output XML</t>
  </si>
  <si>
    <t>Reject the claim if ReviewCount UDF &gt; 0 and Type of Bill is blank or invalid. Log the reject code R2 in Output XML.</t>
  </si>
  <si>
    <r>
      <rPr>
        <b/>
        <sz val="11"/>
        <color theme="1"/>
        <rFont val="Calibri"/>
        <family val="2"/>
        <scheme val="minor"/>
      </rPr>
      <t>R2</t>
    </r>
    <r>
      <rPr>
        <sz val="11"/>
        <color theme="1"/>
        <rFont val="Calibri"/>
        <family val="2"/>
        <scheme val="minor"/>
      </rPr>
      <t>: Invalid Type of Bill</t>
    </r>
  </si>
  <si>
    <t>Statement Cover Period From Date</t>
  </si>
  <si>
    <t>Condition=$ReviewCount &gt; 0 &amp;&amp; @OCRStmtDateFrom != #EMPTY &amp;&amp; @OCRAdmitDate != #EMPTY &amp;&amp; #DATE[@OCRStmtDateFrom] &lt; #DATE[@OCRAdmitDate];
SourceValue=#LEFT[@OCRBillType,2];LookupTable=vwR2TypeOfBill;LookupColumn=Code;RejectCondition=EXIST;ExecuteIfBlank=TRUE;RejectCode=R2;LogFieldType=Output XML</t>
  </si>
  <si>
    <t>Reject the claim if ReviewCount UDF &gt; 0 and Statement Period From Date is before Admission Date and first 2 characters of Type of Bill are 11, 15 - 19,  21, 25 - 29, 31, 35 - 39, 41, 45 – 49, 51, 55 - 59, 61, 65 - 69, 81, 82, or 86-88. Log the reject code R2 in Output XML.</t>
  </si>
  <si>
    <r>
      <rPr>
        <b/>
        <sz val="11"/>
        <color theme="1"/>
        <rFont val="Calibri"/>
        <family val="2"/>
        <scheme val="minor"/>
      </rPr>
      <t>R2</t>
    </r>
    <r>
      <rPr>
        <sz val="11"/>
        <color theme="1"/>
        <rFont val="Calibri"/>
        <family val="2"/>
        <scheme val="minor"/>
      </rPr>
      <t>: Statement Period From Date is before Admission Date and first 2 characters of Type of Bill are 11, 15 - 19,  21, 25 - 29, 31, 35 - 39, 41, 45 – 49, 51, 55 - 59, 61, 65 - 69, 81, 82, or 86-88</t>
    </r>
  </si>
  <si>
    <t>Condition=$ReviewCount &gt; 0 &amp;&amp; (#DATE[@OCRAdmitDate] == #EMPTY || #DATE[@OCRAdmitDate] &gt; #TODAY);SourceValue=#LEFT[@OCRBillType,2];LookupTable=tblTypeOfBill_R2;LookupColumn=Code;RejectCondition=EXIST;ExecuteIfBlank=TRUE;RejectCode=R2;LogFieldType=Output XML</t>
  </si>
  <si>
    <t>Reject the claim if ReviewCount UDF &gt; 0 and Admission Date is blank, invalid or future date and first 2 characters of Type of Bill are 11, 15 - 19,  21, 25 - 29, 31, 35 - 39, 41, 45 – 49, 51, 55 - 59, 61, 65 - 69, 81, 82, or 86-88. Log the reject code R2 in Output XML.</t>
  </si>
  <si>
    <r>
      <rPr>
        <b/>
        <sz val="11"/>
        <color theme="1"/>
        <rFont val="Calibri"/>
        <family val="2"/>
        <scheme val="minor"/>
      </rPr>
      <t>R2</t>
    </r>
    <r>
      <rPr>
        <sz val="11"/>
        <color theme="1"/>
        <rFont val="Calibri"/>
        <family val="2"/>
        <scheme val="minor"/>
      </rPr>
      <t>: Admisison Date is blank, invalid or future and first 2 characters of Type of Bill are 11, 15 - 19,  21, 25 - 29, 31, 35 - 39, 41, 45 – 49, 51, 55 - 59, 61, 65 - 69, 81, 82, or 86-88</t>
    </r>
  </si>
  <si>
    <t>RejectBy2Lookups</t>
  </si>
  <si>
    <t>Condition=$ReviewCount &gt; 0;
LookupTable1=tblDischargeStatus;LookupColumn1=Status;RejectCondition1=NOTEXIST;ExecuteIfBlank1=TRUE;
SourceValue2=#LEFT[@OCRBillType,2];LookupTable2=tblTypeOfBill_R2;LookupColumn2=Code;RejectCondition2=EXIST;ExecuteIfBlank2=TRUE;
RejectCode=R2;LogFieldType=Output XML</t>
  </si>
  <si>
    <t>Reject the claim if ReviewCount UDF &gt; 0, Discharge Status is blank or invalid and first 2 characters of Type of Bill are 11, 15 - 19,  21, 25 - 29, 31, 35 - 39, 41, 45 – 49, 51, 55 - 59, 61, 65 - 69, 81, 82, or 86-88. Log the reject code R2 in Output XML.</t>
  </si>
  <si>
    <r>
      <rPr>
        <b/>
        <sz val="11"/>
        <color theme="1"/>
        <rFont val="Calibri"/>
        <family val="2"/>
        <scheme val="minor"/>
      </rPr>
      <t>R2</t>
    </r>
    <r>
      <rPr>
        <sz val="11"/>
        <color theme="1"/>
        <rFont val="Calibri"/>
        <family val="2"/>
        <scheme val="minor"/>
      </rPr>
      <t>: Discharge Status is blank or invalid and first 2 characters of Type of Bill are 11, 15 - 19,  21, 25 - 29, 31, 35 - 39, 41, 45 – 49, 51, 55 - 59, 61, 65 - 69, 81, 82, or 86-88</t>
    </r>
  </si>
  <si>
    <t>Condition=$ReviewCount &gt; 0;LookupTable=tblOccurrenceCodes;LookupColumn=Code;RejectCondition=NOTEXIST;ExecuteIfBlank=FALSE;RejectCode=R2;LogFieldType=Output XML</t>
  </si>
  <si>
    <t>Reject the claim if ReviewCount UDF &gt; 0 and Occurrence Code 31a is invalid. Log the reject code R2 in Output XML.</t>
  </si>
  <si>
    <r>
      <rPr>
        <b/>
        <sz val="11"/>
        <color theme="1"/>
        <rFont val="Calibri"/>
        <family val="2"/>
        <scheme val="minor"/>
      </rPr>
      <t>R2</t>
    </r>
    <r>
      <rPr>
        <sz val="11"/>
        <color theme="1"/>
        <rFont val="Calibri"/>
        <family val="2"/>
        <scheme val="minor"/>
      </rPr>
      <t>: Occurence code is invalid</t>
    </r>
  </si>
  <si>
    <t>Reject the claim if ReviewCount UDF &gt; 0 and Occurrence Code 31b is invalid. Log the reject code R2 in Output XML.</t>
  </si>
  <si>
    <t>Reject the claim if ReviewCount UDF &gt; 0 and Occurrence Code 32a is invalid. Log the reject code R2 in Output XML.</t>
  </si>
  <si>
    <t>Reject the claim if ReviewCount UDF &gt; 0 and Occurrence Code 32b is invalid. Log the reject code R2 in Output XML.</t>
  </si>
  <si>
    <t>Reject the claim if ReviewCount UDF &gt; 0 and Occurrence Code 33a is invalid. Log the reject code R2 in Output XML.</t>
  </si>
  <si>
    <t>Reject the claim if ReviewCount UDF &gt; 0 and Occurrence Code 33b is invalid. Log the reject code R2 in Output XML.</t>
  </si>
  <si>
    <t>Reject the claim if ReviewCount UDF &gt; 0 and Occurrence Code 34a is invalid. Log the reject code R2 in Output XML.</t>
  </si>
  <si>
    <t>Reject the claim if ReviewCount UDF &gt; 0 and Occurrence Code 34b is invalid. Log the reject code R2 in Output XML.</t>
  </si>
  <si>
    <t>Condition=$ReviewCount &gt; 0;LookupTable=tblOccurrenceSpanCodes;LookupColumn=Code;RejectCondition=NOTEXIST;ExecuteIfBlank=FALSE;RejectCode=R2;LogFieldType=Output XML</t>
  </si>
  <si>
    <t>Reject the claim if ReviewCount UDF &gt; 0 and Occurrence Span Code 35a is invalid. Log the reject code R2 in Output XML.</t>
  </si>
  <si>
    <r>
      <rPr>
        <b/>
        <sz val="11"/>
        <color theme="1"/>
        <rFont val="Calibri"/>
        <family val="2"/>
        <scheme val="minor"/>
      </rPr>
      <t>R2</t>
    </r>
    <r>
      <rPr>
        <sz val="11"/>
        <color theme="1"/>
        <rFont val="Calibri"/>
        <family val="2"/>
        <scheme val="minor"/>
      </rPr>
      <t>: Occurence Span code is invalid</t>
    </r>
  </si>
  <si>
    <t>Reject the claim if ReviewCount UDF &gt; 0 and Occurrence Span Code 35b is invalid. Log the reject code R2 in Output XML.</t>
  </si>
  <si>
    <t>Reject the claim if ReviewCount UDF &gt; 0 and Occurrence Span Code 36a is invalid. Log the reject code R2 in Output XML.</t>
  </si>
  <si>
    <t>Reject the claim if ReviewCount UDF &gt; 0 and Occurrence Span Code 36b is invalid. Log the reject code R2 in Output XML.</t>
  </si>
  <si>
    <t>Condition=$ReviewCount &gt; 0;LookupTable=tblValueCodes;LookupColumn=Code;RejectCondition=NOTEXIST;ExecuteIfBlank=FALSE;RejectCode=R2;LogFieldType=Output XML</t>
  </si>
  <si>
    <t>Reject the claim if ReviewCount UDF &gt; 0 and Value Code 39a is invalid. Log the reject code R2 in Output XML.</t>
  </si>
  <si>
    <r>
      <rPr>
        <b/>
        <sz val="11"/>
        <color theme="1"/>
        <rFont val="Calibri"/>
        <family val="2"/>
        <scheme val="minor"/>
      </rPr>
      <t>R2</t>
    </r>
    <r>
      <rPr>
        <sz val="11"/>
        <color theme="1"/>
        <rFont val="Calibri"/>
        <family val="2"/>
        <scheme val="minor"/>
      </rPr>
      <t>: Value code is invalid</t>
    </r>
  </si>
  <si>
    <t>Reject the claim if ReviewCount UDF &gt; 0 and Value Code 39b is invalid. Log the reject code R2 in Output XML.</t>
  </si>
  <si>
    <t>Reject the claim if ReviewCount UDF &gt; 0 and Value Code 39c is invalid. Log the reject code R2 in Output XML.</t>
  </si>
  <si>
    <t>Reject the claim if ReviewCount UDF &gt; 0 and Value Code 39d is invalid. Log the reject code R2 in Output XML.</t>
  </si>
  <si>
    <t>Reject the claim if ReviewCount UDF &gt; 0 and Value Code 40a is invalid. Log the reject code R2 in Output XML.</t>
  </si>
  <si>
    <t>Reject the claim if ReviewCount UDF &gt; 0 and Value Code 40b is invalid. Log the reject code R2 in Output XML.</t>
  </si>
  <si>
    <t>Reject the claim if ReviewCount UDF &gt; 0 and Value Code 40c is invalid. Log the reject code R2 in Output XML.</t>
  </si>
  <si>
    <t>Reject the claim if ReviewCount UDF &gt; 0 and Value Code 40d is invalid. Log the reject code R2 in Output XML.</t>
  </si>
  <si>
    <t>Reject the claim if ReviewCount UDF &gt; 0 and Value Code 41a is invalid. Log the reject code R2 in Output XML.</t>
  </si>
  <si>
    <t>Reject the claim if ReviewCount UDF &gt; 0 and Value Code 41b is invalid. Log the reject code R2 in Output XML.</t>
  </si>
  <si>
    <t>Reject the claim if ReviewCount UDF &gt; 0 and Value Code 41c is invalid. Log the reject code R2 in Output XML.</t>
  </si>
  <si>
    <t>Reject the claim if ReviewCount UDF &gt; 0 and Value Code 41d is invalid. Log the reject code R2 in Output XML.</t>
  </si>
  <si>
    <t>Condition=$ReviewCount &gt; 0 @OCRRevCodes == #EMPTY;RejectCode=R2;LogFieldType=Output XML</t>
  </si>
  <si>
    <t>Reject the claim if ReviewCount UDF &gt; 0 and Revenue Code (42) is blank. Log the reject code R2 in Output XML.</t>
  </si>
  <si>
    <r>
      <rPr>
        <b/>
        <sz val="11"/>
        <color theme="1"/>
        <rFont val="Calibri"/>
        <family val="2"/>
        <scheme val="minor"/>
      </rPr>
      <t>R2</t>
    </r>
    <r>
      <rPr>
        <sz val="11"/>
        <color theme="1"/>
        <rFont val="Calibri"/>
        <family val="2"/>
        <scheme val="minor"/>
      </rPr>
      <t>: Revenue code is blank</t>
    </r>
  </si>
  <si>
    <t>Condition=$ReviewCount &gt; 0;LookupTable=tblRevenueCodes;LookupColumn=RevenueCode;SourceValue=#INT[@OCRRevCodes];RejectCondition=NOTEXIST;ExecuteIfBlank=FALSE;RejectCode=R2;LogFieldType=Output XML</t>
  </si>
  <si>
    <t>Reject the claim if ReviewCount UDF &gt; 0 and Revenue Code (42) is invalid. Log the reject code R2 in Output XML.</t>
  </si>
  <si>
    <r>
      <rPr>
        <b/>
        <sz val="11"/>
        <color theme="1"/>
        <rFont val="Calibri"/>
        <family val="2"/>
        <scheme val="minor"/>
      </rPr>
      <t>R2</t>
    </r>
    <r>
      <rPr>
        <sz val="11"/>
        <color theme="1"/>
        <rFont val="Calibri"/>
        <family val="2"/>
        <scheme val="minor"/>
      </rPr>
      <t>: Revenue code is invalid</t>
    </r>
  </si>
  <si>
    <t>Statement Cover Period</t>
  </si>
  <si>
    <t>Condition=$ReviewCount &gt; 0 &amp;&amp; (#DATE[@OCRStmtDateFrom] == #EMPTY || #DATE[@OCRStmtDateTo] == #EMPTY || #DATE[@OCRStmtDateFrom] &gt; #DATE[@OCRStmtDateTo]);RejectCode=L4;LogFieldType=UDF</t>
  </si>
  <si>
    <t>Reject the claim if ReviewCount UDF &gt; 0 and Statement Period dates are blank or invalid or From Date is after To Date. Log the reject code L4 in UDF.</t>
  </si>
  <si>
    <r>
      <rPr>
        <b/>
        <sz val="11"/>
        <color theme="1"/>
        <rFont val="Calibri"/>
        <family val="2"/>
        <scheme val="minor"/>
      </rPr>
      <t>L4</t>
    </r>
    <r>
      <rPr>
        <sz val="11"/>
        <color theme="1"/>
        <rFont val="Calibri"/>
        <family val="2"/>
        <scheme val="minor"/>
      </rPr>
      <t>: Invalid or blank dates of statement period, or From date is after To date</t>
    </r>
  </si>
  <si>
    <t>Condition=$ReviewCount &gt; 0 &amp;&amp; (@OCRStmtDateFrom != #EMPTY &amp;&amp; #DATE[@OCRStmtDateFrom] &gt; #TODAY || @OCRStmtDateTo != #EMPTY &amp;&amp; #DATE[@OCRStmtDateTo] &gt; #TODAY);RejectCode=LB;LogFieldType=UDF</t>
  </si>
  <si>
    <t>Reject the claim if ReviewCount UDF &gt; 0 and any of the Statement Period dates are future. Log the reject code LB in UDF.</t>
  </si>
  <si>
    <r>
      <rPr>
        <b/>
        <sz val="11"/>
        <color theme="1"/>
        <rFont val="Calibri"/>
        <family val="2"/>
        <scheme val="minor"/>
      </rPr>
      <t>LB</t>
    </r>
    <r>
      <rPr>
        <sz val="11"/>
        <color theme="1"/>
        <rFont val="Calibri"/>
        <family val="2"/>
        <scheme val="minor"/>
      </rPr>
      <t>: Future dates in statement period</t>
    </r>
  </si>
  <si>
    <t>Condition=$ReviewCount &gt; 0 &amp;&amp; (@PayToProvider_Addr_Zip==#EMPTY || #INT[@PayToProvider_Addr_Zip]==0);RejectCode=R3;LogFieldType=Output XML</t>
  </si>
  <si>
    <t>Reject the claim if ReviewCount UDF &gt; 0 and Pay to Provider Zip Code (box 2) is blank or all zeros. Log the reject code R3 in Output XML.</t>
  </si>
  <si>
    <r>
      <rPr>
        <b/>
        <sz val="11"/>
        <color theme="1"/>
        <rFont val="Calibri"/>
        <family val="2"/>
        <scheme val="minor"/>
      </rPr>
      <t>R3</t>
    </r>
    <r>
      <rPr>
        <sz val="11"/>
        <color theme="1"/>
        <rFont val="Calibri"/>
        <family val="2"/>
        <scheme val="minor"/>
      </rPr>
      <t>: Blank Pay to Provider Zip Code (box 2)</t>
    </r>
  </si>
  <si>
    <t>9701</t>
  </si>
  <si>
    <t>Condition=$ReviewCount &gt; 0 &amp;&amp; (@OCRFedID==#EMPTY || #LENGTH[#REPLACE[@OCRFedID,#HYPHEN,#EMPTY]] != 9 || #ISNUMBER[#REPLACE[@OCRFedID,#HYPHEN,#EMPTY]]==FALSE);RejectCode=L7;LogFieldType=UDF</t>
  </si>
  <si>
    <t>Reject theclaim if ReviewCount UDF &gt; 0 and Fed TaxID is blank or invalid. Log the reject code L7 in UDF.</t>
  </si>
  <si>
    <r>
      <rPr>
        <b/>
        <sz val="11"/>
        <color theme="1"/>
        <rFont val="Calibri"/>
        <family val="2"/>
        <scheme val="minor"/>
      </rPr>
      <t>L7</t>
    </r>
    <r>
      <rPr>
        <sz val="11"/>
        <color theme="1"/>
        <rFont val="Calibri"/>
        <family val="2"/>
        <scheme val="minor"/>
      </rPr>
      <t>: Blank or invalid TaxID</t>
    </r>
  </si>
  <si>
    <t>Condition=$ReviewCount &gt; 0 &amp;&amp; @BillingProvider_Name == #EMPTY &amp;&amp; @PayToProvider_Name == #EMPTY;RejectCode=L8;LogFieldType=UDF</t>
  </si>
  <si>
    <t>Reject the claim if ReviewCount UDF &gt; 0,  Pay to Provider name is blank (box 2) and Provider Facility (box 1) is blank. Log the reject code L8 in UDF.</t>
  </si>
  <si>
    <r>
      <rPr>
        <b/>
        <sz val="11"/>
        <color theme="1"/>
        <rFont val="Calibri"/>
        <family val="2"/>
        <scheme val="minor"/>
      </rPr>
      <t>L8</t>
    </r>
    <r>
      <rPr>
        <sz val="11"/>
        <color theme="1"/>
        <rFont val="Calibri"/>
        <family val="2"/>
        <scheme val="minor"/>
      </rPr>
      <t>: Blank Pay to Provider name (box 2) and billing provider facility (box 1).</t>
    </r>
  </si>
  <si>
    <t>Condition=$ReviewCount &gt; 0;LookupTable=tblStates;LookupColumn=Abbr;RejectCondition=NOTEXIST;ExecuteIfBlank=TRUE;RejectCode=L9;LogFieldType=UDF</t>
  </si>
  <si>
    <t>Reject the claim if ReviewCount UDF &gt; 0 and box 2 Pay to Provider State is invalid or blank. Log reject code L9 in UDF.</t>
  </si>
  <si>
    <r>
      <rPr>
        <b/>
        <sz val="11"/>
        <color theme="1"/>
        <rFont val="Calibri"/>
        <family val="2"/>
        <scheme val="minor"/>
      </rPr>
      <t>L9</t>
    </r>
    <r>
      <rPr>
        <sz val="11"/>
        <color theme="1"/>
        <rFont val="Calibri"/>
        <family val="2"/>
        <scheme val="minor"/>
      </rPr>
      <t>: Invalid Pay to Provider State (box 2)</t>
    </r>
  </si>
  <si>
    <t>RejectInvalidNPI</t>
  </si>
  <si>
    <t>Condition=$ReviewCount &gt; 0;RejectCode=LJ;LogFieldType=UDF</t>
  </si>
  <si>
    <t>Reject the claim if ReviewCount UDF &gt; 0 NPI is blank or invalid (does not match Luhn formula). Log reject code LJ in UDF.</t>
  </si>
  <si>
    <r>
      <rPr>
        <b/>
        <sz val="11"/>
        <color theme="1"/>
        <rFont val="Calibri"/>
        <family val="2"/>
        <scheme val="minor"/>
      </rPr>
      <t>LJ:</t>
    </r>
    <r>
      <rPr>
        <sz val="11"/>
        <color theme="1"/>
        <rFont val="Calibri"/>
        <family val="2"/>
        <scheme val="minor"/>
      </rPr>
      <t xml:space="preserve"> Invalid or missing NPI (box 56)</t>
    </r>
  </si>
  <si>
    <t>Condition=$ReviewCount &gt; 0 &amp;&amp; (@OCRDetailCharges ==#EMPTY || #ISNUMBER[@OCRDetailCharges]==FALSE);RejectCode=L6;LogFieldType=UDF</t>
  </si>
  <si>
    <t>Reject the claim if ReviewCount UDF &gt; 0 and service line charge (box 47) is blank or invalid. Log reject code L6 in UDF.</t>
  </si>
  <si>
    <r>
      <rPr>
        <b/>
        <sz val="11"/>
        <color theme="1"/>
        <rFont val="Calibri"/>
        <family val="2"/>
        <scheme val="minor"/>
      </rPr>
      <t>L6</t>
    </r>
    <r>
      <rPr>
        <sz val="11"/>
        <color theme="1"/>
        <rFont val="Calibri"/>
        <family val="2"/>
        <scheme val="minor"/>
      </rPr>
      <t>: Blank/invalid service line charge</t>
    </r>
  </si>
  <si>
    <t>Condition=$ReviewCount &gt; 0 &amp;&amp; @OCRTotalCharge != #EMPTY &amp;&amp; #INT[@OCRTotalCharge] &lt; 0;RejectCode=LC;LogFieldType=UDF</t>
  </si>
  <si>
    <t>Reject the claim if ReviewCount UDF &gt; 0 and total claim charge is negative. Log reject code LC in UDF.</t>
  </si>
  <si>
    <r>
      <rPr>
        <b/>
        <sz val="11"/>
        <color theme="1"/>
        <rFont val="Calibri"/>
        <family val="2"/>
        <scheme val="minor"/>
      </rPr>
      <t>LC</t>
    </r>
    <r>
      <rPr>
        <sz val="11"/>
        <color theme="1"/>
        <rFont val="Calibri"/>
        <family val="2"/>
        <scheme val="minor"/>
      </rPr>
      <t>: Negative total claim charge charge</t>
    </r>
  </si>
  <si>
    <t>Condition=$ReviewCount&gt;0 &amp;&amp; @OCRPrinDiagCode==#EMPTY &amp;&amp; @OCROthDiagCode1==#EMPTY &amp;&amp; @OCROthDiagCode2==#EMPTY &amp;&amp; @OCROthDiagCode3==#EMPTY &amp;&amp; @OCROthDiagCode4==#EMPTY &amp;&amp; @OCROthDiagCode5==#EMPTY &amp;&amp; @OCROthDiagCode6==#EMPTY &amp;&amp; @OCROthDiagCode7==#EMPTY &amp;&amp; @OCROthDiagCode8==#EMPTY &amp;&amp; @OCROtherDiagCode9==#EMPTY &amp;&amp; @OCROtherDiagCode10==#EMPTY &amp;&amp; @OCROtherDiagCode11==#EMPTY &amp;&amp; @OCROtherDiagCode12==#EMPTY &amp;&amp; @OCROtherDiagCode13==#EMPTY &amp;&amp; @OCROtherDiagCode14==#EMPTY &amp;&amp; @OCROterhDiagCode15==#EMPTY &amp;&amp; @OCROtherDiagCode16==#EMPTY &amp;&amp; @OCROtherDiagCode17==#EMPTY;RejectCode=L3;LogFieldType=UDF</t>
  </si>
  <si>
    <t>Reject the claim if ReviewCount UDF &gt; 0 and all DX codes (box 67, 67a-67q) are blank. Log reject code L3 in UDF.</t>
  </si>
  <si>
    <r>
      <rPr>
        <b/>
        <sz val="11"/>
        <color theme="1"/>
        <rFont val="Calibri"/>
        <family val="2"/>
        <scheme val="minor"/>
      </rPr>
      <t>L3</t>
    </r>
    <r>
      <rPr>
        <sz val="11"/>
        <color theme="1"/>
        <rFont val="Calibri"/>
        <family val="2"/>
        <scheme val="minor"/>
      </rPr>
      <t>: All DX codes are blank</t>
    </r>
  </si>
  <si>
    <t>Condition=$ReviewCount &gt; 0 &amp;&amp; @NDC_Code != #EMPTY &amp;&amp; @NDC_Code_Qual != N4;RejectCode=L0;LogFieldType=UDF</t>
  </si>
  <si>
    <t>Reject the claim if ReviewCount UDF &gt; 0 and there is NDC code but NDC code qualifier is not N4. Log reject code L0 in UDF.</t>
  </si>
  <si>
    <r>
      <rPr>
        <b/>
        <sz val="11"/>
        <color theme="1"/>
        <rFont val="Calibri"/>
        <family val="2"/>
        <scheme val="minor"/>
      </rPr>
      <t>L0</t>
    </r>
    <r>
      <rPr>
        <sz val="11"/>
        <color theme="1"/>
        <rFont val="Calibri"/>
        <family val="2"/>
        <scheme val="minor"/>
      </rPr>
      <t>: NDC code exists but NDC qualifier is not N4</t>
    </r>
  </si>
  <si>
    <t>RejectTooManyDetailLines</t>
  </si>
  <si>
    <r>
      <rPr>
        <sz val="11"/>
        <color theme="0" tint="-0.499984740745262"/>
        <rFont val="Calibri"/>
        <family val="2"/>
        <scheme val="minor"/>
      </rPr>
      <t>RejectCodeUDF=RejectCode;</t>
    </r>
    <r>
      <rPr>
        <sz val="11"/>
        <color theme="1"/>
        <rFont val="Calibri"/>
        <family val="2"/>
        <scheme val="minor"/>
      </rPr>
      <t>RejectCode=90;MaxAllowedDetailLines=500</t>
    </r>
  </si>
  <si>
    <t>Reject claim with reject code 90 (log in RejectCode UDF) if claim has more than 500 detail lines</t>
  </si>
  <si>
    <t>UDFsToClear=RejectCode</t>
  </si>
  <si>
    <t>Clear RejectCode UDF before execution al Reject rules.</t>
  </si>
  <si>
    <t>Condition=@CLM_SUBS_ID == #EMPTY &amp;&amp; @CLM_PAT_NAME_FIRST != #EMPTY &amp;&amp; @CLM_PAT_DOB_CCYYMMDD != #EMPTY;RejectCode=R1;LogFieldType=WebDE;UseDestinationRec=True</t>
  </si>
  <si>
    <t>Reject the claim if Insured ID is blank but Patient first name and DOB are not. Log the reject code R1 in Output XML.</t>
  </si>
  <si>
    <t>Bug 887286</t>
  </si>
  <si>
    <t>Condition=@CLM_SUBS_ID != #EMPTY &amp;&amp; @CLM_PAT_NAME_FIRST == #EMPTY &amp;&amp; @CLM_PAT_DOB_CCYYMMDD != #EMPTY;RejectCode=R1;LogFieldType=WebDE;UseDestinationRec=True</t>
  </si>
  <si>
    <t>Reject the claim if Patient first name is blank, Insured ID and patient DOB are not blank. Log the reject code R1 in Output XML.</t>
  </si>
  <si>
    <t>Condition=@CLM_SUBS_ID != #EMPTY &amp;&amp; @CLM_PAT_NAME_FIRST != #EMPTY &amp;&amp; @CLM_PAT_DOB_CCYYMMDD == #EMPTY;RejectCode=R1;LogFieldType=WebDE;UseDestinationRec=True</t>
  </si>
  <si>
    <t>Reject the claim if Patient DOB is blank, Insured ID and patient first name are not blank. Log the reject code R1 in Output XML.</t>
  </si>
  <si>
    <t>Condition=@CLM_SUBS_ID == #EMPTY &amp;&amp; @CLM_PAT_NAME_FIRST == #EMPTY;RejectCode=L1;LogFieldType=UDF;UseDestinationRec=True</t>
  </si>
  <si>
    <t>Reject the claim if Insured ID and Patient First Name are blank. Log the reject code L1 in UDF.</t>
  </si>
  <si>
    <t>Condition=@CLM_SUBS_ID == #EMPTY &amp;&amp; @CLM_PAT_DOB_CCYYMMDD == #EMPTY;RejectCode=L2;LogFieldType=UDF;UseDestinationRec=True</t>
  </si>
  <si>
    <t>Reject the claim if Insured ID and Patient DOB are blank. Log the reject code L2 in UDF.</t>
  </si>
  <si>
    <t>SourceValue=#INT[@OCRBillType];LookupTable=tblTypeOfBill;LookupColumn=Code;RejectCondition=NOTEXIST;ExecuteIfBlank=TRUE;RejectCode=R2;LogFieldType=WebDE</t>
  </si>
  <si>
    <t>Reject the claim if Type of Bill is blank or invalid. Log the reject code R2 in Output XML.</t>
  </si>
  <si>
    <t>Condition=@OCRStmtDateFrom != #EMPTY &amp;&amp; @OCRAdmitDate != #EMPTY &amp;&amp; #DATE[@OCRStmtDateFrom] &lt; #DATE[@OCRAdmitDate];SourceValue=#LEFT[@OCRBillType,2];LookupTable=tblTypeOfBill_R2;LookupColumn=Code;RejectCondition=EXIST;ExecuteIfBlank=TRUE;RejectCode=R2;LogFieldType=WebDE</t>
  </si>
  <si>
    <t>Reject the claim if Statement Period From Date is before Admission Date and first 2 characters of Type of Bill are 11, 15 - 19,  21, 25 - 29, 31, 35 - 39, 41, 45 – 49, 51, 55 - 59, 61, 65 - 69, 81, 82, or 86-88. Log the reject code R2 in Output XML.</t>
  </si>
  <si>
    <t>Condition=#DATE[@OCRAdmitDate] == #EMPTY || #DATE[@OCRAdmitDate] &gt; #TODAY;SourceValue=#LEFT[@OCRBillType,2];LookupTable=tblTypeOfBill_R2;LookupColumn=Code;RejectCondition=EXIST;ExecuteIfBlank=TRUE;RejectCode=R2;LogFieldType=WebDE</t>
  </si>
  <si>
    <t>Reject the claim if Admission Date is blank, invalid or future date and first 2 characters of Type of Bill are 11, 15 - 19,  21, 25 - 29, 31, 35 - 39, 41, 45 – 49, 51, 55 - 59, 61, 65 - 69, 81, 82, or 86-88. Log the reject code R2 in Output XML.</t>
  </si>
  <si>
    <t>LookupTable1=tblDischargeStatus;LookupColumn1=Status;RejectCondition1=NOTEXIST;ExecuteIfBlank1=TRUE;
SourceValue2=#LEFT[@OCRBillType,2];LookupTable2=tblTypeOfBill_R2;LookupColumn2=Code;RejectCondition2=EXIST;ExecuteIfBlank2=TRUE;
RejectCode=R2;LogFieldType=WebDE</t>
  </si>
  <si>
    <t>Reject the claim if Discharge Status is blank or invalid and first 2 characters of Type of Bill are 11, 15 - 19,  21, 25 - 29, 31, 35 - 39, 41, 45 – 49, 51, 55 - 59, 61, 65 - 69, 81, 82, or 86-88. Log the reject code R2 in Output XML.</t>
  </si>
  <si>
    <t>LookupTable=tblOccurrenceCodes;LookupColumn=Code;RejectCondition=NOTEXIST;ExecuteIfBlank=FALSE;RejectCode=R2;LogFieldType=WebDE</t>
  </si>
  <si>
    <t>Reject the claim if Occurrence Code 31a is invalid. Log the reject code R2 in Output XML.</t>
  </si>
  <si>
    <t>Reject the claim if Occurrence Code 31b is invalid. Log the reject code R2 in Output XML.</t>
  </si>
  <si>
    <t>Reject the claim if Occurrence Code 32a is invalid. Log the reject code R2 in Output XML.</t>
  </si>
  <si>
    <t>Reject the claim if Occurrence Code 32b is invalid. Log the reject code R2 in Output XML.</t>
  </si>
  <si>
    <t>Reject the claim if Occurrence Code 33a is invalid. Log the reject code R2 in Output XML.</t>
  </si>
  <si>
    <t>Reject the claim if Occurrence Code 33b is invalid. Log the reject code R2 in Output XML.</t>
  </si>
  <si>
    <t>Reject the claim if Occurrence Code 34a is invalid. Log the reject code R2 in Output XML.</t>
  </si>
  <si>
    <t>Reject the claim if Occurrence Code 34b is invalid. Log the reject code R2 in Output XML.</t>
  </si>
  <si>
    <t>LookupTable=tblOccurrenceSpanCodes;LookupColumn=Code;RejectCondition=NOTEXIST;ExecuteIfBlank=FALSE;RejectCode=R2;LogFieldType=WebDE</t>
  </si>
  <si>
    <t>Reject the claim if Occurrence Span Code 35a is invalid. Log the reject code R2 in Output XML.</t>
  </si>
  <si>
    <t>Reject the claim if Occurrence Span Code 35b is invalid. Log the reject code R2 in Output XML.</t>
  </si>
  <si>
    <t>Reject the claim if Occurrence Span Code 36a is invalid. Log the reject code R2 in Output XML.</t>
  </si>
  <si>
    <t>Reject the claim if Occurrence Span Code 36b is invalid. Log the reject code R2 in Output XML.</t>
  </si>
  <si>
    <t>LookupTable=tblValueCodes;LookupColumn=Code;RejectCondition=NOTEXIST;ExecuteIfBlank=FALSE;RejectCode=R2;LogFieldType=WebDE</t>
  </si>
  <si>
    <t>Reject the claim if Value Code 39a is invalid. Log the reject code R2 in Output XML.</t>
  </si>
  <si>
    <t>Condition=$ReviewCount &gt; 0;LookupTable=tblValueCodes;LookupColumn=Code;RejectCondition=NOTEXIST;ExecuteIfBlank=FALSE;RejectCode=R2;LogFieldType=WebDE</t>
  </si>
  <si>
    <t>Reject the claim if Value Code 39b is invalid. Log the reject code R2 in Output XML.</t>
  </si>
  <si>
    <t>Reject the claim if Value Code 39c is invalid. Log the reject code R2 in Output XML.</t>
  </si>
  <si>
    <t>Reject the claim if Value Code 39d is invalid. Log the reject code R2 in Output XML.</t>
  </si>
  <si>
    <t>Reject the claim if Value Code 40a is invalid. Log the reject code R2 in Output XML.</t>
  </si>
  <si>
    <t>Reject the claim if Value Code 40b is invalid. Log the reject code R2 in Output XML.</t>
  </si>
  <si>
    <t>Reject the claim if Value Code 40c is invalid. Log the reject code R2 in Output XML.</t>
  </si>
  <si>
    <t>Reject the claim if Value Code 40d is invalid. Log the reject code R2 in Output XML.</t>
  </si>
  <si>
    <t>Condition=@OCRRevCodes == #EMPTY;RejectCode=R2;LogFieldType=WebDE</t>
  </si>
  <si>
    <t>Reject the claim if Revenue Code (box 42) is blank. Log the reject code R2 in Output XML.</t>
  </si>
  <si>
    <t>LookupTable=tblRevenueCodes;LookupColumn=RevenueCode;SourceValue=#INT[@OCRRevCodes];RejectCondition=NOTEXIST;ExecuteIfBlank=FALSE;RejectCode=R2;LogFieldType=WebDE</t>
  </si>
  <si>
    <t>Reject the claim if Revenue Code (box 42) is invalid. Log the reject code R2 in Output XML.</t>
  </si>
  <si>
    <t>Condition=#DATE[@OCRStmtDateFrom] == #EMPTY || #DATE[@OCRStmtDateTo] == #EMPTY || #DATE[@OCRStmtDateFrom] &gt; #DATE[@OCRStmtDateTo];RejectCode=L4;LogFieldType=UDF</t>
  </si>
  <si>
    <t>Reject the claim if Statement Period dates are blank or invalid or From Date is after To Date. Log the reject code L4 in UDF.</t>
  </si>
  <si>
    <t>Condition=@OCRStmtDateFrom != #EMPTY &amp;&amp; #DATE[@OCRStmtDateFrom] &gt; #TODAY || @OCRStmtDateTo != #EMPTY &amp;&amp; #DATE[@OCRStmtDateTo] &gt; #TODAY;RejectCode=LB;LogFieldType=UDF</t>
  </si>
  <si>
    <t>Reject the claim if any of the Statement Period dates are future. Log the reject code LB in UDF.</t>
  </si>
  <si>
    <t>Condition=#LEFT[@CLM_BILL_PROV_ADDR_ZIP,5]==#EMPTY || #INT[#LEFT[@CLM_BILL_PROV_ADDR_ZIP,5]]==0 || @CLM_BILL_PROV_ADDR_STATE == #EMPTY;RejectCode=R3;LogFieldType=WebDE;UseDestinationRec=True</t>
  </si>
  <si>
    <t>Reject the claim if Pay to Provider Zip Code (box 2) is blank or all zeros or state is blank. Log the reject code R3 in Output XML.</t>
  </si>
  <si>
    <r>
      <rPr>
        <b/>
        <sz val="11"/>
        <color theme="1"/>
        <rFont val="Calibri"/>
        <family val="2"/>
        <scheme val="minor"/>
      </rPr>
      <t>R3</t>
    </r>
    <r>
      <rPr>
        <sz val="11"/>
        <color theme="1"/>
        <rFont val="Calibri"/>
        <family val="2"/>
        <scheme val="minor"/>
      </rPr>
      <t>: Blank/Invalid Pay to Provider zip code or blank state (box 2)</t>
    </r>
  </si>
  <si>
    <t>US 886946</t>
  </si>
  <si>
    <t>RejectInvalidTIN</t>
  </si>
  <si>
    <t>RejectCode=L7;LogFieldType=UDF;ExcludedValues=000000000,999999999</t>
  </si>
  <si>
    <t>Reject the claim if Fed TaxID is blank or invalid. Log the reject code L7 in UDF.</t>
  </si>
  <si>
    <r>
      <rPr>
        <b/>
        <sz val="11"/>
        <rFont val="Calibri"/>
        <family val="2"/>
        <scheme val="minor"/>
      </rPr>
      <t>L7</t>
    </r>
    <r>
      <rPr>
        <sz val="11"/>
        <rFont val="Calibri"/>
        <family val="2"/>
        <scheme val="minor"/>
      </rPr>
      <t>: Blank or invalid TaxID</t>
    </r>
  </si>
  <si>
    <t>Bug 891551</t>
  </si>
  <si>
    <t>Condition=@CLM_SERV_PROV_NAME_GROUP == #EMPTY &amp;&amp; @CLM_BILL_PROV_NAME_GROUP == #EMPTY;RejectCode=L8;LogFieldType=UDF;UseDestinationRec=True</t>
  </si>
  <si>
    <t>Reject the claim if Pay to Provider org name is blank (box 2) and Provider Facility (box 1) is blank. Log the reject code L8 in UDF.</t>
  </si>
  <si>
    <r>
      <t>Lo</t>
    </r>
    <r>
      <rPr>
        <sz val="12"/>
        <rFont val="Calibri"/>
        <family val="2"/>
        <scheme val="minor"/>
      </rPr>
      <t>okupTable=tblStates;LookupColumn=Abbr;RejectCondition=NOTEXIST;RejectCode=L9;LogFieldType=UDF;UseDestinationRec=True;SourceField=CLM_BILL_PROV_ADDR_STATE</t>
    </r>
  </si>
  <si>
    <t>Reject the claim if Box 2 Pay to Provider State is invalid or blank. Log reject code L9 in UDF.</t>
  </si>
  <si>
    <t>Bug 890012</t>
  </si>
  <si>
    <t>RejectCode=LJ;LogFieldType=UDF</t>
  </si>
  <si>
    <t>Reject the claim if NPI is blank or invalid (does not match Luhn formula). Log reject code LJ in UDF.</t>
  </si>
  <si>
    <t>Condition=@OCRDetailCharges == #EMPTY || #ISNUMBER[@OCRDetailCharges]==FALSE || #INT[@OCRDetailCharges] &lt;= 0;RejectCode=L6;LogFieldType=UDF</t>
  </si>
  <si>
    <t>Reject the claim if service line charge (box 47) is blank,  invalid, equal or less than zero. Log reject code L6 in UDF.</t>
  </si>
  <si>
    <t>Bug 889462</t>
  </si>
  <si>
    <t>Condition=@OCRTotalCharge != #EMPTY &amp;&amp; #INT[@OCRTotalCharge] &lt; 0;RejectCode=LC;LogFieldType=UDF</t>
  </si>
  <si>
    <t>Reject the claim if total claim charge is negative. Log reject code LC in UDF.</t>
  </si>
  <si>
    <t>Condition=@OCRPrinDiagCode==#EMPTY &amp;&amp; @OCROthDiagCode1==#EMPTY &amp;&amp; @OCROthDiagCode2==#EMPTY &amp;&amp; @OCROthDiagCode3==#EMPTY &amp;&amp; @OCROthDiagCode4==#EMPTY &amp;&amp; @OCROthDiagCode5==#EMPTY &amp;&amp; @OCROthDiagCode6==#EMPTY &amp;&amp; @OCROthDiagCode7==#EMPTY &amp;&amp; @OCROthDiagCode8==#EMPTY &amp;&amp; @OCROtherDiagCode9==#EMPTY &amp;&amp; @OCROtherDiagCode10==#EMPTY &amp;&amp; @OCROtherDiagCode11==#EMPTY &amp;&amp; @OCROtherDiagCode12==#EMPTY &amp;&amp; @OCROtherDiagCode13==#EMPTY &amp;&amp; @OCROtherDiagCode14==#EMPTY &amp;&amp; @OCROterhDiagCode15==#EMPTY &amp;&amp; @OCROtherDiagCode16==#EMPTY &amp;&amp; @OCROtherDiagCode17==#EMPTY;RejectCode=L3;LogFieldType=UDF</t>
  </si>
  <si>
    <t>Reject the claim if all DX codes (box 67, 67a-67q) are blank. Log reject code L3 in UDF.</t>
  </si>
  <si>
    <t>Condition=@NDC_Code != #EMPTY &amp;&amp; @NDC_Code_Qual != N4;RejectCode=L0;LogFieldType=UDF</t>
  </si>
  <si>
    <t>Reject the claim if there is NDC code but NDC code qualifier is not N4. Log reject code L0 in UDF.</t>
  </si>
  <si>
    <t>Lookup Tables</t>
  </si>
  <si>
    <t>tblTypeOfBill</t>
  </si>
  <si>
    <t>tblTypeOfBill_R2</t>
  </si>
  <si>
    <t>tblOccurrenceCodes</t>
  </si>
  <si>
    <t>tblOccurrenceSpanCodes</t>
  </si>
  <si>
    <t>tblValueCodes</t>
  </si>
  <si>
    <t>tblStates</t>
  </si>
  <si>
    <t>tblDischargeStatus</t>
  </si>
  <si>
    <t>tblRevenueCodes</t>
  </si>
  <si>
    <t>Billing Provider - Org Name</t>
  </si>
  <si>
    <t>CLM_SERV_PROV_NAME_GROUP</t>
  </si>
  <si>
    <t>CLM_ SERV_PROV_ADDR_STREET</t>
  </si>
  <si>
    <t>CLM_ SERV_PROV_ADDR_CITY</t>
  </si>
  <si>
    <t>CLM_ SERV_PROV_ADDR_STATE</t>
  </si>
  <si>
    <t>CLM_ SERV_PROV_ADDR_ZIP</t>
  </si>
  <si>
    <t>CLM_SERV_PROV_PHONE</t>
  </si>
  <si>
    <t>CLM_BILL_PROV_NAME_GROUP</t>
  </si>
  <si>
    <t>CLM_BILL_PROV_ADDR_STREET</t>
  </si>
  <si>
    <t>CLM_BILL_PROV_ADDR_CITY</t>
  </si>
  <si>
    <t>CLM_BILL_PROV_ADDR_STATE</t>
  </si>
  <si>
    <t>CLM_BILL_PROV_ADDR_ZIP</t>
  </si>
  <si>
    <t>CLM_PATIENT_ACCOUNT_NUMBER</t>
  </si>
  <si>
    <t>CLM_MED_REC_NUMBER</t>
  </si>
  <si>
    <t>CLM_HOSP_FACILITY_CODE</t>
  </si>
  <si>
    <t>CLM_HOSP_BILL_CLASSIFICATION</t>
  </si>
  <si>
    <t>CLM_HOSP_FREQUENCY_CODE</t>
  </si>
  <si>
    <t>CLM_BILL_PROV_ID</t>
  </si>
  <si>
    <t>CLM_START_CCYYMMDD</t>
  </si>
  <si>
    <t>CLM_END_CCYYMMDD</t>
  </si>
  <si>
    <t>DateFormat:CCYYMMDD</t>
  </si>
  <si>
    <t>CLM_PAT_ID</t>
  </si>
  <si>
    <t>CLM_PAT_NAME_LAST</t>
  </si>
  <si>
    <t>CLM_PAT_NAME_FIRST</t>
  </si>
  <si>
    <t>CLM_PAT_NAME_INIT</t>
  </si>
  <si>
    <t>CLM_PAT_ADDR_STREET</t>
  </si>
  <si>
    <t>CLM_PAT_ADDR_CITY</t>
  </si>
  <si>
    <t>CLM_PAT_ADDR_STATE</t>
  </si>
  <si>
    <t>CLM_PAT_ADDR_ZIP</t>
  </si>
  <si>
    <t>CLM_PAT_DOB_CCYYMMDD</t>
  </si>
  <si>
    <t>CLM_PAT_GENDER</t>
  </si>
  <si>
    <t>CLM_HOSP_ADMIT_CCYYMMDD</t>
  </si>
  <si>
    <t>00-23,99</t>
  </si>
  <si>
    <t>CLM_HOSP_ADMIT_HOUR</t>
  </si>
  <si>
    <t>1-5,9</t>
  </si>
  <si>
    <t>CLM_HOSP_ADMIT_TYPE</t>
  </si>
  <si>
    <t>1,2,4-6,8,9,D-F</t>
  </si>
  <si>
    <t>CLM_HOSP_ADMIT_SOURCE</t>
  </si>
  <si>
    <t>CLM_HOSP_DISCHARGE_HOUR</t>
  </si>
  <si>
    <t>01-07,09,20,21,30,40-43,50,51,61-66,69,70,81-95</t>
  </si>
  <si>
    <t>CLM_HOSP_DISCHARGE_STATUS</t>
  </si>
  <si>
    <t>for validation - tblDischargeStatus</t>
  </si>
  <si>
    <t>CLM_HOSP_CONDITION_CD_1</t>
  </si>
  <si>
    <t>for validation - tblConditionCodes</t>
  </si>
  <si>
    <t>CLM_HOSP_CONDITION_CD_2</t>
  </si>
  <si>
    <t>CLM_HOSP_CONDITION_CD_3</t>
  </si>
  <si>
    <t>CLM_HOSP_CONDITION_CD_4</t>
  </si>
  <si>
    <t>CLM_HOSP_CONDITION_CD_5</t>
  </si>
  <si>
    <t>CLM_HOSP_CONDITION_CD_6</t>
  </si>
  <si>
    <t>CLM_HOSP_CONDITION_CD_7</t>
  </si>
  <si>
    <t>CLM_HOSP_CONDITION_CD_8</t>
  </si>
  <si>
    <t>CLM_HOSP_CONDITION_CD_9</t>
  </si>
  <si>
    <t>CLM_HOSP_CONDITION_CD_10</t>
  </si>
  <si>
    <t>CLM_HOSP_CONDITION_CD_11</t>
  </si>
  <si>
    <t>CLM_ACCIDENT_STATE</t>
  </si>
  <si>
    <t>CLM_HOSP_OCCUR_CODES_1A</t>
  </si>
  <si>
    <t>tblConditionCodes</t>
  </si>
  <si>
    <t>CLM_HOSP_OCCUR_DTE_CCYYMMDD_1A</t>
  </si>
  <si>
    <t>CLM_HOSP_OCCUR_CODES_1B</t>
  </si>
  <si>
    <t>CLM_HOSP_OCCUR_DTE_CCYYMMDD_1B</t>
  </si>
  <si>
    <t>CLM_HOSP_OCCUR_CODES_2A</t>
  </si>
  <si>
    <t>CLM_HOSP_OCCUR_DTE_CCYYMMDD_2A</t>
  </si>
  <si>
    <t>CLM_HOSP_OCCUR_CODES_2B</t>
  </si>
  <si>
    <t>CLM_HOSP_OCCUR_DTE_CCYYMMDD_2B</t>
  </si>
  <si>
    <t>CLM_HOSP_OCCUR_CODES_3A</t>
  </si>
  <si>
    <t>CLM_HOSP_OCCUR_DTE_CCYYMMDD_3A</t>
  </si>
  <si>
    <t>CLM_HOSP_OCCUR_CODES_3B</t>
  </si>
  <si>
    <t>CLM_HOSP_OCCUR_DTE_CCYYMMDD_3B</t>
  </si>
  <si>
    <t>CLM_HOSP_OCCUR_CODES_4A</t>
  </si>
  <si>
    <t>CLM_HOSP_OCCUR_DTE_CCYYMMDD_4A</t>
  </si>
  <si>
    <t>CLM_HOSP_OCCUR_CODES_4B</t>
  </si>
  <si>
    <t>CLM_HOSP_OCCUR_DTE_CCYYMMDD_4B</t>
  </si>
  <si>
    <t>0-9,M</t>
  </si>
  <si>
    <t>70-78,80,81, ,M0,M1,M2,M3,M4</t>
  </si>
  <si>
    <t>CLM_HOSP_SPAN_CODE_1A</t>
  </si>
  <si>
    <t>CLM_HOSP_SPAN_FROM_CCYYMMDD_1A</t>
  </si>
  <si>
    <t>CLM_HOSP_SPAN_THRU_CCYYMMDD_1A</t>
  </si>
  <si>
    <t>CLM_HOSP_SPAN_CODE_1B</t>
  </si>
  <si>
    <t>CLM_HOSP_SPAN_FROM_CCYYMMDD_1B</t>
  </si>
  <si>
    <t>CLM_HOSP_SPAN_THRU_CCYYMMDD_1B</t>
  </si>
  <si>
    <t>CLM_HOSP_SPAN_CODE_2A</t>
  </si>
  <si>
    <t>CLM_HOSP_SPAN_FROM_CCYYMMDD_2A</t>
  </si>
  <si>
    <t>CLM_HOSP_SPAN_THRU_CCYYMMDD_2A</t>
  </si>
  <si>
    <t>CLM_HOSP_SPAN_CODE_2B</t>
  </si>
  <si>
    <t>CLM_HOSP_SPAN_FROM_CCYYMMDD_2B</t>
  </si>
  <si>
    <t>CLM_HOSP_SPAN_THRU_CCYYMMDD_2B</t>
  </si>
  <si>
    <t>CLM_SUBS_ADDR_STREET</t>
  </si>
  <si>
    <t>CLM_SUBS_ADDR_CITY</t>
  </si>
  <si>
    <t>CLM_SUBS_ADDR_STATE</t>
  </si>
  <si>
    <t>CLM_SUBS_ADDR_ZIP</t>
  </si>
  <si>
    <t>CLM_HOSP_VALUE_CODES_1a</t>
  </si>
  <si>
    <t>CLM_HOSP_VALUE_AMOUNT_1a</t>
  </si>
  <si>
    <t>CLM_HOSP_VALUE_CODES_1b</t>
  </si>
  <si>
    <t>CLM_HOSP_VALUE_AMOUNT_1b</t>
  </si>
  <si>
    <t>CLM_HOSP_VALUE_CODES_1c</t>
  </si>
  <si>
    <t>CLM_HOSP_VALUE_AMOUNT_1c</t>
  </si>
  <si>
    <t>CLM_HOSP_VALUE_CODES_1d</t>
  </si>
  <si>
    <t>CLM_HOSP_VALUE_AMOUNT_1d</t>
  </si>
  <si>
    <t>CLM_HOSP_VALUE_CODES_2a</t>
  </si>
  <si>
    <t>CLM_HOSP_VALUE_AMOUNT_2a</t>
  </si>
  <si>
    <t>CLM_HOSP_VALUE_CODES_2b</t>
  </si>
  <si>
    <t>CLM_HOSP_VALUE_AMOUNT_2b</t>
  </si>
  <si>
    <t>CLM_HOSP_VALUE_CODES_2c</t>
  </si>
  <si>
    <t>CLM_HOSP_VALUE_AMOUNT_2c</t>
  </si>
  <si>
    <t>CLM_HOSP_VALUE_CODES_2d</t>
  </si>
  <si>
    <t>CLM_HOSP_VALUE_AMOUNT_2d</t>
  </si>
  <si>
    <t>CLM_HOSP_VALUE_CODES_3a</t>
  </si>
  <si>
    <t>CLM_HOSP_VALUE_AMOUNT_3a</t>
  </si>
  <si>
    <t>CLM_HOSP_VALUE_CODES_3b</t>
  </si>
  <si>
    <t>CLM_HOSP_VALUE_AMOUNT_3b</t>
  </si>
  <si>
    <t>CLM_HOSP_VALUE_CODES_3c</t>
  </si>
  <si>
    <t>CLM_HOSP_VALUE_AMOUNT_3c</t>
  </si>
  <si>
    <t>CLM_HOSP_VALUE_CODES_3d</t>
  </si>
  <si>
    <t>CLM_HOSP_VALUE_AMOUNT_3d</t>
  </si>
  <si>
    <t>DTL_HOSP_REVENUE_CODE_3 BYTE</t>
  </si>
  <si>
    <t>DTL_HOSP_REVENUE_CODE_4 BYTE</t>
  </si>
  <si>
    <t>DTL_HOSP_NDC</t>
  </si>
  <si>
    <t>2, ,A-Z</t>
  </si>
  <si>
    <t xml:space="preserve"> ,F2,GR,ME,ML,UN</t>
  </si>
  <si>
    <t>DTL_HOSP_UNITS_QUALIFIER</t>
  </si>
  <si>
    <t>DTL_HOSP_NDC_UNITS</t>
  </si>
  <si>
    <t>DTL_HOSP_PROCEDURE_CODE</t>
  </si>
  <si>
    <t>DTL_HOSP_PROC_MODIFIER_1</t>
  </si>
  <si>
    <t>DTL_HOSP_PROC_MODIFIER_2</t>
  </si>
  <si>
    <t>DTL_HOSP_PROC_MODIFIER_3</t>
  </si>
  <si>
    <t>DTL_HOSP_PROC_MODIFIER_4</t>
  </si>
  <si>
    <t>DTL_HOSP_PROCEDURE_DATE</t>
  </si>
  <si>
    <t>DTL_HOSP_NUM_OF_SERVICES</t>
  </si>
  <si>
    <t>DTL_HOSP_SUBMITTED_AMOUNT</t>
  </si>
  <si>
    <t>EBCDICNumber</t>
  </si>
  <si>
    <t>DTL_HOSP_NON_COVERED_CHARGES</t>
  </si>
  <si>
    <t>DETAIL LINE MEDICAID PAID AMOUNT</t>
  </si>
  <si>
    <t>DTL_HOSP_MEDICAID_PAID_AMOUNT</t>
  </si>
  <si>
    <t>TOTAL CLAIM MEDICAID PAID AMOUNT</t>
  </si>
  <si>
    <t>CLM_MEDICAID_PAID_AMOUNT</t>
  </si>
  <si>
    <t>Output UB Totals</t>
  </si>
  <si>
    <t>CLM_TOTAL_CHARGE</t>
  </si>
  <si>
    <t>EBCDICNumber,PadLeft:0,17</t>
  </si>
  <si>
    <t>A-Q,0-9,-,{,}</t>
  </si>
  <si>
    <t>CLM_TOTAL_CHARGE_NOFORMAT</t>
  </si>
  <si>
    <t>Noname</t>
  </si>
  <si>
    <t>CLM_INS_PLAN_NAME_A</t>
  </si>
  <si>
    <t>CLM_COB_OTHER_PLAN_NAME_A</t>
  </si>
  <si>
    <t>CLM_COB_OTHER_INS_IND_A</t>
  </si>
  <si>
    <t>CLM_INS_PLAN_NAME_B</t>
  </si>
  <si>
    <t>CLM_COB_OTHER_PLAN_NAME_B</t>
  </si>
  <si>
    <t>CLM_COB_OTHER_INS_IND_B</t>
  </si>
  <si>
    <t>CLM_INS_PLAN_NAME_C</t>
  </si>
  <si>
    <t>CLM_COB_OTHER_PLAN_NAME_C</t>
  </si>
  <si>
    <t>CLM_COB_OTHER_INS_IND_C</t>
  </si>
  <si>
    <t>Output UB Box 50</t>
  </si>
  <si>
    <t>Payer Name</t>
  </si>
  <si>
    <t>0-9,A-Z, ,-,/,&amp;</t>
  </si>
  <si>
    <t>CLM_INS_PLAN_NAME</t>
  </si>
  <si>
    <t>Payer Name COB</t>
  </si>
  <si>
    <t>CLM_COB_OTHER_PLAN_NAME</t>
  </si>
  <si>
    <t>CLM_SERV_PROV_UPIN_A</t>
  </si>
  <si>
    <t>CLM_SERV_PROV_UPIN_B</t>
  </si>
  <si>
    <t>CLM_SERV_PROV_UPIN_C</t>
  </si>
  <si>
    <t>Output UB Box 51</t>
  </si>
  <si>
    <t>Health Plan</t>
  </si>
  <si>
    <t>CLM_SERV_PROV_UPIN</t>
  </si>
  <si>
    <t>CLM_RELEASE_OF_INFO_IND_A</t>
  </si>
  <si>
    <t>CLM_RELEASE_OF_INFO_IND_B</t>
  </si>
  <si>
    <t>CLM_RELEASE_OF_INFO_IND_C</t>
  </si>
  <si>
    <t>Output UB Box 52</t>
  </si>
  <si>
    <t>Release Info</t>
  </si>
  <si>
    <t>CLM_RELEASE_OF_INFO_IND</t>
  </si>
  <si>
    <t>A</t>
  </si>
  <si>
    <t>CLM_PROVIDER_ASSIGNMENT_CODE_A</t>
  </si>
  <si>
    <t>CLM_PROVIDER_ASSIGNMENT_CODE_B</t>
  </si>
  <si>
    <t>CLM_PROVIDER_ASSIGNMENT_CODE_C</t>
  </si>
  <si>
    <t>Output UB Box 53</t>
  </si>
  <si>
    <t>Assignment of Benefits</t>
  </si>
  <si>
    <t>A,Y</t>
  </si>
  <si>
    <t>CLM_PROVIDER_ASSIGNMENT_CODE</t>
  </si>
  <si>
    <t>CLM_COB_OTHER_INSURED_AMT_A</t>
  </si>
  <si>
    <t>CLM_COB_OTHER_INSURED_AMT_B</t>
  </si>
  <si>
    <t>CLM_COB_OTHER_INSURED_AMT_C</t>
  </si>
  <si>
    <t>Output UB Box 54</t>
  </si>
  <si>
    <t>Prior Payments</t>
  </si>
  <si>
    <t>CLM_COB_OTHER_INSURED_AMT</t>
  </si>
  <si>
    <t>CLM_HOSP_EST_AMT_DUE_A</t>
  </si>
  <si>
    <t>CLM_HOSP_MDCR_PART_A_DED_A</t>
  </si>
  <si>
    <t>CLM_HOSP_EST_AMT_DUE_B</t>
  </si>
  <si>
    <t>CLM_HOSP_MDCR_PART_A_DED_B</t>
  </si>
  <si>
    <t>CLM_HOSP_EST_AMT_DUE_C</t>
  </si>
  <si>
    <t>CLM_HOSP_MDCR_PART_A_DED_C</t>
  </si>
  <si>
    <t>Output UB Box 55</t>
  </si>
  <si>
    <t>Estimated Amounts Due</t>
  </si>
  <si>
    <t>CLM_HOSP_EST_AMT_DUE</t>
  </si>
  <si>
    <t>Estimated Amounts Due - COB</t>
  </si>
  <si>
    <t>CLM_HOSP_MDCR_PART_A_DED</t>
  </si>
  <si>
    <t xml:space="preserve"> ,0-9</t>
  </si>
  <si>
    <t>CLM_BILL_PROV_NATIONAL_ID</t>
  </si>
  <si>
    <t>A-Z, ,',-,/,</t>
  </si>
  <si>
    <t>CLM_SUBS_NAME_LAST_A</t>
  </si>
  <si>
    <t>CLM_SUBS_NAME_FIRST_A</t>
  </si>
  <si>
    <t>CLM_SUBS_NAME_LAST_B</t>
  </si>
  <si>
    <t>CLM_SUBS_NAME_FIRST_B</t>
  </si>
  <si>
    <t>CLM_SUBS_NAME_LAST_C</t>
  </si>
  <si>
    <t>CLM_SUBS_NAME_FIRST_C</t>
  </si>
  <si>
    <t>Output UB Box 58</t>
  </si>
  <si>
    <t>Insured Last Name</t>
  </si>
  <si>
    <t>CLM_SUBS_NAME_LAST</t>
  </si>
  <si>
    <t>Insured First Name</t>
  </si>
  <si>
    <t>CLM_SUBS_NAME_FIRST</t>
  </si>
  <si>
    <t>1,8</t>
  </si>
  <si>
    <t>CLM_PAT_RELATION_A</t>
  </si>
  <si>
    <t>CLM_PAT_RELATION_B</t>
  </si>
  <si>
    <t>CLM_PAT_RELATION_C</t>
  </si>
  <si>
    <t>Output UB Box 59</t>
  </si>
  <si>
    <t>Patient Relationship</t>
  </si>
  <si>
    <t>CLM_PAT_RELATION</t>
  </si>
  <si>
    <t>CLM_SUBS_ID_A</t>
  </si>
  <si>
    <t>CLM_SUBS_ID_B</t>
  </si>
  <si>
    <t>Output UB Box 60C</t>
  </si>
  <si>
    <t>CLM_SUBS_ID_C</t>
  </si>
  <si>
    <t>Output UB Box 60</t>
  </si>
  <si>
    <t>Insured Unique ID</t>
  </si>
  <si>
    <t>CLM_SUBS_ID</t>
  </si>
  <si>
    <t>PadRight: ,20</t>
  </si>
  <si>
    <t>CLM_COB_OTHER_EMPLOYER_NAME_A</t>
  </si>
  <si>
    <t>CLM_COB_OTHER_EMPLOYER_NAME_B</t>
  </si>
  <si>
    <t>CLM_COB_OTHER_EMPLOYER_NAME_C</t>
  </si>
  <si>
    <t>Output UB Box 61</t>
  </si>
  <si>
    <t>Group Name</t>
  </si>
  <si>
    <t>CLM_COB_OTHER_EMPLOYER_NAME</t>
  </si>
  <si>
    <t>CLM_INS_SUBMITTED_GROUP_A</t>
  </si>
  <si>
    <t>CLM_INS_SUBMITTED_GROUP_B</t>
  </si>
  <si>
    <t>CLM_INS_SUBMITTED_GROUP_C</t>
  </si>
  <si>
    <t>Output UB Box 62</t>
  </si>
  <si>
    <t>Insurance Group No</t>
  </si>
  <si>
    <t>CLM_INS_SUBMITTED_GROUP</t>
  </si>
  <si>
    <t>CLM_AUTHORIZATION_NUMBER_A</t>
  </si>
  <si>
    <t>CLM_AUTHORIZATION_NUMBER_B</t>
  </si>
  <si>
    <t>CLM_AUTHORIZATION_NUMBER_C</t>
  </si>
  <si>
    <t>Output UB Box 63</t>
  </si>
  <si>
    <t>Treatment Authorization Codes</t>
  </si>
  <si>
    <t>CLM_AUTHORIZATION_NUMBER</t>
  </si>
  <si>
    <t>CLM_PAYER_CONTROL_NO_A</t>
  </si>
  <si>
    <t>CLM_PAYER_CONTROL_NO_B</t>
  </si>
  <si>
    <t>CLM_PAYER_CONTROL_NO_C</t>
  </si>
  <si>
    <t>Output UB Box 64</t>
  </si>
  <si>
    <t>Claim Payer Control Number</t>
  </si>
  <si>
    <t>CLM_PAYER_CONTROL_NO</t>
  </si>
  <si>
    <t>CLM_HOSP_PROC_CODING_METHOD</t>
  </si>
  <si>
    <t>CLM_DIAGNOSIS_CODE_1</t>
  </si>
  <si>
    <t>Principal Diag Code Indicator</t>
  </si>
  <si>
    <t>CLM_CODE_TYPE_IND_CODE_1</t>
  </si>
  <si>
    <t>Y,N,U,W, ,</t>
  </si>
  <si>
    <t>CLM_POA_IND_CODE_1</t>
  </si>
  <si>
    <t>CLM_DIAGNOSIS_CODE_2</t>
  </si>
  <si>
    <t>Other DX Codes A Indicator</t>
  </si>
  <si>
    <t>CLM_CODE_TYPE_IND_CODE_2</t>
  </si>
  <si>
    <t>CLM_POA_IND_CODE_2</t>
  </si>
  <si>
    <t>CLM_DIAGNOSIS_CODE_3</t>
  </si>
  <si>
    <t>CLM_CODE_TYPE_IND_CODE_3</t>
  </si>
  <si>
    <t>CLM_POA_IND_CODE_3</t>
  </si>
  <si>
    <t>CLM_DIAGNOSIS_CODE_4</t>
  </si>
  <si>
    <t>CLM_CODE_TYPE_IND_CODE_4</t>
  </si>
  <si>
    <t>CLM_POA_IND_CODE_4</t>
  </si>
  <si>
    <t>CLM_DIAGNOSIS_CODE_5</t>
  </si>
  <si>
    <t>CLM_CODE_TYPE_IND_CODE_5</t>
  </si>
  <si>
    <t>CLM_POA_IND_CODE_5</t>
  </si>
  <si>
    <t>CLM_DIAGNOSIS_CODE_6</t>
  </si>
  <si>
    <t>CLM_CODE_TYPE_IND_CODE_6</t>
  </si>
  <si>
    <t>CLM_POA_IND_CODE_6</t>
  </si>
  <si>
    <t>CLM_DIAGNOSIS_CODE_7</t>
  </si>
  <si>
    <t>CLM_CODE_TYPE_IND_CODE_7</t>
  </si>
  <si>
    <t>CLM_POA_IND_CODE_7</t>
  </si>
  <si>
    <t>CLM_DIAGNOSIS_CODE_8</t>
  </si>
  <si>
    <t>CLM_CODE_TYPE_IND_CODE_8</t>
  </si>
  <si>
    <t>CLM_POA_IND_CODE_8</t>
  </si>
  <si>
    <t>CLM_DIAGNOSIS_CODE_9</t>
  </si>
  <si>
    <t>CLM_CODE_TYPE_IND_CODE_9</t>
  </si>
  <si>
    <t>CLM_POA_IND_CODE_9</t>
  </si>
  <si>
    <t>CLM_DIAGNOSIS_CODE_10</t>
  </si>
  <si>
    <t>CLM_CODE_TYPE_IND_CODE_10</t>
  </si>
  <si>
    <t>CLM_POA_IND_CODE_10</t>
  </si>
  <si>
    <t>CLM_DIAGNOSIS_CODE_11</t>
  </si>
  <si>
    <t>CLM_CODE_TYPE_IND_CODE_11</t>
  </si>
  <si>
    <t>CLM_POA_IND_CODE_11</t>
  </si>
  <si>
    <t>CLM_DIAGNOSIS_CODE_12</t>
  </si>
  <si>
    <t>CLM_CODE_TYPE_IND_CODE_12</t>
  </si>
  <si>
    <t>CLM_POA_IND_CODE_12</t>
  </si>
  <si>
    <t>CLM_DIAGNOSIS_CODE_13</t>
  </si>
  <si>
    <t>CLM_CODE_TYPE_IND_CODE_13</t>
  </si>
  <si>
    <t>CLM_POA_IND_CODE_13</t>
  </si>
  <si>
    <t>CLM_DIAGNOSIS_CODE_14</t>
  </si>
  <si>
    <t>CLM_CODE_TYPE_IND_CODE_14</t>
  </si>
  <si>
    <t>CLM_POA_IND_CODE_14</t>
  </si>
  <si>
    <t>CLM_DIAGNOSIS_CODE_15</t>
  </si>
  <si>
    <t>CLM_CODE_TYPE_IND_CODE_15</t>
  </si>
  <si>
    <t>CLM_POA_IND_CODE_15</t>
  </si>
  <si>
    <t>CLM_DIAGNOSIS_CODE_16</t>
  </si>
  <si>
    <t>CLM_CODE_TYPE_IND_CODE_16</t>
  </si>
  <si>
    <t>CLM_POA_IND_CODE_16</t>
  </si>
  <si>
    <t>CLM_DIAGNOSIS_CODE_17</t>
  </si>
  <si>
    <t>CLM_CODE_TYPE_IND_CODE_17</t>
  </si>
  <si>
    <t>CLM_POA_IND_CODE_17</t>
  </si>
  <si>
    <t>CLM_DIAGNOSIS_CODE_18</t>
  </si>
  <si>
    <t>CLM_CODE_TYPE_IND_CODE_18</t>
  </si>
  <si>
    <t>CLM_POA_IND_CODE_18</t>
  </si>
  <si>
    <t>CLM_HOSP_ADMIT_DIAGNOSIS_CODE</t>
  </si>
  <si>
    <t>CLM_HOSP_ADMIT_DIAG_CODE_TYPE_IND_CODE</t>
  </si>
  <si>
    <t>CLM_PAT_RSN_CODE_A</t>
  </si>
  <si>
    <t>CLM_PAT_RSN_TYPE_IND_CODE_A</t>
  </si>
  <si>
    <t>CLM_PAT_RSN_CODE_B</t>
  </si>
  <si>
    <t>CLM_PAT_RSN_TYPE_IND_CODE_B</t>
  </si>
  <si>
    <t>CLM_PAT_RSN_CODE_C</t>
  </si>
  <si>
    <t>CLM_PAT_RSN_TYPE_IND_CODE_C</t>
  </si>
  <si>
    <t>Output UB Box 70</t>
  </si>
  <si>
    <t>Patient Reason Type Ind</t>
  </si>
  <si>
    <t>CLM_DRG_NUMBER</t>
  </si>
  <si>
    <t>External Cause of Injury</t>
  </si>
  <si>
    <t>CLM_EXTNL_CAUSE_OF_ACCDNT_CD_A</t>
  </si>
  <si>
    <t>External Cause of Injury Indicator</t>
  </si>
  <si>
    <t>CLM_EXTNL_CAUSE_OF_ACC_TYPE_IND_CODE_A</t>
  </si>
  <si>
    <t>EM,AA, ,OA</t>
  </si>
  <si>
    <t>CLM_EXTNL_CAUSE_OF_ACCDNT_IND_CD_A</t>
  </si>
  <si>
    <t>External Cause of Injury POA</t>
  </si>
  <si>
    <t>Y,N,U,W,1, ,</t>
  </si>
  <si>
    <t>CLM_EXTNL_CAUSE_OF_ACCDNT_POA_CD_A</t>
  </si>
  <si>
    <t>CLM_EXTNL_CAUSE_OF_ACCDNT_CD_B</t>
  </si>
  <si>
    <t>CLM_EXTNL_CAUSE_OF_ACC_TYPE_IND_CODE_B</t>
  </si>
  <si>
    <t>CLM_EXTNL_CAUSE_OF_ACCDNT_IND_CD_B</t>
  </si>
  <si>
    <t>CLM_EXTNL_CAUSE_OF_ACCDNT_POA_CD_B</t>
  </si>
  <si>
    <t>CLM_EXTNL_CAUSE_OF_ACCDNT_CD_C</t>
  </si>
  <si>
    <t>CLM_EXTNL_CAUSE_OF_ACC_TYPE_IND_CODE_C</t>
  </si>
  <si>
    <t>CLM_EXTNL_CAUSE_OF_ACCDNT_IND_CD_C</t>
  </si>
  <si>
    <t>CLM_EXTNL_CAUSE_OF_ACCDNT_POA_CD_C</t>
  </si>
  <si>
    <t>CLM_HOSP_PROC_CODE</t>
  </si>
  <si>
    <t>Principal Procedure Code Ind</t>
  </si>
  <si>
    <t>CLM_PROC_CODE_TYPE_IND_CODE_1</t>
  </si>
  <si>
    <t>CLM_HOSP_PROC_CCYYMMDD_1</t>
  </si>
  <si>
    <t>CLM_HOSP_PROC_CODE_A</t>
  </si>
  <si>
    <t>CLM_PROC_CODE_TYPE_IND_CODE_2</t>
  </si>
  <si>
    <t>CLM_HOSP_PROC_CCYYMMDD_A</t>
  </si>
  <si>
    <t>CLM_HOSP_PROC_CODE_B</t>
  </si>
  <si>
    <t>CLM_PROC_CODE_TYPE_IND_CODE_3</t>
  </si>
  <si>
    <t>CLM_HOSP_PROC_CCYYMMDD_B</t>
  </si>
  <si>
    <t>CLM_HOSP_PROC_CODE_C</t>
  </si>
  <si>
    <t>CLM_PROC_CODE_TYPE_IND_CODE_4</t>
  </si>
  <si>
    <t>CLM_HOSP_PROC_CCYYMMDD_C</t>
  </si>
  <si>
    <t>CLM_HOSP_PROC_CODE_D</t>
  </si>
  <si>
    <t>CLM_PROC_CODE_TYPE_IND_CODE_5</t>
  </si>
  <si>
    <t>CLM_HOSP_PROC_CCYYMMDD_D</t>
  </si>
  <si>
    <t>CLM_HOSP_PROC_CODE_E</t>
  </si>
  <si>
    <t>CLM_PROC_CODE_TYPE_IND_CODE_6</t>
  </si>
  <si>
    <t>CLM_HOSP_PROC_CCYYMMDD_E</t>
  </si>
  <si>
    <t>CLM_HOSP_ADMIT_PROV_ID</t>
  </si>
  <si>
    <t xml:space="preserve"> ,X</t>
  </si>
  <si>
    <t xml:space="preserve"> ,XX</t>
  </si>
  <si>
    <t>CLM_HOSP_ADMIT_PROV_ID_QUAL</t>
  </si>
  <si>
    <t>CLM_HOSP_ATTEND_PROV_NAME_LAST</t>
  </si>
  <si>
    <t>CLM_HOSP_ATTEND_PROV_NAME_FIRST</t>
  </si>
  <si>
    <t>CLM_HOSP_OPER_PROV_ID</t>
  </si>
  <si>
    <t>Operating Physician ID Qual</t>
  </si>
  <si>
    <t>CLM_HOSP_OPER_PROV_ID_QUAL</t>
  </si>
  <si>
    <t>CLM_HOSP_OPER_PROV_NAME_LAST</t>
  </si>
  <si>
    <t>CLM_HOSP_OPER_PROV_NAME_FIRST</t>
  </si>
  <si>
    <t>CLM_HOSP_OTHR_PROV_ID_1</t>
  </si>
  <si>
    <t>CLM_HOSP_OTHR_PROV_ID_QUAL_1</t>
  </si>
  <si>
    <t>CLM_HOSP_OTHR_PROV_NAME_LAST_1</t>
  </si>
  <si>
    <t>CLM_HOSP_OTHR_PROV_NAME_FIRST_1</t>
  </si>
  <si>
    <t>CLM_HOSP_OTHR_PROV_ID_2</t>
  </si>
  <si>
    <t>CLM_HOSP_OTHR_PROV_ID_QUAL_2</t>
  </si>
  <si>
    <t>CLM_HOSP_OTHR_PROV_NAME_LAST_2</t>
  </si>
  <si>
    <t>CLM_HOSP_OTHR_PROV_NAME_FIRST_2</t>
  </si>
  <si>
    <t>CLM_FREE_FORM_REMARKS</t>
  </si>
  <si>
    <t>Condition Code a</t>
  </si>
  <si>
    <t>CLM_HOSP_CONDITION_CD_A</t>
  </si>
  <si>
    <t>Occurrence Code a</t>
  </si>
  <si>
    <t>CLM_HOSP_OCCUR_CODES_A</t>
  </si>
  <si>
    <t>Occurrence Date a</t>
  </si>
  <si>
    <t>CLM_HOSP_OCCUR_DTE_CCYYMMDD_A</t>
  </si>
  <si>
    <t>Value Code a</t>
  </si>
  <si>
    <t>CLM_HOSP_VALUE_CODES_A</t>
  </si>
  <si>
    <t>Value Amount a</t>
  </si>
  <si>
    <t>CLM_HOSP_VALUE_AMOUNT_A</t>
  </si>
  <si>
    <t>Taxonomy Code a</t>
  </si>
  <si>
    <t>CLM_BILL_PROV_TAXONOMY_CODE_A</t>
  </si>
  <si>
    <t>Condition Code b</t>
  </si>
  <si>
    <t>CLM_HOSP_CONDITION_CD_B</t>
  </si>
  <si>
    <t>Occurrence Code b</t>
  </si>
  <si>
    <t>CLM_HOSP_OCCUR_CODES_B</t>
  </si>
  <si>
    <t>Occurrence Date b</t>
  </si>
  <si>
    <t>CLM_HOSP_OCCUR_DTE_CCYYMMDD_B</t>
  </si>
  <si>
    <t>Value Code b</t>
  </si>
  <si>
    <t>CLM_HOSP_VALUE_CODES_B</t>
  </si>
  <si>
    <t>Value Amount b</t>
  </si>
  <si>
    <t>CLM_HOSP_VALUE_AMOUNT_B</t>
  </si>
  <si>
    <t>Taxonomy Code b</t>
  </si>
  <si>
    <t>CLM_BILL_PROV_TAXONOMY_CODE_B</t>
  </si>
  <si>
    <t>Condition Code c</t>
  </si>
  <si>
    <t>CLM_HOSP_CONDITION_CD_C</t>
  </si>
  <si>
    <t>Occurrence Code c</t>
  </si>
  <si>
    <t>CLM_HOSP_OCCUR_CODES_C</t>
  </si>
  <si>
    <t>Occurrence Date c</t>
  </si>
  <si>
    <t>CLM_HOSP_OCCUR_DTE_CCYYMMDD_C</t>
  </si>
  <si>
    <t>Value Code c</t>
  </si>
  <si>
    <t>CLM_HOSP_VALUE_CODES_C</t>
  </si>
  <si>
    <t>Value Amount c</t>
  </si>
  <si>
    <t>CLM_HOSP_VALUE_AMOUNT_C</t>
  </si>
  <si>
    <t>Taxonomy Code c</t>
  </si>
  <si>
    <t>CLM_BILL_PROV_TAXONOMY_CODE_C</t>
  </si>
  <si>
    <t>Condition Code d</t>
  </si>
  <si>
    <t>CLM_HOSP_CONDITION_CD_D</t>
  </si>
  <si>
    <t>Occurrence Code d</t>
  </si>
  <si>
    <t>CLM_HOSP_OCCUR_CODES_D</t>
  </si>
  <si>
    <t>Occurrence Date d</t>
  </si>
  <si>
    <t>CLM_HOSP_OCCUR_DTE_CCYYMMDD_D</t>
  </si>
  <si>
    <t>Value Code d</t>
  </si>
  <si>
    <t>CLM_HOSP_VALUE_CODES_D</t>
  </si>
  <si>
    <t>Value Amount d</t>
  </si>
  <si>
    <t>CLM_HOSP_VALUE_AMOUNT_D</t>
  </si>
  <si>
    <t>Taxonomy Code d</t>
  </si>
  <si>
    <t>CLM_BILL_PROV_TAXONOMY_CODE_D</t>
  </si>
  <si>
    <t>Output UB Box 81</t>
  </si>
  <si>
    <t>Taxonomy Code</t>
  </si>
  <si>
    <t>CLM_BILL_PROV_TAXONOMY_CODE</t>
  </si>
  <si>
    <t>Output UB Attachment Indicator</t>
  </si>
  <si>
    <t>Attachment Indicator UDF</t>
  </si>
  <si>
    <t>CLM_ATTACHMENT_IND</t>
  </si>
  <si>
    <t>Output UB Reject Code</t>
  </si>
  <si>
    <t>Reject Code field</t>
  </si>
  <si>
    <t>CLM_INCOMING_CLAIM_STATUS</t>
  </si>
  <si>
    <t>Output Format</t>
  </si>
  <si>
    <t>101</t>
  </si>
  <si>
    <t>UB_BillingPayProvider</t>
  </si>
  <si>
    <t>Billing Provider and Pay to Provider fields setting</t>
  </si>
  <si>
    <t>CLM_SERV_PROV_ADDR_ZIP</t>
  </si>
  <si>
    <t>1005</t>
  </si>
  <si>
    <t>Condition=#LENGTH[@BillingProvider_Addr_Zip] &gt;= 5 &amp;&amp; #LENGTH[@BillingProvider_Addr_ZipPlus] == 4;SourceValue=#CONCAT[#LEFT[@BillingProvider_Addr_Zip,5],@BillingProvider_Addr_ZipPlus]</t>
  </si>
  <si>
    <t>Plug Billing - Zip fully from ResponsibleParty_Addr_Zip</t>
  </si>
  <si>
    <t>1004</t>
  </si>
  <si>
    <t>Condition=#LENGTH[@BillingProvider_Addr_Zip] &gt;= 5 &amp;&amp; #LENGTH[@BillingProvider_Addr_ZipPlus] &lt; 4;SourceValue=#LEFT[@BillingProvider_Addr_Zip,5]</t>
  </si>
  <si>
    <t>Plug Billing - Zip and ZipPlus, get only first 5 chars fromn the zip</t>
  </si>
  <si>
    <t>1000</t>
  </si>
  <si>
    <t>Plug Billing Provider Name</t>
  </si>
  <si>
    <t>CLM_SERV_PROV_ADDR_STREET</t>
  </si>
  <si>
    <t>1001</t>
  </si>
  <si>
    <t>ReplaceTableWords</t>
  </si>
  <si>
    <t>LookupTable=tblStreetAbbrev;LookupColumn=CommonName;RetrieveColumn=PostName</t>
  </si>
  <si>
    <t>Plug Billing Provider Street</t>
  </si>
  <si>
    <t>CLM_SERV_PROV_ADDR_CITY</t>
  </si>
  <si>
    <t>1002</t>
  </si>
  <si>
    <t>Plug Billing Provider Coty</t>
  </si>
  <si>
    <t>CLM_SERV_PROV_ADDR_STATE</t>
  </si>
  <si>
    <t>1003</t>
  </si>
  <si>
    <t>Plug Billing Provider State</t>
  </si>
  <si>
    <t>1013</t>
  </si>
  <si>
    <t>Condition=#LENGTH[@BillingProvider_Phone] ==10</t>
  </si>
  <si>
    <t>Plug Billing Provider Phone</t>
  </si>
  <si>
    <t>1014</t>
  </si>
  <si>
    <t>Plug Pay to Provider - Name</t>
  </si>
  <si>
    <t>1015</t>
  </si>
  <si>
    <t>Plug Pay to Provider - Street</t>
  </si>
  <si>
    <t>1016</t>
  </si>
  <si>
    <t>Plug Pay to Provider - City</t>
  </si>
  <si>
    <t>1017</t>
  </si>
  <si>
    <t>Plug Pay to Provider - State</t>
  </si>
  <si>
    <t>1020</t>
  </si>
  <si>
    <t>Condition=#LENGTH[@PayToProvider_Addr_Zip] &gt;= 5 &amp;&amp; #LENGTH[@PayToProvider_Addr_ZipPlus] == 4;SourceValue=#CONCAT[#LEFT[@PayToProvider_Addr_Zip,5],@PayToProvider_Addr_ZipPlus]</t>
  </si>
  <si>
    <t>Plug Pay to Provider - full Zip</t>
  </si>
  <si>
    <t>1021</t>
  </si>
  <si>
    <t>Condition=#LENGTH[@PayToProvider_Addr_Zip] &gt;= 5 &amp;&amp; #LENGTH[@PayToProvider_Addr_ZipPlus] &lt; 4;SourceValue=#CONCAT[#LEFT[@PayToProvider_Addr_Zip,5],00000]</t>
  </si>
  <si>
    <t>Plug Pay to Provider - 5 Zip only</t>
  </si>
  <si>
    <t>1022</t>
  </si>
  <si>
    <t>Condition=@OCRPatCtl!=#EMPTY</t>
  </si>
  <si>
    <t>Plug Patient Control Number</t>
  </si>
  <si>
    <t>1023</t>
  </si>
  <si>
    <t>Condition=@OCRMedRecNo!=#EMPTY</t>
  </si>
  <si>
    <t>Plug Medical Record Number</t>
  </si>
  <si>
    <t>Type of Bill - Fac Code</t>
  </si>
  <si>
    <t>1010</t>
  </si>
  <si>
    <t>Condition=#LENGTH[@OCRBillType]&gt;3; SourceValue= #LEFT[#RIGHT[@OCRBillType,3],1]</t>
  </si>
  <si>
    <t>Plug Bill Type first digit into CLM_HOSP_BILL_CLASSIFICATION</t>
  </si>
  <si>
    <t>Type of Bill - Class</t>
  </si>
  <si>
    <t>1011</t>
  </si>
  <si>
    <t>SourceValue= #LEFT[#RIGHT[@OCRBillType,2],1]</t>
  </si>
  <si>
    <t>Plug Bill Type second digit into CLM_HOSP_BILL_CLASSIFICATION</t>
  </si>
  <si>
    <t>Type of Bill - Freq Code</t>
  </si>
  <si>
    <t>1012</t>
  </si>
  <si>
    <t>SourceValue=#RIGHT[@OCRBillType,1]</t>
  </si>
  <si>
    <t>Plug Bill Type third digit into CLM_HOSP_FREQUENCY_CODE</t>
  </si>
  <si>
    <t>Condition=#LENGTH[@OCRBillType]&lt;4; SourceValue= #LEFT[@OCRBillType,1]</t>
  </si>
  <si>
    <t>Bill type</t>
  </si>
  <si>
    <t>1024</t>
  </si>
  <si>
    <t>Plug Federal Tax Number</t>
  </si>
  <si>
    <t>DateFormat:YYYYMMDD</t>
  </si>
  <si>
    <t>Condition=@OCRStmtDateFrom!=#EMPTY</t>
  </si>
  <si>
    <t>1025</t>
  </si>
  <si>
    <t>UB_StatementPeriod</t>
  </si>
  <si>
    <t>Statement period From and Tog</t>
  </si>
  <si>
    <t>1026</t>
  </si>
  <si>
    <t>1027</t>
  </si>
  <si>
    <t>Plug Patient ID</t>
  </si>
  <si>
    <t>1028</t>
  </si>
  <si>
    <t>Patient last name</t>
  </si>
  <si>
    <t>1030</t>
  </si>
  <si>
    <t>Patient first name</t>
  </si>
  <si>
    <t>1032</t>
  </si>
  <si>
    <t>SourceValue=#LEFT[@Patient_Name_Middle,1]</t>
  </si>
  <si>
    <t>Patient Middle Initial</t>
  </si>
  <si>
    <t>1033</t>
  </si>
  <si>
    <t>Patient Street</t>
  </si>
  <si>
    <t>1034</t>
  </si>
  <si>
    <t>Patient City</t>
  </si>
  <si>
    <t>1035</t>
  </si>
  <si>
    <t>Patient State</t>
  </si>
  <si>
    <t>1036</t>
  </si>
  <si>
    <t>Condition=#LENGTH[@OCRPatAddress_Zip] &gt;= 5 &amp;&amp; #LENGTH[@Patient_Addr_ZipPlus] == 4;SourceValue=#CONCAT[#LEFT[@OCRPatAddress_Zip,5],@Patient_Addr_ZipPlus]</t>
  </si>
  <si>
    <t>Patient ZIP</t>
  </si>
  <si>
    <t>1037</t>
  </si>
  <si>
    <t>Condition=#LENGTH[@OCRPatAddress_Zip] &gt;= 5 &amp;&amp; #LENGTH[@Patient_Addr_ZipPlus] &lt; 4;SourceValue=#CONCAT[ #LEFT[@OCRPatAddress_Zip,5],0000]</t>
  </si>
  <si>
    <t>1038</t>
  </si>
  <si>
    <t>Condition=@OCRPatDOB!=#EMPTY</t>
  </si>
  <si>
    <t>1039</t>
  </si>
  <si>
    <t>Condition=OCRPatSex!=#EMPTY</t>
  </si>
  <si>
    <t>Patient Sex (M/F/U)</t>
  </si>
  <si>
    <t>1042</t>
  </si>
  <si>
    <t>PadLeft:0,2</t>
  </si>
  <si>
    <t>Admission Hour</t>
  </si>
  <si>
    <t>1043</t>
  </si>
  <si>
    <t>Condition=#CONTAINS[@OCRAdmitType,1|2|3|4|5|9]</t>
  </si>
  <si>
    <t>Admission Type</t>
  </si>
  <si>
    <t>1044</t>
  </si>
  <si>
    <t>Condition=#CONTAINS[@OCRAdmitSource,1|2|4|5|6|8|9|D|E|F]</t>
  </si>
  <si>
    <t>Admission Source</t>
  </si>
  <si>
    <t>1045</t>
  </si>
  <si>
    <t>Condition=@OCRDischargeHour&gt;=0 &amp;&amp; @OCRDischargeHour&lt;=23</t>
  </si>
  <si>
    <t>Discharge Hour</t>
  </si>
  <si>
    <t>1046</t>
  </si>
  <si>
    <t>Condition=@OCRDischargeStat!=#EMPTY || #CONTAINS[#LEFT[@OCRBillType,2],12|13|14|22|23|24|32|33|34|42|43|44|52|53|54|62|63|64|71|72|73|74|75|76|77|78|79|83|84|85|89]==false</t>
  </si>
  <si>
    <t>1047</t>
  </si>
  <si>
    <t>UB_ConditionCodes</t>
  </si>
  <si>
    <t>Condition codes</t>
  </si>
  <si>
    <t>1048</t>
  </si>
  <si>
    <t>Condition codes 2</t>
  </si>
  <si>
    <t>1050</t>
  </si>
  <si>
    <t>Condition codes 3</t>
  </si>
  <si>
    <t>1052</t>
  </si>
  <si>
    <t>Condition codes 4</t>
  </si>
  <si>
    <t>1054</t>
  </si>
  <si>
    <t>Condition codes 5</t>
  </si>
  <si>
    <t>1056</t>
  </si>
  <si>
    <t>Condition codes 6</t>
  </si>
  <si>
    <t>1058</t>
  </si>
  <si>
    <t>Condition codes 7</t>
  </si>
  <si>
    <t>1060</t>
  </si>
  <si>
    <t>Condition codes 8</t>
  </si>
  <si>
    <t>1062</t>
  </si>
  <si>
    <t>Condition codes 9</t>
  </si>
  <si>
    <t>1064</t>
  </si>
  <si>
    <t>Condition codes 10</t>
  </si>
  <si>
    <t>1066</t>
  </si>
  <si>
    <t>Condition codes 11</t>
  </si>
  <si>
    <t>1068</t>
  </si>
  <si>
    <t>Condition=#LENGTH[@OCRACDTstate]==2</t>
  </si>
  <si>
    <t>1070</t>
  </si>
  <si>
    <t>1074</t>
  </si>
  <si>
    <t>1078</t>
  </si>
  <si>
    <t>1082</t>
  </si>
  <si>
    <t>1086</t>
  </si>
  <si>
    <t>1090</t>
  </si>
  <si>
    <t>1094</t>
  </si>
  <si>
    <t>1098</t>
  </si>
  <si>
    <t>1102</t>
  </si>
  <si>
    <t>1104</t>
  </si>
  <si>
    <t>Condition=#DATE[@OCROccurDateToA]&gt;=#DATE[@OCROccurDateFromA]</t>
  </si>
  <si>
    <t>Occurrence Span From 1a - CC=00</t>
  </si>
  <si>
    <t>1108</t>
  </si>
  <si>
    <t>1112</t>
  </si>
  <si>
    <t>1114</t>
  </si>
  <si>
    <t>Condition=#DATE[@OCROccurDateToB]&gt;=#DATE[@OCROccurDateFromB]</t>
  </si>
  <si>
    <t>1118</t>
  </si>
  <si>
    <t>1122</t>
  </si>
  <si>
    <t>1124</t>
  </si>
  <si>
    <t>Condition=#DATE[@OCROccurDateTo2A]&gt;=#DATE[@OCROccurDateFrom2A]</t>
  </si>
  <si>
    <t>1128</t>
  </si>
  <si>
    <t>1132</t>
  </si>
  <si>
    <t>1134</t>
  </si>
  <si>
    <t>Condition=#DATE[@OCROccurDateTo2B]&gt;=#DATE[@OCROccurDateFrom2B]</t>
  </si>
  <si>
    <t>1138</t>
  </si>
  <si>
    <t>1142</t>
  </si>
  <si>
    <t>Respnsible party - Street Address</t>
  </si>
  <si>
    <t>1144</t>
  </si>
  <si>
    <t>Respnsible party - City</t>
  </si>
  <si>
    <t>1146</t>
  </si>
  <si>
    <t>Respnsible party - State</t>
  </si>
  <si>
    <t>1148</t>
  </si>
  <si>
    <t>Condition=#LENGTH[@ResponsibleParty_Addr_Zip] &gt;= 5 &amp;&amp; #LENGTH[@ResponsibleParty_Addr_ZipPlus] == 4;SourceValue=#CONCAT[#LEFT[@ResponsibleParty_Addr_Zip,5],@ResponsibleParty_Addr_ZipPlus]</t>
  </si>
  <si>
    <t>Respnsible party - Zip</t>
  </si>
  <si>
    <t>1150</t>
  </si>
  <si>
    <t>Condition=#LENGTH[@ResponsibleParty_Addr_Zip] &gt;= 5 &amp;&amp; #LENGTH[@ResponsibleParty_Addr_ZipPlus] &lt; 4;SourceValue=#CONCAT[#LEFT[@ResponsibleParty_Addr_Zip,5],0000]</t>
  </si>
  <si>
    <t>1155</t>
  </si>
  <si>
    <t>1160</t>
  </si>
  <si>
    <t>UB_ValueCodes</t>
  </si>
  <si>
    <t>1165</t>
  </si>
  <si>
    <t>1175</t>
  </si>
  <si>
    <t>1185</t>
  </si>
  <si>
    <t>1195</t>
  </si>
  <si>
    <t>1205</t>
  </si>
  <si>
    <t>1215</t>
  </si>
  <si>
    <t>1225</t>
  </si>
  <si>
    <t>1235</t>
  </si>
  <si>
    <t>1245</t>
  </si>
  <si>
    <t>1255</t>
  </si>
  <si>
    <t>1265</t>
  </si>
  <si>
    <t>DTL_HOSP_REVENUE_CODE_3_BYTE</t>
  </si>
  <si>
    <t>1375</t>
  </si>
  <si>
    <t>Condition=#LENGTH[@OCRRevCodes] == 4 &amp;&amp; #LEFT[@OCRRevCodes,1] == 0;SourceValue=#RIGHT[@OCRRevCodes,3]</t>
  </si>
  <si>
    <t>Revenue code - 3 byte</t>
  </si>
  <si>
    <t>1380</t>
  </si>
  <si>
    <t>Condition=#LENGTH[@OCRRevCodes] == 5 &amp;&amp; #LEFT[@OCRREvCodes,2] == 00;SourceValue=#RIGHT[@OCRRevCodes,3]</t>
  </si>
  <si>
    <t>DTL_HOSP_REVENUE_CODE_4_BYTE</t>
  </si>
  <si>
    <t>1385</t>
  </si>
  <si>
    <t>Condition=#LENGTH[@OCRRevCodes] == 4 &amp;&amp; #LEFT[@OCRRevCodes,1] != 0;SourceValue=@OCRRevCodes</t>
  </si>
  <si>
    <t>Revenue code - 4 byte</t>
  </si>
  <si>
    <t>1390</t>
  </si>
  <si>
    <t>Condition=#LENGTH[@OCRRevCodes] == 5 &amp;&amp; #LEFT[@OCRREvCodes,1] == 0 &amp;&amp; #LEFT[#RIGHT[@OCRRevCodes,4],1]&gt;0;SourceValue=#RIGHT[@OCRRevCodes,4]</t>
  </si>
  <si>
    <t>3000</t>
  </si>
  <si>
    <t>UB_RevenueCodes</t>
  </si>
  <si>
    <t>Revenue codes DL sorting</t>
  </si>
  <si>
    <t>1382</t>
  </si>
  <si>
    <t>Condition=#LENGTH[@OCRRevCodes] &lt;= 3; SourceValue=@OCRRevCodes</t>
  </si>
  <si>
    <t>1387</t>
  </si>
  <si>
    <t>Condition=#LENGTH[@OCRRevCodes] == 5 &amp;&amp; #LEFT[@OCRREvCodes,1] == 0 &amp;&amp; #LEFT[#RIGHT[@OCRRevCodes,4],1]==0;SourceValue=#RIGHT[@OCRRevCodes,3]</t>
  </si>
  <si>
    <t>Revenue code - 3 byte=999</t>
  </si>
  <si>
    <t>1402</t>
  </si>
  <si>
    <t>Condition=#LENGTH[@OCRRevCodes] == 4 &amp;&amp; #LEFT[@OCRREvCodes,1] &gt; 0;SourceValue=999</t>
  </si>
  <si>
    <t>Revenue code - 3 byte 999</t>
  </si>
  <si>
    <t>Condition=#LENGTH[@OCRRevCodes] == 5 &amp;&amp; #LEFT[@OCRREvCodes,1]==0 &amp;&amp; #LEFT[#RIGHT[@OCRRevCodes,4],1]&gt;0;SourceValue=999</t>
  </si>
  <si>
    <t>1395</t>
  </si>
  <si>
    <t>PadLeft:0,14</t>
  </si>
  <si>
    <t>Condition=@NDC_Code!=EMPTY</t>
  </si>
  <si>
    <t>NDC</t>
  </si>
  <si>
    <t>1405</t>
  </si>
  <si>
    <t>Condition=#LENGTH[@NDC_Units]&lt;=4 &amp;&amp; #IN[@NDC_Units,0|00|000]==false</t>
  </si>
  <si>
    <t>Unit qualifier</t>
  </si>
  <si>
    <t>1400</t>
  </si>
  <si>
    <t>Condition=@NDC_Units_Qual==#EMPTY &amp;&amp; @NDC_Code!=#EMPTY; SourceValue=UN</t>
  </si>
  <si>
    <t>Drug qualifier</t>
  </si>
  <si>
    <t>1396</t>
  </si>
  <si>
    <t>Condition=#CONTAINS[@NDC_Units_Qual,Gram|gram|GRAM|GRAMS|grams|GR|GM,true]; SourceValue=GR</t>
  </si>
  <si>
    <t>1397</t>
  </si>
  <si>
    <t>Condition=#CONTAINS[@NDC_Units_Qual,IU|vial|VIAL|micrograms|MICROGRAMS,true]; SourceValue=F2</t>
  </si>
  <si>
    <t>1398</t>
  </si>
  <si>
    <t>Condition=#CONTAINS[@NDC_Units_Qual,milligram|milligrams|MILLIGRAMS|ME|MG,true]; SourceValue=ME</t>
  </si>
  <si>
    <t>1399</t>
  </si>
  <si>
    <t>Condition=#CONTAINS[@NDC_Units_Qual,Unit|Units|UNIT|UNITS|pellet|pellets|PELLET|PELLETS|kit|KIT|patch|PATCH|tablet|tablets|TABLET|TABLETS|tab|tabs|TAB|TABS|caplet|caplets|CAPLET|CAPLETS|device|DEVICE|QTY|UN,true]; SourceValue=UN</t>
  </si>
  <si>
    <t>Condition=#CONTAINS[@NDC_Units_Qual,ml|ML|Milliliter|Milliliters|MILLILITER|MILLILITERS,true]; SourceValue=ML</t>
  </si>
  <si>
    <t>NDC unit copy</t>
  </si>
  <si>
    <t>NDC copy</t>
  </si>
  <si>
    <t>1410</t>
  </si>
  <si>
    <t>Condition=@OCRRevCodes&lt;100 || @OCRRevCodes&gt;219; SourceValue=#LEFT[@ProcCode,5]</t>
  </si>
  <si>
    <t>Procedure code</t>
  </si>
  <si>
    <t>1415</t>
  </si>
  <si>
    <t>Modifier - 1</t>
  </si>
  <si>
    <t>1420</t>
  </si>
  <si>
    <t>Modifier - 2</t>
  </si>
  <si>
    <t>1425</t>
  </si>
  <si>
    <t>Modifier - 3</t>
  </si>
  <si>
    <t>Modifier - 4</t>
  </si>
  <si>
    <t>1430</t>
  </si>
  <si>
    <t>Service date</t>
  </si>
  <si>
    <t>1435</t>
  </si>
  <si>
    <t>PadLeft:0,17</t>
  </si>
  <si>
    <t>Condition=@OCRServiceUnits!=#EMPTY &amp;&amp; @OCRServiceUnits!=0 &amp;&amp;@OCRServiceUnits!=00000000</t>
  </si>
  <si>
    <t>Service units</t>
  </si>
  <si>
    <t>1440</t>
  </si>
  <si>
    <t>Condition=#LENGTH[@OCRServiceUnits]&gt;8;SourceValue=99999999</t>
  </si>
  <si>
    <t>1445</t>
  </si>
  <si>
    <t>Total charges</t>
  </si>
  <si>
    <t>1450</t>
  </si>
  <si>
    <t>Non-covered charges</t>
  </si>
  <si>
    <t>2175</t>
  </si>
  <si>
    <t>Condition=@PlanName_AetnaMedicaid!=#EMPTY</t>
  </si>
  <si>
    <t>Plan name - Aetna Medicaid</t>
  </si>
  <si>
    <t>2180</t>
  </si>
  <si>
    <t>Condition=@PlanName_COB!=#EMPTY</t>
  </si>
  <si>
    <t>Plan name - COB</t>
  </si>
  <si>
    <t>Health Plan ID</t>
  </si>
  <si>
    <t>rule #86 UB_ConditionCodes</t>
  </si>
  <si>
    <t> </t>
  </si>
  <si>
    <t>??</t>
  </si>
  <si>
    <t>UB_FieldsPerRowIndex</t>
  </si>
  <si>
    <t>SourceFields=OCRRelInfoIndsA,OCRRelInfoIndsB,OCRRelInfoIndsC;PlanFields=OCRPayersA,OCRPayersB,OCRPayersC;AetnaPlanField=PlanName_AetnaMedicaid;AetnaIDField=CLM_SUBS_ID;IDFields=OCRInsIDsA,OCRInsIDsB,OCRInsIDsC</t>
  </si>
  <si>
    <t>Release Info - Aetna Medicaid only</t>
  </si>
  <si>
    <t>Replace all 3 with one rule UB_FieldsPerAetnaID</t>
  </si>
  <si>
    <t>Condition=@InsID_AetnaMedicaid!=#EMPTY &amp;&amp; @InsID_AetnaMedicaid==@OCRInsIDsA &amp;&amp; @OCRBenAssignIndsA!=#EMPTY;SourceValue=A</t>
  </si>
  <si>
    <t>Assignment of Benefits - Aetna Medicaid only</t>
  </si>
  <si>
    <t>Condition=@InsID_AetnaMedicaid!=#EMPTY &amp;&amp; @InsID_AetnaMedicaid==@OCRInsIDsB &amp;&amp; @OCRBenAssignIndsB!=#EMPTY;SourceValue=A</t>
  </si>
  <si>
    <t>Condition=@InsID_AetnaMedicaid!=#EMPTY &amp;&amp; @InsID_AetnaMedicaid==@OCRInsIDsC &amp;&amp; @OCRBenAssignIndsC!=#EMPTY;SourceValue=A</t>
  </si>
  <si>
    <t>Condition=@PlanName_COB!=#EMPTY &amp;&amp; @PlanName_COB==@OCRPayersA &amp;&amp; @OCRPriorPaymentsA!=#EMPTY;SourceValue=@OCRPriorPaymentsA</t>
  </si>
  <si>
    <t>Prior Payments - COB only</t>
  </si>
  <si>
    <t>Condition=@PlanName_COB!=#EMPTY &amp;&amp; @PlanName_COB==@OCRPayersA &amp;&amp; @OCREstAmtsDueA!=#EMPTY;SourceValue=@OCREstAmtsDueA</t>
  </si>
  <si>
    <t>Condition=@PlanName_COB!=#EMPTY &amp;&amp; @PlanName_COB==@OCRPayersB &amp;&amp; @OCREstAmtsDueB!=#EMPTY;SourceValue=@OCREstAmtsDueB</t>
  </si>
  <si>
    <t>Condition=@PlanName_COB!=#EMPTY &amp;&amp; @PlanName_COB==@OCRPayersC &amp;&amp; @OCREstAmtsDueC!=#EMPTY;SourceValue=@OCREstAmtsDueC</t>
  </si>
  <si>
    <t>PadRight: ,17</t>
  </si>
  <si>
    <t>SourceFields=Insured_Name_Last_A,Insured_Name_Last_B,Insured_Name_Last_C;PlanFields=OCRPayersA,OCRPayersB,OCRPayersC;AetnaPlanField=PlanName_AetnaMedicaid;AetnaIDField=CLM_SUBS_ID;IDFields=OCRInsIDsA,OCRInsIDsB,OCRInsIDsC</t>
  </si>
  <si>
    <t>Insured Last Name - Aetna Medicaid only</t>
  </si>
  <si>
    <t>SourceFields=Insured_Name_First_A,Insured_Name_First_B,Insured_Name_First_C;PlanFields=OCRPayersA,OCRPayersB,OCRPayersC;AetnaPlanField=PlanName_AetnaMedicaid;AetnaIDField=CLM_SUBS_ID;IDFields=OCRInsIDsA,OCRInsIDsB,OCRInsIDsC</t>
  </si>
  <si>
    <t>Insured First Name - Aetna Medicaid only</t>
  </si>
  <si>
    <t>SourceFields=OCRPatRelsA,OCRPatRelsB,OCRPatRelsC;PlanFields=OCRPayersA,OCRPayersB,OCRPayersC;AetnaPlanField=PlanName_AetnaMedicaid;AetnaIDField=CLM_SUBS_ID;IDFields=OCRInsIDsA,OCRInsIDsB,OCRInsIDsC</t>
  </si>
  <si>
    <t>Patient Relationship - Aetna Medicaid only</t>
  </si>
  <si>
    <t>SourceFields=OCRGroupsA,OCRGroupsB,OCRGroupsC;PlanFields=OCRPayersA,OCRPayersB,OCRPayersC;AetnaPlanField=PlanName_AetnaMedicaid;AetnaIDField=CLM_SUBS_ID;IDFields=OCRInsIDsA,OCRInsIDsB,OCRInsIDsC</t>
  </si>
  <si>
    <t>Selects Group Name from the 3 possible in box 61 based on Aetna Medicaid Row (box 50 or 60)</t>
  </si>
  <si>
    <t>SourceFields=OCREmpNamesA,OCREmpNamesB,OCREmpNamesC;PlanFields=OCRPayersA,OCRPayersB,OCRPayersC;AetnaPlanField=PlanName_COB;AetnaIDField=CLM_SUBS_ID;IDFields=OCRInsIDsA,OCRInsIDsB,OCRInsIDsC</t>
  </si>
  <si>
    <t>Group Name - COB only</t>
  </si>
  <si>
    <t>Replace all 6 with one rule UB_FieldsPerAetnaID</t>
  </si>
  <si>
    <t>GetGroupNumber</t>
  </si>
  <si>
    <t>IsMedical=false;IsDental=false;IsHospital=true</t>
  </si>
  <si>
    <t>Plug Subscriber Plan/Group Number</t>
  </si>
  <si>
    <t>SourceFields=OCRTreatAuthCdsA,OCRTreatAuthCdsB,OCRTreatAuthCdsC;PlanFields=OCRPayersA,OCRPayersB,OCRPayersC;AetnaPlanField=PlanName_COB;AetnaIDField=CLM_SUBS_ID;IDFields=OCRInsIDsA,OCRInsIDsB,OCRInsIDsC</t>
  </si>
  <si>
    <t>Treatment Authorization Codes - Aetna Medicaid only</t>
  </si>
  <si>
    <t>SourceFields=OCRDocCtlNumA,OCRDocCtlNumB,OCRDocCtlNumC;PlanFields=OCRPayersA,OCRPayersB,OCRPayersC;AetnaPlanField=PlanName_COB;AetnaIDField=CLM_SUBS_ID;IDFields=OCRInsIDsA,OCRInsIDsB,OCRInsIDsC</t>
  </si>
  <si>
    <t>Claim Payer Control Number - Aetna Medicaid only</t>
  </si>
  <si>
    <t>1605</t>
  </si>
  <si>
    <t>Condition=#CONTAINS[@OCRDXsignifier,0|10|9|#EMPTY]==true &amp;&amp; (@OCRPrinDiagCode!=#EMPTY || @OCROthDiagCode1!=#EMPTY  || @OCROthDiagCode2!=#EMPTY  || @OCROthDiagCode3!=#EMPTY  || @OCROthDiagCode4!=#EMPTY  || @OCROthDiagCode5!=#EMPTY); SourceValue=0</t>
  </si>
  <si>
    <t>1610</t>
  </si>
  <si>
    <t>Reorders DX code and POA fields (box 67, 67A-Q) by eliminating duplicates and blanks</t>
  </si>
  <si>
    <t xml:space="preserve">US </t>
  </si>
  <si>
    <t>1620</t>
  </si>
  <si>
    <t>Condition=@OCRPrinDiagPOA!=#EMPTY &amp;&amp; @OCRPrinDiagPOA!=1; SourceValue=@OCRPrinDiagPOA</t>
  </si>
  <si>
    <t>2490</t>
  </si>
  <si>
    <t>Condition=@OCRPrinDiagCode!=#EMPTY; SourceValue=0</t>
  </si>
  <si>
    <t>Diag code type Ind - 0,N</t>
  </si>
  <si>
    <t>4000</t>
  </si>
  <si>
    <t>ReorderFields</t>
  </si>
  <si>
    <t>DetailRecType=PageFields;PrimaryFields=DiagCode,DiagCodeA,DiagCodeB,DiagCodeC,DiagCodeD,DiagCodeE,DiagCodeF,DiagCodeG,DiagCodeH,DiagCodeI,DiagCodeJ,DiagCodeK,DiagCodeL,DiagCodeM,DiagCodeN,DiagCodeO,DiagCodeP,DiagCodeQ;OtherFields=DiagPOA,DiagPOAA,DiagPOAB,DiagPOAC,DiagPOAD,DiagPOAE,DiagPOAF,DiagPOAG,DiagPOAH,DiagPOAI,DiagPOAJ,DiagPOAK,DiagPOAL,DiagPOAM,DiagPOAN,DiagPOAO,DiagPOAP,DiagPOAQ;OutputPrimaryFields=CLM_DIAGNOSIS_CODE_1,CLM_DIAGNOSIS_CODE_2,CLM_DIAGNOSIS_CODE_3,CLM_DIAGNOSIS_CODE_4,CLM_DIAGNOSIS_CODE_5,CLM_DIAGNOSIS_CODE_6,CLM_DIAGNOSIS_CODE_7,CLM_DIAGNOSIS_CODE_8,CLM_DIAGNOSIS_CODE_9,CLM_DIAGNOSIS_CODE_10,CLM_DIAGNOSIS_CODE_11,CLM_DIAGNOSIS_CODE_12,CLM_DIAGNOSIS_CODE_13,CLM_DIAGNOSIS_CODE_14,CLM_DIAGNOSIS_CODE_15,CLM_DIAGNOSIS_CODE_16,CLM_DIAGNOSIS_CODE_17,CLM_DIAGNOSIS_CODE_18;OutputOtherFields=CLM_POA_IND_CODE_1,CLM_POA_IND_CODE_2,CLM_POA_IND_CODE_3,CLM_POA_IND_CODE_4,CLM_POA_IND_CODE_5,CLM_POA_IND_CODE_6,CLM_POA_IND_CODE_7,CLM_POA_IND_CODE_8,CLM_POA_IND_CODE_9,CLM_POA_IND_CODE_10,CLM_POA_IND_CODE_11,CLM_POA_IND_CODE_12,CLM_POA_IND_CODE_13,CLM_POA_IND_CODE_14,CLM_POA_IND_CODE_15,CLM_POA_IND_CODE_16,CLM_POA_IND_CODE_17,CLM_POA_IND_CODE_18</t>
  </si>
  <si>
    <t>Reorders DX code fields by eliminating duplicates and blanks</t>
  </si>
  <si>
    <t>67 0</t>
  </si>
  <si>
    <t>2565</t>
  </si>
  <si>
    <t>Condition=@OCROtherDiagCode15!=#EMPTY; SourceValue=0</t>
  </si>
  <si>
    <t>1835</t>
  </si>
  <si>
    <t>1845</t>
  </si>
  <si>
    <t>Condition=@OCROtherDiagPOA15!=#EMPTY &amp;&amp; @OCROtherDiagPOA15!=1; SourceValue=@OCROtherDiagPOA15</t>
  </si>
  <si>
    <t>Other Diag Codes POA O</t>
  </si>
  <si>
    <t>1625</t>
  </si>
  <si>
    <t>1635</t>
  </si>
  <si>
    <t>Condition=@OCROthDiagPOA1!=#EMPTY &amp;&amp; @OCROthDiagPOA1!=1; SourceValue=@OCROthDiagPOA1</t>
  </si>
  <si>
    <t>Other Diag Codes POA A</t>
  </si>
  <si>
    <t>2495</t>
  </si>
  <si>
    <t>Condition=@OCROthDiagCode1!=#EMPTY; SourceValue=0</t>
  </si>
  <si>
    <t>2500</t>
  </si>
  <si>
    <t>DetailRecType=PageFields;PrimaryFields=DiagCode,DiagCodeA,DiagCodeB,DiagCodeC,DiagCodeD,DiagCodeE,DiagCodeF,DiagCodeG,DiagCodeH,DiagCodeI,DiagCodeJ,DiagCodeK,DiagCodeL,DiagCodeM,DiagCodeN,DiagCodeO,DiagCodeP,DiagCodeQ;SecondaryFields=DiagPOA,DiagPOAA,DiagPOAB,DiagPOAC,DiagPOAD,DiagPOAE,DiagPOAF,DiagPOAG,DiagPOAH,DiagPOAI,DiagPOAJ,DiagPOAK,DiagPOAL,DiagPOAM,DiagPOAN,DiagPOAO,DiagPOAP,DiagPOAQ;OutputPrimaryFields=CLM_DIAGNOSIS_CODE_1,CLM_DIAGNOSIS_CODE_2,CLM_DIAGNOSIS_CODE_3,CLM_DIAGNOSIS_CODE_4,CLM_DIAGNOSIS_CODE_5,CLM_DIAGNOSIS_CODE_6,CLM_DIAGNOSIS_CODE_7,CLM_DIAGNOSIS_CODE_8,CLM_DIAGNOSIS_CODE_9,CLM_DIAGNOSIS_CODE_10,CLM_DIAGNOSIS_CODE_11,CLM_DIAGNOSIS_CODE_12,CLM_DIAGNOSIS_CODE_13,CLM_DIAGNOSIS_CODE_14,CLM_DIAGNOSIS_CODE_15,CLM_DIAGNOSIS_CODE_16,CLM_DIAGNOSIS_CODE_17,CLM_DIAGNOSIS_CODE_18;OutputSecondaryFields=CLM_POA_IND_CODE_1,CLM_POA_IND_CODE_2,CLM_POA_IND_CODE_3,CLM_POA_IND_CODE_4,CLM_POA_IND_CODE_5,CLM_POA_IND_CODE_6,CLM_POA_IND_CODE_7,CLM_POA_IND_CODE_8,CLM_POA_IND_CODE_9,CLM_POA_IND_CODE_10,CLM_POA_IND_CODE_11,CLM_POA_IND_CODE_12,CLM_POA_IND_CODE_13,CLM_POA_IND_CODE_14,CLM_POA_IND_CODE_15,CLM_POA_IND_CODE_16,CLM_POA_IND_CODE_17,CLM_POA_IND_CODE_18;</t>
  </si>
  <si>
    <t>1640</t>
  </si>
  <si>
    <t>1650</t>
  </si>
  <si>
    <t>Condition=@OCROthDiagPOA2!=#EMPTY &amp;&amp; @OCROthDiagPOA2!=1; SourceValue=@OCROthDiagPOA2</t>
  </si>
  <si>
    <t>Other Diag Codes POA C</t>
  </si>
  <si>
    <t>1655</t>
  </si>
  <si>
    <t>1665</t>
  </si>
  <si>
    <t>Condition=@OCROthDiagPOA3!=#EMPTY &amp;&amp; @OCROthDiagPOA3!=1; SourceValue=@OCROthDiagPOA3</t>
  </si>
  <si>
    <t>2505</t>
  </si>
  <si>
    <t>Condition=@OCROthDiagCode3!=#EMPTY; SourceValue=0</t>
  </si>
  <si>
    <t>2510</t>
  </si>
  <si>
    <t>Condition=@OCROthDiagCode4!=#EMPTY; SourceValue=0</t>
  </si>
  <si>
    <t>1670</t>
  </si>
  <si>
    <t>1680</t>
  </si>
  <si>
    <t>Condition=@OCROthDiagPOA4!=#EMPTY &amp;&amp; @OCROthDiagPOA4!=1; SourceValue=@OCROthDiagPOA4</t>
  </si>
  <si>
    <t>Other Diag Codes POA D</t>
  </si>
  <si>
    <t>1685</t>
  </si>
  <si>
    <t>1695</t>
  </si>
  <si>
    <t>Condition=@OCROthDiagPOA5!=#EMPTY &amp;&amp; @OCROthDiagPOA5!=1; SourceValue=@OCROthDiagPOA5</t>
  </si>
  <si>
    <t>Other Diag Codes POA E</t>
  </si>
  <si>
    <t>2515</t>
  </si>
  <si>
    <t>Condition=@OCROthDiagCode5!=#EMPTY; SourceValue=0</t>
  </si>
  <si>
    <t>2520</t>
  </si>
  <si>
    <t>Condition=@OCROthDiagCode6!=#EMPTY; SourceValue=0</t>
  </si>
  <si>
    <t>1700</t>
  </si>
  <si>
    <t>1710</t>
  </si>
  <si>
    <t>Condition=@OCROthDiagPOA6!=#EMPTY &amp;&amp; @OCROthDiagPOA6!=1; SourceValue=@OCROthDiagPOA6</t>
  </si>
  <si>
    <t>Other Diag Codes POA F</t>
  </si>
  <si>
    <t>1715</t>
  </si>
  <si>
    <t>1725</t>
  </si>
  <si>
    <t>Condition=@OCROthDiagPOA7!=#EMPTY &amp;&amp; @OCROthDiagPOA7!=1; SourceValue=@OCROthDiagPOA7</t>
  </si>
  <si>
    <t>Other Diag Codes POA G</t>
  </si>
  <si>
    <t>2525</t>
  </si>
  <si>
    <t>Condition=@OCROthDiagCode7!=#EMPTY; SourceValue=0</t>
  </si>
  <si>
    <t>2530</t>
  </si>
  <si>
    <t>Condition=@OCROthDiagCode8!=#EMPTY; SourceValue=0</t>
  </si>
  <si>
    <t>1730</t>
  </si>
  <si>
    <t>1740</t>
  </si>
  <si>
    <t>Condition=@OCROthDiagPOA8!=#EMPTY &amp;&amp; @OCROthDiagPOA8!=1; SourceValue=@OCROthDiagPOA8</t>
  </si>
  <si>
    <t>Other Diag Codes POA H</t>
  </si>
  <si>
    <t>1745</t>
  </si>
  <si>
    <t>1755</t>
  </si>
  <si>
    <t>Condition=@OCROtherDiagPOA9!=#EMPTY &amp;&amp; @OCROtherDiagPOA9!=1; SourceValue=@OCROtherDiagPOA9</t>
  </si>
  <si>
    <t>Other Diag Codes POA I</t>
  </si>
  <si>
    <t>2535</t>
  </si>
  <si>
    <t>Condition=@OCROtherDiagCode9!=#EMPTY; SourceValue=0</t>
  </si>
  <si>
    <t>2540</t>
  </si>
  <si>
    <t>Condition=@OCROtherDiagCode10!=#EMPTY; SourceValue=0</t>
  </si>
  <si>
    <t>1760</t>
  </si>
  <si>
    <t>1770</t>
  </si>
  <si>
    <t>Condition=@OCROtherDiagPOA10!=#EMPTY &amp;&amp; @OCROtherDiagPOA10!=1; SourceValue=@OCROtherDiagPOA10</t>
  </si>
  <si>
    <t>Other Diag Codes POA J</t>
  </si>
  <si>
    <t>1775</t>
  </si>
  <si>
    <t>1785</t>
  </si>
  <si>
    <t>Condition=@OCROtherDiagPOA11!=#EMPTY &amp;&amp; @OCROtherDiagPOA11!=1; SourceValue=@OCROtherDiagPOA11</t>
  </si>
  <si>
    <t>Other Diag Codes POA K</t>
  </si>
  <si>
    <t>2545</t>
  </si>
  <si>
    <t>Condition=@OCROtherDiagCode11!=#EMPTY; SourceValue=0</t>
  </si>
  <si>
    <t>2550</t>
  </si>
  <si>
    <t>Condition=@OCROtherDiagCode12!=#EMPTY; SourceValue=0</t>
  </si>
  <si>
    <t>1790</t>
  </si>
  <si>
    <t>1800</t>
  </si>
  <si>
    <t>Condition=@OCROtherDiagPOA12!=#EMPTY &amp;&amp; @OCROtherDiagPOA12!=1; SourceValue=@OCROtherDiagPOA12</t>
  </si>
  <si>
    <t>Other Diag Codes POA L</t>
  </si>
  <si>
    <t>1805</t>
  </si>
  <si>
    <t>1815</t>
  </si>
  <si>
    <t>Condition=@OCROtherDiagPOA13!=#EMPTY &amp;&amp; @OCROtherDiagPOA13!=1; SourceValue=@OCROtherDiagPOA13</t>
  </si>
  <si>
    <t>Other Diag Codes POA M</t>
  </si>
  <si>
    <t>2555</t>
  </si>
  <si>
    <t>Condition=@OCROtherDiagCode13!=#EMPTY; SourceValue=0</t>
  </si>
  <si>
    <t>2560</t>
  </si>
  <si>
    <t>Condition=@OCROtherDiagCode14!=#EMPTY; SourceValue=0</t>
  </si>
  <si>
    <t>1820</t>
  </si>
  <si>
    <t>1830</t>
  </si>
  <si>
    <t>Condition=@OCROtherDiagPOA14!=#EMPTY &amp;&amp; @OCROtherDiagPOA14!=1; SourceValue=@OCROtherDiagPOA14</t>
  </si>
  <si>
    <t>Other Diag Codes POA N</t>
  </si>
  <si>
    <t>1850</t>
  </si>
  <si>
    <t>1860</t>
  </si>
  <si>
    <t>Condition=@OCROtherDiagPOA16!=#EMPTY &amp;&amp; @OCROtherDiagPOA16!=1; SourceValue=@OCROtherDiagPOA16</t>
  </si>
  <si>
    <t>Other Diag Codes POA P</t>
  </si>
  <si>
    <t>2570</t>
  </si>
  <si>
    <t>Condition=@OCROtherDiagCode16!=#EMPTY; SourceValue=0</t>
  </si>
  <si>
    <t>2575</t>
  </si>
  <si>
    <t>Condition=@OCROtherDiagCode17!=#EMPTY; SourceValue=0</t>
  </si>
  <si>
    <t>1865</t>
  </si>
  <si>
    <t>1875</t>
  </si>
  <si>
    <t>Condition=@OCROtherDiagPOA17!=#EMPTY &amp;&amp; @OCROtherDiagPOA17!=1; SourceValue=@OCROtherDiagPOA17</t>
  </si>
  <si>
    <t>Other Diag Codes POA Q</t>
  </si>
  <si>
    <t>1880</t>
  </si>
  <si>
    <t>2605</t>
  </si>
  <si>
    <t>Condition=@OCRAdmitDiagCode!=#EMPTY; SourceValue=0</t>
  </si>
  <si>
    <t>Admitting Diagnosis - 0 or N</t>
  </si>
  <si>
    <t>2580</t>
  </si>
  <si>
    <t>Condition=@OCRPatReasonDX1!=#EMPTY; SourceValue=0</t>
  </si>
  <si>
    <t>Patient Reason Type Ind - 0,N</t>
  </si>
  <si>
    <t>2583</t>
  </si>
  <si>
    <t>Condition=@OCRPatReasonDX2!=#EMPTY; SourceValue=0</t>
  </si>
  <si>
    <t>2584</t>
  </si>
  <si>
    <t>Condition=@OCRPatReasonDX3!=#EMPTY; SourceValue=0</t>
  </si>
  <si>
    <t>1885</t>
  </si>
  <si>
    <t>1890</t>
  </si>
  <si>
    <t>1895</t>
  </si>
  <si>
    <t>1900</t>
  </si>
  <si>
    <t>Condition=#LENGTH[@OCRPPSCode]==4;PlugValueIfTrue=#RIGHT[@OCRPPSCode,3];PlugIfFalse=TRUE;PlugFieldIfFalse=@OCRPPSCode</t>
  </si>
  <si>
    <t>1905</t>
  </si>
  <si>
    <t>1910</t>
  </si>
  <si>
    <t>External Cause of Injury POA A</t>
  </si>
  <si>
    <t>2455</t>
  </si>
  <si>
    <t>Condition=@OCRECode!=#EMPTY; SourceValue=0</t>
  </si>
  <si>
    <t>External Code of Injury Ind - 0,N</t>
  </si>
  <si>
    <t>Condition=@OCRECode2!=#EMPTY; SourceValue=0</t>
  </si>
  <si>
    <t>1915</t>
  </si>
  <si>
    <t>1920</t>
  </si>
  <si>
    <t>External Cause of Injury POA B</t>
  </si>
  <si>
    <t>1925</t>
  </si>
  <si>
    <t>1930</t>
  </si>
  <si>
    <t>External Cause of Injury POA C</t>
  </si>
  <si>
    <t>Condition=@OCRECode3!=#EMPTY; SourceValue=0</t>
  </si>
  <si>
    <t>2430</t>
  </si>
  <si>
    <t>Condition=@OCRPrinProcCode!=#EMPTY; SourceValue=0</t>
  </si>
  <si>
    <t>Principal Procedure Code Ind - 0,N</t>
  </si>
  <si>
    <t>1935</t>
  </si>
  <si>
    <t>1940</t>
  </si>
  <si>
    <t>Condition=#DATE[@OCRPrinProcDate]&lt;#TODAY</t>
  </si>
  <si>
    <t>4010</t>
  </si>
  <si>
    <t>PrimaryFields=OCRPrinProcCode,OCRProcCode1,OCRProcCode2,OCRProcCode3,OCRProcCode4,OCRProcCode5;OutputPrimaryFields=CLM_HOSP_PROC_CODE,CLM_HOSP_PROC_CODE_A,CLM_HOSP_PROC_CODE_B,CLM_HOSP_PROC_CODE_C,CLM_HOSP_PROC_CODE_D,CLM_HOSP_PROC_CODE_E;SecondaryFields=OCRPrinProcDate,OCRProcDate1,OCRProcDate2,OCRProcDate3,OCRProcDate4,OCRProcDate5</t>
  </si>
  <si>
    <t>Resequencing Proc codes and dates</t>
  </si>
  <si>
    <t>1950</t>
  </si>
  <si>
    <t>1955</t>
  </si>
  <si>
    <t>Condition=#DATE[@OCRProcDate1]&lt;#TODAY</t>
  </si>
  <si>
    <t>2435</t>
  </si>
  <si>
    <t>Condition=@OCRProcCode1!=#EMPTY; SourceValue=0</t>
  </si>
  <si>
    <t>2440</t>
  </si>
  <si>
    <t>Condition=@OCRProcCode2!=#EMPTY; SourceValue=0</t>
  </si>
  <si>
    <t>1965</t>
  </si>
  <si>
    <t>74 b</t>
  </si>
  <si>
    <t>1970</t>
  </si>
  <si>
    <t>Condition=#DATE[@OCRProcDate2]&lt;#TODAY</t>
  </si>
  <si>
    <t>1980</t>
  </si>
  <si>
    <t>1985</t>
  </si>
  <si>
    <t>Condition=#DATE[@OCRProcDate3]&lt;#TODAY</t>
  </si>
  <si>
    <t>2445</t>
  </si>
  <si>
    <t>Condition=@OCRProcCode3!=#EMPTY; SourceValue=0</t>
  </si>
  <si>
    <t>2450</t>
  </si>
  <si>
    <t>Condition=@OCRProcCode4!=#EMPTY; SourceValue=0</t>
  </si>
  <si>
    <t>1995</t>
  </si>
  <si>
    <t>2000</t>
  </si>
  <si>
    <t>Condition=#DATE[@OCRProcDate4]&lt;#TODAY</t>
  </si>
  <si>
    <t>2010</t>
  </si>
  <si>
    <t>2015</t>
  </si>
  <si>
    <t>Condition=#DATE[@OCRProcDate5]&lt;#TODAY</t>
  </si>
  <si>
    <t>Condition=@OCRProcCode5!=#EMPTY; SourceValue=0</t>
  </si>
  <si>
    <t>2025</t>
  </si>
  <si>
    <t>Condition=@OCRAttendPhyID_NPI!=#EMPTY &amp;&amp; #LENGTH[@OCRAttendPhyID_NPI]==10;SourceValue=@OCRAttendPhyID_NPI</t>
  </si>
  <si>
    <t>2030</t>
  </si>
  <si>
    <t>Condition=@OCRAttendPhyID_NPI!=#EMPTY &amp;&amp; #LENGTH[@OCRAttendPhyID_NPI]==10;SourceValue=XX</t>
  </si>
  <si>
    <t>2035</t>
  </si>
  <si>
    <t>2040</t>
  </si>
  <si>
    <t>2045</t>
  </si>
  <si>
    <t>Condition=@OCRPhyOper_NPI!=#EMPTY;SourceValue=@OCRPhyOper_NPI</t>
  </si>
  <si>
    <t>2050</t>
  </si>
  <si>
    <t>Condition=@OCRPhyOper_NPI!=#EMPTY &amp;&amp; #LENGTH[@OCRPhyOper_NPI]==10;SourceValue=XX</t>
  </si>
  <si>
    <t>2060</t>
  </si>
  <si>
    <t>2065</t>
  </si>
  <si>
    <t>2070</t>
  </si>
  <si>
    <t>Condition=@OCROthPhyID2_NPI!=#EMPTY &amp;&amp; #LENGTH[@OCROthPhyID2_NPI]==10;SourceValue=@OCROthPhyID2_NPI</t>
  </si>
  <si>
    <t>Operating Physician 1 NPI</t>
  </si>
  <si>
    <t>2075</t>
  </si>
  <si>
    <t>Condition=@OCROthPhyID2_NPI!=#EMPTY &amp;&amp; #LENGTH[@OCROthPhyID2_NPI]==10;SourceValue=XX</t>
  </si>
  <si>
    <t>Operating Physician 1 Qual</t>
  </si>
  <si>
    <t>2085</t>
  </si>
  <si>
    <t>2090</t>
  </si>
  <si>
    <t>2095</t>
  </si>
  <si>
    <t>Condition=@OCRProvSig_NPI!=#EMPTY &amp;&amp; #LENGTH[@OCRProvSig_NPI]==10;SourceValue=@OCRProvSig_NPI</t>
  </si>
  <si>
    <t>2100</t>
  </si>
  <si>
    <t>Condition=@OCRProvSig_NPI!=#EMPTY &amp;&amp; #LENGTH[@OCRProvSig_NPI]==10;SourceValue=XX</t>
  </si>
  <si>
    <t>2110</t>
  </si>
  <si>
    <t>2115</t>
  </si>
  <si>
    <t>UB_CombineRemarks</t>
  </si>
  <si>
    <t>Combine remark lines</t>
  </si>
  <si>
    <t>2602</t>
  </si>
  <si>
    <t>Condition=@OCR81CCaA==B3 &amp;&amp; @OCR81CCbA!=#EMPTY ;SourceValue=@OCR81CCbA</t>
  </si>
  <si>
    <t>Taxonomy code</t>
  </si>
  <si>
    <t>2604</t>
  </si>
  <si>
    <t>Condition=@OCR81CCaB==B3 &amp;&amp; @OCR81CCbB!=#EMPTY ;SourceValue=@OCR81CCbB</t>
  </si>
  <si>
    <t>2606</t>
  </si>
  <si>
    <t>Condition=@OCR81CCaC==B3 &amp;&amp; @OCR81CCbC!=#EMPTY ;SourceValue=@OCR81CCbC</t>
  </si>
  <si>
    <t>OCR81CCfA</t>
  </si>
  <si>
    <t>2145</t>
  </si>
  <si>
    <t>B3 - Taxonomy Code A</t>
  </si>
  <si>
    <t>Attachment Indicator</t>
  </si>
  <si>
    <t>1170</t>
  </si>
  <si>
    <t>SourceValue=$AttInd</t>
  </si>
  <si>
    <t>Copy the Attachment Indicator UDF value</t>
  </si>
  <si>
    <t>1300</t>
  </si>
  <si>
    <t>DeleteDetailRecsByCondition</t>
  </si>
  <si>
    <t>Condition=#INT[@OCRRevCodes] == 1</t>
  </si>
  <si>
    <t>Deletes detail line if Rev code is 001, 01, 1</t>
  </si>
  <si>
    <t>1100000</t>
  </si>
  <si>
    <t>SetCombinedRCode</t>
  </si>
  <si>
    <t>RX=R1,R2;RY=R2,R3;RZ=R1,R3;RQ=R1,R2,R3;UseDestinationRec=True</t>
  </si>
  <si>
    <t>Set complex R reject code if more than one R codes are present</t>
  </si>
  <si>
    <t>Field Name</t>
  </si>
  <si>
    <t>Source Field</t>
  </si>
  <si>
    <t>Output Params</t>
  </si>
  <si>
    <t>Condition=#LENGTH[@BillingProvider_Addr_Zip] &gt;= 5 &amp;&amp; #LENGTH[@BillingProvider_Addr_ZipPlus] &lt; 4;SourceValue=#CONCAT[#LEFT[@BillingProvider_Addr_Zip,5],0000]</t>
  </si>
  <si>
    <t>PlugTaxID</t>
  </si>
  <si>
    <t>Condition=#CONTAINS[@NDC_Units_Qual,IU|vial|VIAL|IU#SLASHVIAL|micrograms|MICROGRAMS,true]; SourceValue=F2</t>
  </si>
  <si>
    <t>Condition=#LENGTH[#INT[@NDC_Code]]&gt;11 &amp;&amp; #LEFT[@NDC_Code,1]==0;SourceValue=#RIGHT[@NDC_Code,11]</t>
  </si>
  <si>
    <t>NDC greater than 11 digits - right to left</t>
  </si>
  <si>
    <t>Condition=#LENGTH[#INT[@NDC_Code]]&gt;11 &amp;&amp; #LEFT[@NDC_Code,1]!=0;SourceValue=#LEFT[@NDC_Code,11]</t>
  </si>
  <si>
    <t>NDC greater than 11 digits - left to right</t>
  </si>
  <si>
    <t>Condition=#LENGTH[#INT[@NDC_Code]]&lt;=11;SourceValue=#INT[@NDC_Code]</t>
  </si>
  <si>
    <t>Total Claim Charges</t>
  </si>
  <si>
    <t>UB_SumDetailLines</t>
  </si>
  <si>
    <t>Condition=#INT[@OCRRevCodes] != 1;DetailRecType=UBDetail;DetailChargeField=OCRDetailCharges</t>
  </si>
  <si>
    <t>Plug the sum of the line charges in EBCDIC format excluding lines with Revenue Code = 1</t>
  </si>
  <si>
    <t>Plug the sum of the line charges in normal format excluding lines with Revenue Code = 1</t>
  </si>
  <si>
    <t>SourceFields=OCRProviderNosA,OCRProviderNosB,OCRProviderNosC;PlanFields=OCRPayersA,OCRPayersB,OCRPayersC;AetnaPlanField=PlanName_AetnaMedicaid;AetnaIDField=CLM_SUBS_ID;IDFields=OCRInsIDsA,OCRInsIDsB,OCRInsIDsC</t>
  </si>
  <si>
    <t>Plug UPIN based on Aetna ID</t>
  </si>
  <si>
    <t>SourceFields=OCREstAmtsDueA,OCREstAmtsDueB,OCREstAmtsDueC;PlanFields=OCRPayersA,OCRPayersB,OCRPayersC;AetnaPlanField=PlanName_AetnaMedicaid;AetnaIDField=CLM_SUBS_ID;IDFields=OCRInsIDsA,OCRInsIDsB,OCRInsIDsC</t>
  </si>
  <si>
    <t>Plug Est Amt Due based on Aetna ID</t>
  </si>
  <si>
    <t>Condition=#LENGTH[#INT[@OCRNPI]]==10;SourceValue=@OCRNPI</t>
  </si>
  <si>
    <t>Condition=@PlanName_AetnaMedicaid!=#EMPTY;SourceValue=18</t>
  </si>
  <si>
    <t>Condition=@PlanName_COB!=#EMPTY &amp;&amp; @PlanName_COB==@OCRPayersA &amp;&amp; @OCRGroupsA!=#EMPTY;SourceValue=@OCRGroupsA</t>
  </si>
  <si>
    <t>Plug Group name - COB row</t>
  </si>
  <si>
    <t>Condition=@PlanName_COB!=#EMPTY &amp;&amp; @PlanName_COB==@OCRPayersB &amp;&amp; @OCRGroupsB!=#EMPTY;SourceValue=@OCRGroupsB</t>
  </si>
  <si>
    <t>Condition=@PlanName_COB!=#EMPTY &amp;&amp; @PlanName_COB==@OCRPayersC &amp;&amp; @OCRGroupsC!=#EMPTY;SourceValue=@OCRGroupsC</t>
  </si>
  <si>
    <t>SourceFields=OCRGroupsA,OCRGroupsB,OCRGroupsC;PlanFields=OCRPayersA,OCRPayersB,OCRPayersC;AetnaPlanField=PlanName_COB;AetnaIDField=CLM_SUBS_ID;IDFields=OCRInsIDsA,OCRInsIDsB,OCRInsIDsC</t>
  </si>
  <si>
    <t>SourceFields=OCRTreatAuthCdsA,OCRTreatAuthCdsB,OCRTreatAuthCdsC;PlanFields=OCRPayersA,OCRPayersB,OCRPayersC;AetnaPlanField=PlanName_AetnaMedicaid;AetnaIDField=CLM_SUBS_ID;IDFields=OCRInsIDsA,OCRInsIDsB,OCRInsIDsC</t>
  </si>
  <si>
    <t>SourceFields=OCRDocCtlNumA,OCRDocCtlNumB,OCRDocCtlNumC;PlanFields=OCRPayersA,OCRPayersB,OCRPayersC;AetnaPlanField=PlanName_AetnaMedicaid;AetnaIDField=CLM_SUBS_ID;IDFields=OCRInsIDsA,OCRInsIDsB,OCRInsIDsC</t>
  </si>
  <si>
    <t>UseDestinationRec=True;SourceValue=@CLM_POA_IND_CODE_1</t>
  </si>
  <si>
    <t>Plugs the value of Principal DX Code POA, removes not allowed char (1)</t>
  </si>
  <si>
    <t>Condition=@CLM_DIAGNOSIS_CODE_1 != #EMPTY; SourceValue = 0;UseDestinationRec=True</t>
  </si>
  <si>
    <t>Plug 0 in Diagnosis Code Level Type Indicator 1 if Principle Diagnosis Code is not blank, otherwise plug N</t>
  </si>
  <si>
    <t>UseDestinationRec=True;SourceValue=@CLM_POA_IND_CODE_2</t>
  </si>
  <si>
    <t>Plugs the value of DX Code A POA, removes not allowed char (1)</t>
  </si>
  <si>
    <t>Condition=@CLM_DIAGNOSIS_CODE_2 != #EMPTY; SourceValue = 0;UseDestinationRec=True</t>
  </si>
  <si>
    <t>Plug 0 in Diagnosis Code Level Type Indicator 2 if Diagnosis Code 1 is not blank, otherwise plug N</t>
  </si>
  <si>
    <t>Condition=@CLM_DIAGNOSIS_CODE_3 != #EMPTY; SourceValue = 0;UseDestinationRec=True</t>
  </si>
  <si>
    <t>Plug 0 in Diagnosis Code Level Type Indicator 3 if Diagnosis Code 2 is not blank, otherwise plug N</t>
  </si>
  <si>
    <t>UseDestinationRec=True;SourceValue=@CLM_POA_IND_CODE_3</t>
  </si>
  <si>
    <t>Plugs the value of DX Code B POA, removes not allowed char (1)</t>
  </si>
  <si>
    <t>UseDestinationRec=True;SourceValue=@CLM_POA_IND_CODE_4</t>
  </si>
  <si>
    <t>Plugs the value of DX Code C POA, removes not allowed char (1)</t>
  </si>
  <si>
    <t>Condition=@CLM_DIAGNOSIS_CODE_4 != #EMPTY; SourceValue = 0;UseDestinationRec=True</t>
  </si>
  <si>
    <t>Plug 0 in Diagnosis Code Level Type Indicator 4 if Diagnosis Code 3 is not blank, otherwise plug N</t>
  </si>
  <si>
    <t>Condition=@CLM_DIAGNOSIS_CODE_5 != #EMPTY; SourceValue = 0;UseDestinationRec=True</t>
  </si>
  <si>
    <t>Plug 0 in Diagnosis Code Level Type Indicator 5 if Diagnosis Code 4 is not blank, otherwise plug N</t>
  </si>
  <si>
    <t>UseDestinationRec=True;SourceValue=@CLM_POA_IND_CODE_5</t>
  </si>
  <si>
    <t>Plugs the value of DX Code D POA, removes not allowed char (1)</t>
  </si>
  <si>
    <t>UseDestinationRec=True;SourceValue=@CLM_POA_IND_CODE_6</t>
  </si>
  <si>
    <t>Plugs the value of DX Code E POA, removes not allowed char (1)</t>
  </si>
  <si>
    <t>Condition=@CLM_DIAGNOSIS_CODE_6 != #EMPTY; SourceValue = 0;UseDestinationRec=True</t>
  </si>
  <si>
    <t>Plug 0 in Diagnosis Code Level Type Indicator 6 if Diagnosis Code 5 is not blank, otherwise plug N</t>
  </si>
  <si>
    <t>Condition=@CLM_DIAGNOSIS_CODE_7 != #EMPTY; SourceValue = 0;UseDestinationRec=True</t>
  </si>
  <si>
    <t>Plug 0 in Diagnosis Code Level Type Indicator 7 if Diagnosis Code 6 is not blank, otherwise plug N</t>
  </si>
  <si>
    <t>UseDestinationRec=True;SourceValue=@CLM_POA_IND_CODE_7</t>
  </si>
  <si>
    <t>Plugs the value of DX Code F POA, removes not allowed char (1)</t>
  </si>
  <si>
    <t>UseDestinationRec=True;SourceValue=@CLM_POA_IND_CODE_8</t>
  </si>
  <si>
    <t>Plugs the value of DX Code G POA, removes not allowed char (1)</t>
  </si>
  <si>
    <t>Condition=@CLM_DIAGNOSIS_CODE_8 != #EMPTY; SourceValue = 0;UseDestinationRec=True</t>
  </si>
  <si>
    <t>Plug 0 in Diagnosis Code Level Type Indicator 8 if Diagnosis Code 7 is not blank, otherwise plug N</t>
  </si>
  <si>
    <t>Condition=@CLM_DIAGNOSIS_CODE_9 != #EMPTY; SourceValue = 0;UseDestinationRec=True</t>
  </si>
  <si>
    <t>Plug 0 in Diagnosis Code Level Type Indicator 9 if Diagnosis Code 8 is not blank, otherwise plug N</t>
  </si>
  <si>
    <t>UseDestinationRec=True;SourceValue=@CLM_POA_IND_CODE_9</t>
  </si>
  <si>
    <t>Plugs the value of DX Code H POA, removes not allowed char (1)</t>
  </si>
  <si>
    <t>UseDestinationRec=True;SourceValue=@CLM_POA_IND_CODE_10</t>
  </si>
  <si>
    <t>Plugs the value of DX Code I POA, removes not allowed char (1)</t>
  </si>
  <si>
    <t>Condition=@CLM_DIAGNOSIS_CODE_10 != #EMPTY; SourceValue = 0;UseDestinationRec=True</t>
  </si>
  <si>
    <t>Plug 0 in Diagnosis Code Level Type Indicator 10 if Diagnosis Code 9 is not blank, otherwise plug N</t>
  </si>
  <si>
    <t>Condition=@CLM_DIAGNOSIS_CODE_11 != #EMPTY; SourceValue = 0;UseDestinationRec=True</t>
  </si>
  <si>
    <t>Plug 0 in Diagnosis Code Level Type Indicator 11 if Diagnosis Code 10 is not blank, otherwise plug N</t>
  </si>
  <si>
    <t>UseDestinationRec=True;SourceValue=@CLM_POA_IND_CODE_11</t>
  </si>
  <si>
    <t>Plugs the value of DX Code J POA, removes not allowed char (1)</t>
  </si>
  <si>
    <t>UseDestinationRec=True;SourceValue=@CLM_POA_IND_CODE_12</t>
  </si>
  <si>
    <t>Plugs the value of DX Code K POA, removes not allowed char (1)</t>
  </si>
  <si>
    <t>Condition=@CLM_DIAGNOSIS_CODE_12 != #EMPTY; SourceValue = 0;UseDestinationRec=True</t>
  </si>
  <si>
    <t>Plug 0 in Diagnosis Code Level Type Indicator 12 if Diagnosis Code 11 is not blank, otherwise plug N</t>
  </si>
  <si>
    <t>Condition=@CLM_DIAGNOSIS_CODE_13 != #EMPTY; SourceValue = 0;UseDestinationRec=True</t>
  </si>
  <si>
    <t>Plug 0 in Diagnosis Code Level Type Indicator 13 if Diagnosis Code 12 is not blank, otherwise plug N</t>
  </si>
  <si>
    <t>UseDestinationRec=True;SourceValue=@CLM_POA_IND_CODE_13</t>
  </si>
  <si>
    <t>Plugs the value of DX Code L POA, removes not allowed char (1)</t>
  </si>
  <si>
    <t>UseDestinationRec=True;SourceValue=@CLM_POA_IND_CODE_14</t>
  </si>
  <si>
    <t>Plugs the value of DX Code M POA, removes not allowed char (1)</t>
  </si>
  <si>
    <t>Condition=@CLM_DIAGNOSIS_CODE_14 != #EMPTY; SourceValue = 0;UseDestinationRec=True</t>
  </si>
  <si>
    <t>Plug 0 in Diagnosis Code Level Type Indicator 14 if Diagnosis Code 13 is not blank, otherwise plug N</t>
  </si>
  <si>
    <t>Condition=@CLM_DIAGNOSIS_CODE_15 != #EMPTY; SourceValue = 0;UseDestinationRec=True</t>
  </si>
  <si>
    <t>Plug 0 in Diagnosis Code Level Type Indicator 15 if Diagnosis Code 14 is not blank, otherwise plug N</t>
  </si>
  <si>
    <t>UseDestinationRec=True;SourceValue=@CLM_POA_IND_CODE_15</t>
  </si>
  <si>
    <t>Plugs the value of DX Code N POA, removes not allowed char (1)</t>
  </si>
  <si>
    <t>Condition=@CLM_DIAGNOSIS_CODE_16 != #EMPTY; SourceValue = 0;UseDestinationRec=True</t>
  </si>
  <si>
    <t>Plug 0 in Diagnosis Code Level Type Indicator 16 if Diagnosis Code 15 is not blank, otherwise plug N</t>
  </si>
  <si>
    <t>UseDestinationRec=True;SourceValue=@CLM_POA_IND_CODE_16</t>
  </si>
  <si>
    <t>Plugs the value of DX Code O POA, removes not allowed char (1)</t>
  </si>
  <si>
    <t>UseDestinationRec=True;SourceValue=@CLM_POA_IND_CODE_17</t>
  </si>
  <si>
    <t>Plugs the value of DX Code P POA, removes not allowed char (1)</t>
  </si>
  <si>
    <t>Condition=@CLM_DIAGNOSIS_CODE_17 != #EMPTY; SourceValue = 0;UseDestinationRec=True</t>
  </si>
  <si>
    <t>Plug 0 in Diagnosis Code Level Type Indicator 17 if Diagnosis Code 16 is not blank, otherwise plug N</t>
  </si>
  <si>
    <t>Condition=@CLM_DIAGNOSIS_CODE_18 != #EMPTY; SourceValue = 0;UseDestinationRec=True</t>
  </si>
  <si>
    <t>Plug 0 in Diagnosis Code Level Type Indicator 18 if Diagnosis Code 17 is not blank, otherwise plug N</t>
  </si>
  <si>
    <t>UseDestinationRec=True;SourceValue=@CLM_POA_IND_CODE_18</t>
  </si>
  <si>
    <t>Plugs the value of DX Code Q POA, removes not allowed char (1)</t>
  </si>
  <si>
    <t>Condition=#INT[@OCRPPSCode]&lt;1000;SourceValue=#RIGHT[@OCRPPSCode,3,true]</t>
  </si>
  <si>
    <t>Condition=@CLM_HOSP_PROC_CODE != #EMPTY; SourceValue = 0;UseDestinationRec=True</t>
  </si>
  <si>
    <t>Plug 0 in Procedure Code Level Type Indicator if Principal Procedure Code is not blank, otherwise plug N</t>
  </si>
  <si>
    <t>DetailRecType=PageFields;CheckOtherFields=True;RemoveDuplicates=False;PrimaryFields=PrinProcCode,OthProcCodeA,OthProcCodeB,OthProcCodeC,OthProcCodeD,OthProcCodeE;OtherFields=PrinProcDate,OthProcDateA,OthProcDateB,OthProcDateC,OthProcDateD,OthProcDateE;OutputPrimaryFields=CLM_HOSP_PROC_CODE,CLM_HOSP_PROC_CODE_A,CLM_HOSP_PROC_CODE_B,CLM_HOSP_PROC_CODE_C,CLM_HOSP_PROC_CODE_D,CLM_HOSP_PROC_CODE_E;OutputOtherFields=CLM_HOSP_PROC_CCYYMMDD_1,CLM_HOSP_PROC_CCYYMMDD_A,CLM_HOSP_PROC_CCYYMMDD_B,CLM_HOSP_PROC_CCYYMMDD_C,CLM_HOSP_PROC_CCYYMMDD_D,CLM_HOSP_PROC_CCYYMMDD_E</t>
  </si>
  <si>
    <t>Reorders Procedure Codes nd Dates (box 74, 74 a-e) by eliminating blanks</t>
  </si>
  <si>
    <t>Condition=#DATE[@CLM_HOSP_PROC_CCYYMMDD_1] &lt; #TODAY;UseDestinationRec=True;PlugFieldIfTrue=@CLM_HOSP_PROC_CCYYMMDD_1;PlugIfFalse=True;PlugValueIfFalse=#EMPTY;</t>
  </si>
  <si>
    <t>Plug Principal Procedure Date if valid and not a future date</t>
  </si>
  <si>
    <t>Condition=#DATE[@CLM_HOSP_PROC_CCYYMMDD_A] &lt; #TODAY;UseDestinationRec=True;PlugFieldIfTrue=@CLM_HOSP_PROC_CCYYMMDD_A;PlugIfFalse=True;PlugValueIfFalse=#EMPTY;</t>
  </si>
  <si>
    <t>Plug Other Procedure Date A if valid and not a future date</t>
  </si>
  <si>
    <t>Condition=@CLM_HOSP_PROC_CODE_A != #EMPTY; SourceValue = 0;UseDestinationRec=True</t>
  </si>
  <si>
    <t>Plug 0 in Other Procedure Code Level Type Indicator A if Principal Procedure Code is not blank, otherwise plug N</t>
  </si>
  <si>
    <t>Condition=@CLM_HOSP_PROC_CODE_B != #EMPTY; SourceValue = 0;UseDestinationRec=True</t>
  </si>
  <si>
    <t>Plug 0 in Other Procedure Code Level Type Indicator B if Principal Procedure Code is not blank, otherwise plug N</t>
  </si>
  <si>
    <t>Condition=#DATE[@CLM_HOSP_PROC_CCYYMMDD_B] &lt; #TODAY;UseDestinationRec=True;PlugFieldIfTrue=@CLM_HOSP_PROC_CCYYMMDD_B;PlugIfFalse=True;PlugValueIfFalse=#EMPTY;</t>
  </si>
  <si>
    <t>Plug Other Procedure Date B if valid and not a future date</t>
  </si>
  <si>
    <t>Condition=#DATE[@CLM_HOSP_PROC_CCYYMMDD_C] &lt; #TODAY;UseDestinationRec=True;PlugFieldIfTrue=@CLM_HOSP_PROC_CCYYMMDD_C;PlugIfFalse=True;PlugValueIfFalse=#EMPTY;</t>
  </si>
  <si>
    <t>Plug Other Procedure Date C if valid and not a future date</t>
  </si>
  <si>
    <t>Condition=@CLM_HOSP_PROC_CODE_C != #EMPTY; SourceValue = 0;UseDestinationRec=True</t>
  </si>
  <si>
    <t>Plug 0 in Other Procedure Code Level Type Indicator C if Principal Procedure Code is not blank, otherwise plug N</t>
  </si>
  <si>
    <t>Condition=@CLM_HOSP_PROC_CODE_D != #EMPTY; SourceValue = 0;UseDestinationRec=True</t>
  </si>
  <si>
    <t>Plug 0 in Other Procedure Code Level Type Indicator D if Principal Procedure Code is not blank, otherwise plug N</t>
  </si>
  <si>
    <t>Condition=#DATE[@CLM_HOSP_PROC_CCYYMMDD_D] &lt; #TODAY;UseDestinationRec=True;PlugFieldIfTrue=@CLM_HOSP_PROC_CCYYMMDD_D;PlugIfFalse=True;PlugValueIfFalse=#EMPTY;</t>
  </si>
  <si>
    <t>Plug Other Procedure Date D if valid and not a future date</t>
  </si>
  <si>
    <t>Condition=#DATE[@CLM_HOSP_PROC_CCYYMMDD_E] &lt; #TODAY;UseDestinationRec=True;PlugFieldIfTrue=@CLM_HOSP_PROC_CCYYMMDD_E;PlugIfFalse=True;PlugValueIfFalse=#EMPTY;</t>
  </si>
  <si>
    <t>Plug Other Procedure Date E if valid and not a future date</t>
  </si>
  <si>
    <t>Condition=@CLM_HOSP_PROC_CODE_E != #EMPTY; SourceValue = 0;UseDestinationRec=True</t>
  </si>
  <si>
    <t>Plug 0 in Other Procedure Code Level Type Indicator E if Principal Procedure Code is not blank, otherwise plug N</t>
  </si>
  <si>
    <t>Condition=#LENGTH[#INT[@OCRAttendPhyID_NPI]]==10;SourceValue=@OCRAttendPhyID_NPI</t>
  </si>
  <si>
    <t>Condition=#LENGTH[#INT[@OCRAttendPhyID_NPI]]==10;SourceValue=XX</t>
  </si>
  <si>
    <t>Condition=#LENGTH[#INT[@OCRPhyOper_NPI]]==10;SourceValue=@OCRPhyOper_NPI</t>
  </si>
  <si>
    <t>Condition=#LENGTH[#INT[@OCRPhyOper_NPI]]==10;SourceValue=XX</t>
  </si>
  <si>
    <t>Condition=#LENGTH[#INT[@OCROthPhyID2_NPI]]==10;SourceValue=@OCROthPhyID2_NPI</t>
  </si>
  <si>
    <t>Condition=#LENGTH[#INT[@OCROthPhyID2_NPI]]==10;SourceValue=XX</t>
  </si>
  <si>
    <t>Condition=#LENGTH[#INT[@OCRProvSig_NPI]]==10;SourceValue=@OCRProvSig_NPI</t>
  </si>
  <si>
    <t>Condition=#LENGTH[#INT[@OCRProvSig_NPI]]==10;SourceValue=XX</t>
  </si>
  <si>
    <t>ProcCodeDetailRecType=UBDetail;RemarksDetailRecType=PageFields</t>
  </si>
  <si>
    <t>DeleteBlankDetailRecs</t>
  </si>
  <si>
    <t>DetailRecType=UBDetail;SourceFields=OCRRevCodes,OCRDescriptions,OCRProcCodes,OCRServiceDates,OCRServiceUnits,OCRDetailCharges,OCRNonCvdChgs</t>
  </si>
  <si>
    <t>Deletes the record if all listed fields in the parameters are blank.</t>
  </si>
  <si>
    <t>Condition=#INT[@OCRRevCodes] == 1;DetailRecType=UBDetail</t>
  </si>
  <si>
    <t>Deletes detail line if Rev code is 001, 01 or 1</t>
  </si>
  <si>
    <t>Table</t>
  </si>
  <si>
    <t>ID</t>
  </si>
  <si>
    <t>Change</t>
  </si>
  <si>
    <t>Fields</t>
  </si>
  <si>
    <t>New</t>
  </si>
  <si>
    <t>Dummy field in main record set</t>
  </si>
  <si>
    <t>898357</t>
  </si>
  <si>
    <t>20234, 20237, 20240, 20243, 20246, 20249</t>
  </si>
  <si>
    <t>Modified</t>
  </si>
  <si>
    <t>Output Box 74 - Proc Dates - Default Value set to NULL</t>
  </si>
  <si>
    <t>2501-2517</t>
  </si>
  <si>
    <t xml:space="preserve">SourceRecType set to UBDetail - Detail fields </t>
  </si>
  <si>
    <t>2601-2648</t>
  </si>
  <si>
    <t>Added new PageFields detail fields - DX codes and Proc Codes/dates</t>
  </si>
  <si>
    <t>2649-2652</t>
  </si>
  <si>
    <t>Added new PageFields detail fields - Remarks</t>
  </si>
  <si>
    <t>20159, 20162, 20165, 20168, 20171, 20174, 20177, 20180, 20183, 20186, 20189, 20192, 20195, 20198, 20201, 20204, 20207, 20210</t>
  </si>
  <si>
    <t>AllowedChars,AllowedValues changed (box 67, 67A-Q - POA)</t>
  </si>
  <si>
    <t>20202, 20203, 20204</t>
  </si>
  <si>
    <t>FieldName updated (zero changed to O)</t>
  </si>
  <si>
    <t>20295</t>
  </si>
  <si>
    <t>OutputFormat for CLM_TOTAL_CHARGE updated</t>
  </si>
  <si>
    <t>21001-21018</t>
  </si>
  <si>
    <t>SourceRecType set to UBDetail - Detail output fields (prior completed)</t>
  </si>
  <si>
    <t>Rules</t>
  </si>
  <si>
    <t>65</t>
  </si>
  <si>
    <t>ProcCodeDetailRecType,RemarksDetailRecType parameters added to the required params</t>
  </si>
  <si>
    <t>898365, 898388</t>
  </si>
  <si>
    <t>106</t>
  </si>
  <si>
    <t>DetailRecType parameter added to the required params</t>
  </si>
  <si>
    <t>124</t>
  </si>
  <si>
    <t>New rule UB_SumDetailLines (OutputPrep)</t>
  </si>
  <si>
    <t>898388</t>
  </si>
  <si>
    <t>Map</t>
  </si>
  <si>
    <t>86</t>
  </si>
  <si>
    <t>OCR2DE: Total Charge: HSSubmissionID added to condition, multipage condition removed</t>
  </si>
  <si>
    <t>898353</t>
  </si>
  <si>
    <t>724</t>
  </si>
  <si>
    <t>OCR2DE: PlugMultipageFields</t>
  </si>
  <si>
    <t>725-759,
775, 777, 779, 781, 783, 785</t>
  </si>
  <si>
    <t>Disabled</t>
  </si>
  <si>
    <t>OCR2DE: DX Codes (Box 67, 67A-Q)and proc codes (74, 74a-e) in main record</t>
  </si>
  <si>
    <t>725-759</t>
  </si>
  <si>
    <t>775-786</t>
  </si>
  <si>
    <t>776, 778, 780, 782, 784, 786</t>
  </si>
  <si>
    <t>OCR2DE: Proc dates (box 74, 74a-e) - moved to PageFields</t>
  </si>
  <si>
    <t>258</t>
  </si>
  <si>
    <t>FinalEdit: Flag Gaps - from main to PageFields record set</t>
  </si>
  <si>
    <t>898365</t>
  </si>
  <si>
    <t>1140-1145</t>
  </si>
  <si>
    <t>FinalEdit: Box 74 - Rule changed (Blank Proc Date w/ OCR - Blank with Proc Code), moved to PageFields, exec order changed</t>
  </si>
  <si>
    <t>1193-1198</t>
  </si>
  <si>
    <t>FinalEdit: Box 74 - Future Proc Date - moved to PageFields, exec order changed</t>
  </si>
  <si>
    <t>1212-1229</t>
  </si>
  <si>
    <t>FinalEdit: Box 67 - DX DB Lookup - moved to PageFields</t>
  </si>
  <si>
    <t>1231-1248</t>
  </si>
  <si>
    <t>FinalEdit: Box 67 - Invalid POA - moved to PageFields</t>
  </si>
  <si>
    <t>1269-1274</t>
  </si>
  <si>
    <t>FinalEdit: Box 74 - DB Lookup Proc Code - moved to PageFields, exec order changed</t>
  </si>
  <si>
    <t>1607</t>
  </si>
  <si>
    <t>FinalEdit: Flag All DX Codes (67, 67A-Q) if multi-page changed to flag box 80 lines if al blank</t>
  </si>
  <si>
    <t>1700-1717</t>
  </si>
  <si>
    <t>FinalEdit: Box 67 - Blank Code w/ POA - moved to PageFields</t>
  </si>
  <si>
    <t>1802</t>
  </si>
  <si>
    <t>FinalEdit: DetailRecType parameter added (flag consecutive equal fields)</t>
  </si>
  <si>
    <t>871, 874, 877, 880, 883, 886, 889, 892, 895, 898, 901, 904, 907, 910, 913, 916, 919, 922</t>
  </si>
  <si>
    <t>OutputPrep: Box 67, 67A-Q POA - CopyValue modified: Use DestinationRecord</t>
  </si>
  <si>
    <t>861, 872, 875, 878, 881, 884, 887, 890, 893, 896, 899, 902, 905, 908, 911, 914, 917, 920</t>
  </si>
  <si>
    <t>OutputPrep: Box 67, 67A-Q - CopyValueConditional disabled (covered in ReorderFields rule)</t>
  </si>
  <si>
    <t>OutputPrep: Box 80 - ProcCodeDetailRecType,RemarksDetailRecType parameters added, Exec order changed</t>
  </si>
  <si>
    <t>1259</t>
  </si>
  <si>
    <t>OutputPrep: 81a - Exec order changed</t>
  </si>
  <si>
    <t>1349</t>
  </si>
  <si>
    <t>OutputPrep: Box 42 - Exec order changed</t>
  </si>
  <si>
    <t>1462</t>
  </si>
  <si>
    <t>OutputPrep: Attach Indicator - Exec order changed</t>
  </si>
  <si>
    <t>1523-1540</t>
  </si>
  <si>
    <t>OutputPrep: Box 67, 67A-Q Code level indicator - CopyValueCondition - New parameter (Use Destination) added</t>
  </si>
  <si>
    <t>1556-1558</t>
  </si>
  <si>
    <t>OutputPrep: Box 81 - Exec order changed</t>
  </si>
  <si>
    <t>OutputPrep: Box 67, 67A-Q - Reorder fields rule set</t>
  </si>
  <si>
    <t>1775, 1777</t>
  </si>
  <si>
    <t>OutputPrep: DetailRecType param added to DeleteBlankDetailRecs and DeleteDetailRecsByCondition rules, exec order changed</t>
  </si>
  <si>
    <t>938</t>
  </si>
  <si>
    <t>OutputPrep: Box 74, 74 a-e - Reorder fields rule set</t>
  </si>
  <si>
    <t>939, 943, 946, 949, 952, 955</t>
  </si>
  <si>
    <t>OutputPrep: Box 74, 74 a-e - CopyValue for Proc dates</t>
  </si>
  <si>
    <t>941, 945, 948, 951, 954</t>
  </si>
  <si>
    <t>OutputPrep: Box 74 Proc Codes (covered in Reorder Fields)</t>
  </si>
  <si>
    <t>1514-1519</t>
  </si>
  <si>
    <t>OutputPrep: Box 74 Code level indicator -  CopyValueCondition - New parameter (Use Destination) added, exec order changed</t>
  </si>
  <si>
    <t>4897, 4898</t>
  </si>
  <si>
    <t>OutputPrep: New mapping for claim total charge (EBCDIC and no-EBCDIC format)</t>
  </si>
  <si>
    <t xml:space="preserve">SELECT </t>
  </si>
  <si>
    <t>b.ID [Map ID],</t>
  </si>
  <si>
    <t>a.FieldID [Field ID],</t>
  </si>
  <si>
    <t>a.FieldName [Box #],</t>
  </si>
  <si>
    <t>a.FieldDescription [Form Field],</t>
  </si>
  <si>
    <t>ISNULL(a.SourceFieldName,'') [Source Field(s)],</t>
  </si>
  <si>
    <t xml:space="preserve">ISNULL(a.OutputFieldName,'') [Output Field], </t>
  </si>
  <si>
    <t>ISNULL(a.SourceRecType,'') [Main/Detail],</t>
  </si>
  <si>
    <t>b.ExecutionOrder [Exec Order],</t>
  </si>
  <si>
    <t>ISNULL(c.RuleMethod,'') [Method],</t>
  </si>
  <si>
    <t>ISNULL(a.OutputFormat,'') [Output Format],</t>
  </si>
  <si>
    <t>ISNULL(a.FieldParameters,'') [Field Parameters],</t>
  </si>
  <si>
    <t>ISNULL(b.MapParameters,'') [Map Parameters],</t>
  </si>
  <si>
    <t>ISNULL(c.RuleDescription,'') [Rule Description],</t>
  </si>
  <si>
    <t>'' Notes,</t>
  </si>
  <si>
    <t>'' StoryID</t>
  </si>
  <si>
    <t>FROM [dbo].[TransformationEngine_Field] a</t>
  </si>
  <si>
    <t>JOIN [dbo].[TransformationEngine_FieldRule_Map] b ON b.FieldID=a.FieldID</t>
  </si>
  <si>
    <t>LEFT JOIN [dbo].[TransformationEngine_Rule] c ON c.RuleID=b.RuleID</t>
  </si>
  <si>
    <t>WHERE a.FieldID BETWEEN 2000 AND 2999</t>
  </si>
  <si>
    <t>AND LayoutID=3</t>
  </si>
  <si>
    <t>ORDER BY a.FieldID</t>
  </si>
  <si>
    <t>SELECT</t>
  </si>
  <si>
    <t>FieldID,</t>
  </si>
  <si>
    <t>FieldName,</t>
  </si>
  <si>
    <t>FieldDescription,</t>
  </si>
  <si>
    <t>SourceFieldName,</t>
  </si>
  <si>
    <t>ISNULL(SourceRecType,'') SourceRecType,</t>
  </si>
  <si>
    <t>ISNULL(SourceModifiers,'') SourceModifiers,</t>
  </si>
  <si>
    <t>DetailField,</t>
  </si>
  <si>
    <t>[Length],</t>
  </si>
  <si>
    <t>[Required],</t>
  </si>
  <si>
    <t>ISNULL(DefaultValue,'') DefaultValue,</t>
  </si>
  <si>
    <t>ISNULL(AllowedChars,'') AllowedChars,</t>
  </si>
  <si>
    <t>ISNULL(AllowedValues,'') AllowedValues,</t>
  </si>
  <si>
    <t>ISNULL(ValidationRegEx,'') ValidationRegEx,</t>
  </si>
  <si>
    <t>ISNULL(OutputFieldName,'') OutputFieldName,</t>
  </si>
  <si>
    <t>ISNULL(OutputFormat,'') OutputFormat,</t>
  </si>
  <si>
    <t>ISNULL(FieldParameters,'') FieldParameters,</t>
  </si>
  <si>
    <t>'' [Notes and Questions],</t>
  </si>
  <si>
    <t>REPLACE('INSERT INTO TransformationEngine_Field (FieldName, FieldDescription, SourceFieldName, DetailField, Length, Required, OutputFieldName, AllowedChars, OutputFormat, FieldParameters, ValidationRegEx, AllowedValues, SourceModifiers, SourceRecType) '+</t>
  </si>
  <si>
    <t>'VALUES ('''+FieldName+''','''+FieldDescription+''','''+SourceFieldName+''','''+CAST(DetailField AS VARCHAR)+''','''+CAST([Length] AS VARCHAR)+''','''+CAST([Required] AS VARCHAR)+''','''+ISNULL(OutputFieldName,'NULL')+''','''+ISNULL(AllowedChars,'NULL')+''','''+ISNULL(OutputFormat,'NULL')+''','''+ISNULL(FieldParameters,'NULL')+''','''+ISNULL(ValidationRegEx,'NULL')+''','''+ISNULL(AllowedValues,'NULL')+''','''+ISNULL(SourceModifiers,'NULL')+''','''+ISNULL(SourceRecType,'NULL')+''')','''NULL''','NULL') [SQL]</t>
  </si>
  <si>
    <t>FROM [dbo].[TransformationEngine_Field]</t>
  </si>
  <si>
    <t>WHERE FieldID BETWEEN 2000 AND 2999</t>
  </si>
  <si>
    <t>ORDER BY FieldID</t>
  </si>
  <si>
    <t>Legacy Field Name</t>
  </si>
  <si>
    <t>PRV-ADDR</t>
  </si>
  <si>
    <t>PRV-NAME</t>
  </si>
  <si>
    <t>PRV-CITY</t>
  </si>
  <si>
    <t>PRV-STATE</t>
  </si>
  <si>
    <t>PRV-ZIP</t>
  </si>
  <si>
    <t>PRV-PHONE</t>
  </si>
  <si>
    <t>PRV_BILL_NAME</t>
  </si>
  <si>
    <t>PRV_BILL_ADDR</t>
  </si>
  <si>
    <t>PRV_BILL_CITY</t>
  </si>
  <si>
    <t>PRV_BILL_ZIP</t>
  </si>
  <si>
    <t>PRV_BILL_STATE</t>
  </si>
  <si>
    <t>PAT-LAST</t>
  </si>
  <si>
    <t>PAT-FIRST</t>
  </si>
  <si>
    <t>PAT-MI</t>
  </si>
  <si>
    <t>PAT-ADDR</t>
  </si>
  <si>
    <t>PAT-CITY</t>
  </si>
  <si>
    <t>PAT-STATE</t>
  </si>
  <si>
    <t>PAT-ZIP</t>
  </si>
  <si>
    <t>PAT-DOB</t>
  </si>
  <si>
    <t>CONDITION-CODE1</t>
  </si>
  <si>
    <t>OCROccurCodes1</t>
  </si>
  <si>
    <t>OCROccurDates1</t>
  </si>
  <si>
    <t>OCROccurCodes2</t>
  </si>
  <si>
    <t>OCROccurDates2</t>
  </si>
  <si>
    <t>OCROccurCodes3</t>
  </si>
  <si>
    <t>OCROccurDates3</t>
  </si>
  <si>
    <t>OCROccurCodes4</t>
  </si>
  <si>
    <t>OCROccurDates4</t>
  </si>
  <si>
    <t>OCROccurSpanCds</t>
  </si>
  <si>
    <t>OCROccurDateFrom</t>
  </si>
  <si>
    <t>OCROccurDateTo</t>
  </si>
  <si>
    <t>OCROccurSpanCodes2</t>
  </si>
  <si>
    <t>OCROccurDateFrom2</t>
  </si>
  <si>
    <t>OCROccurDateTo2</t>
  </si>
  <si>
    <t>OCRInternCtlNbrs</t>
  </si>
  <si>
    <t>INS-ADDR</t>
  </si>
  <si>
    <t>INS-CITY</t>
  </si>
  <si>
    <t>INS-STATE</t>
  </si>
  <si>
    <t>INS-ZIP</t>
  </si>
  <si>
    <t>OCRValueCodes1</t>
  </si>
  <si>
    <t>OCRValueAmts1</t>
  </si>
  <si>
    <t>OCRValueCodes2</t>
  </si>
  <si>
    <t>OCRValueAmts2</t>
  </si>
  <si>
    <t>OCRValueCodes3</t>
  </si>
  <si>
    <t>OCRValueAmts3</t>
  </si>
  <si>
    <t>PROC</t>
  </si>
  <si>
    <t>MOD1</t>
  </si>
  <si>
    <t>MOD2</t>
  </si>
  <si>
    <t>MOD3</t>
  </si>
  <si>
    <t>MOD4</t>
  </si>
  <si>
    <t>OCRPayers</t>
  </si>
  <si>
    <t>OCRProviderNos</t>
  </si>
  <si>
    <t>OCRRelInfoInds</t>
  </si>
  <si>
    <t>OCRBenAssignInds</t>
  </si>
  <si>
    <t>OCRPriorPayments</t>
  </si>
  <si>
    <t>OCREstAmtsDue</t>
  </si>
  <si>
    <t>OCROtherProvID</t>
  </si>
  <si>
    <t>INSURED-LAST1</t>
  </si>
  <si>
    <t>INSURED-FIRST1</t>
  </si>
  <si>
    <t>INSURED-LAST2</t>
  </si>
  <si>
    <t>INSURED-FIRST2</t>
  </si>
  <si>
    <t>INSURED-LAST3</t>
  </si>
  <si>
    <t>INSURED-FIRST3</t>
  </si>
  <si>
    <t>OCRPatRels</t>
  </si>
  <si>
    <t>CONDITION-CODE2</t>
  </si>
  <si>
    <t>CONDITION-CODE3</t>
  </si>
  <si>
    <t>CONDITION-CODE4</t>
  </si>
  <si>
    <t>CONDITION-CODE5</t>
  </si>
  <si>
    <t>CONDITION-CODE6</t>
  </si>
  <si>
    <t>CONDITION-CODE7</t>
  </si>
  <si>
    <t>CONDITION_CODE8</t>
  </si>
  <si>
    <t>CONDITION_CODE9</t>
  </si>
  <si>
    <t>CONDITION_CODE10</t>
  </si>
  <si>
    <t>CONDITION_CODE11</t>
  </si>
  <si>
    <t>As per Jhon and Billy it is not required to add in legacy form</t>
  </si>
  <si>
    <t>working as per Rule</t>
  </si>
  <si>
    <t>Accepting allSpecial Chars</t>
  </si>
  <si>
    <t>We do not have OCRInsNamesA field in WebDE XML file, it was splitted ito 3 sections Firstname,Lastname,Suffix</t>
  </si>
  <si>
    <t>no field in xml</t>
  </si>
  <si>
    <t>Y</t>
  </si>
  <si>
    <t>N-Rule Method name is diff it is FlagIfBlank in DB</t>
  </si>
  <si>
    <t>No Field ID In DB</t>
  </si>
  <si>
    <t>No map ID</t>
  </si>
  <si>
    <t>No MapID</t>
  </si>
  <si>
    <t>Removr , in MapID</t>
  </si>
  <si>
    <t>Rule Method is diff and it is CopyValue</t>
  </si>
  <si>
    <t>Field ID are diff for all this color hilighted fields</t>
  </si>
  <si>
    <t>RuleMedthod Notes</t>
  </si>
  <si>
    <t>7811-7911 Exec order is diff</t>
  </si>
  <si>
    <t>7812-7912 Exec order is diff</t>
  </si>
  <si>
    <t>y</t>
  </si>
  <si>
    <t>Condition=@OCRPhyOper_FIRST != #EMPTY &amp;&amp; #LENGTH[@OCRPhyOper_FIRST] &lt; 3; FlagDescription=Operating Physician First Name is too short</t>
  </si>
  <si>
    <t>Condition=@OCROthPhyID2_FIRST != #EMPTY &amp;&amp; #LENGTH[@OCROthPhyID2_FIRST] &lt; 3;FlagDescription=Other Physician 1 First Name is too short</t>
  </si>
  <si>
    <t>Condition=@OCRProvSig_FIRST != #EMPTY &amp;&amp; #LENGTH[@OCRProvSig_FIRST] &lt; 3;FlagDescription=Other Physician 2 First Name is too short</t>
  </si>
  <si>
    <t>MapParameters</t>
  </si>
  <si>
    <t>FlagDescription=Blank Patient Name - Last!</t>
  </si>
  <si>
    <t>StoredProc=usp_TE_LookupZip;SPParameters=@City=@OCRPatAddress_City,@State=@OCRPatAddress_State,@Zip=@OCRPatAddress_Zip;FlagCondition=Result &lt; 1;FieldsToFlag=OCRPatAddress_City,OCRPatAddress_State,Patient_Addr_Zip,Patient_Addr_ZipPlus;ExecuteIfAnyBlank=True;FlagDescription=Billing Provider City, State and Zip do not match Zip Table.</t>
  </si>
  <si>
    <t>FlagDescription not matched</t>
  </si>
  <si>
    <t>Condition=(@OCROccurCodes1A==#EMPTY &amp;&amp; @OCROccurDates1A!=#EMPTY) || (@OCROccurCodes1A!=#EMPTY &amp;&amp; @OCROccurDates1A==#EMPTY);FieldsToFlag=OCROccurCodes1A,OCROccurDates1A;FlagDescription=Either Occurrence Code or Occurrence Date is blank</t>
  </si>
  <si>
    <t>FlagDescription is not mtched</t>
  </si>
  <si>
    <t>Condition=(@OCROccurCodes1B==#EMPTY &amp;&amp; @OCROccurDates1B!=#EMPTY) || (@OCROccurCodes1B!=#EMPTY &amp;&amp; @OCROccurDates1B==#EMPTY);FieldsToFlag=OCROccurCodes1B,OCROccurDates1B;FlagDescription=Either Occurrence Code or Occurrence Date is blank</t>
  </si>
  <si>
    <t>flag description is not matched</t>
  </si>
  <si>
    <t>Condition=(@OCROccurCodes2A==#EMPTY &amp;&amp; @OCROccurDates2A!=#EMPTY) || (@OCROccurCodes2A!=#EMPTY &amp;&amp; @OCROccurDates2A==#EMPTY);FieldsToFlag=OCROccurCodes2A,OCROccurDates2A;FlagDescription=Either Occurrence Code or Occurrence Date is blank</t>
  </si>
  <si>
    <t>Condition=(@OCROccurCodes2B==#EMPTY &amp;&amp; @OCROccurDates2B!=#EMPTY) || (@OCROccurCodes2B!=#EMPTY &amp;&amp; @OCROccurDates2B==#EMPTY);FieldsToFlag=OCROccurCodes2B,OCROccurDates2B;FlagDescription=Either Occurrence Code or Occurrence Date is blank</t>
  </si>
  <si>
    <t>Flag Description is miss matched</t>
  </si>
  <si>
    <t>Condition=(@OCROccurCodes3A==#EMPTY &amp;&amp; @OCROccurDates3A!=#EMPTY) || (@OCROccurCodes3A!=#EMPTY &amp;&amp; @OCROccurDates3A==#EMPTY);FieldsToFlag=OCROccurCodes3A,OCROccurDates3A;FlagDescription=Either Occurrence Code or Occurrence Date is blank</t>
  </si>
  <si>
    <t>Flag Description is not same</t>
  </si>
  <si>
    <t>Condition=(@OCROccurCodes3B==#EMPTY &amp;&amp; @OCROccurDates3B!=#EMPTY) || (@OCROccurCodes3B!=#EMPTY &amp;&amp; @OCROccurDates3B==#EMPTY);FieldsToFlag=OCROccurCodes3B,OCROccurDates3B;FlagDescription=Either Occurrence Code or Occurrence Date is blank</t>
  </si>
  <si>
    <t>Condition=(@OCROccurCodes4A==#EMPTY &amp;&amp; @OCROccurDates4A!=#EMPTY) || (@OCROccurCodes4A!=#EMPTY &amp;&amp; @OCROccurDates4A==#EMPTY);FieldsToFlag=OCROccurCodes4A,OCROccurDates4A;FlagDescription=Either Occurrence Code or Occurrence Date is blank</t>
  </si>
  <si>
    <t>Falg description is not same</t>
  </si>
  <si>
    <t>Condition=(@OCROccurCodes4B==#EMPTY &amp;&amp; @OCROccurDates4B!=#EMPTY) || (@OCROccurCodes4B!=#EMPTY &amp;&amp; @OCROccurDates4B==#EMPTY);FieldsToFlag=OCROccurCodes4B,OCROccurDates4B;FlagDescription=Either Occurrence Code or Occurrence Date is blank</t>
  </si>
  <si>
    <t>IsMatch</t>
  </si>
  <si>
    <t>No</t>
  </si>
  <si>
    <t>Mismatch detail: DB has extra ExecuteIfAllBlank=True compared to Excel.</t>
  </si>
  <si>
    <t>Yes</t>
  </si>
  <si>
    <t>Matched</t>
  </si>
  <si>
    <t>Empty row - skipped</t>
  </si>
  <si>
    <t>Mismatch detail: FlagDescription text differs. Excel says Pay To Provider street address is blank!, DB says Pay to Provider Street Address if blank.</t>
  </si>
  <si>
    <t>Mismatch detail: FlagDescription text differs. Excel says Missing Federal Tax Number!, DB says Missing Federal Tax Number.</t>
  </si>
  <si>
    <t>Mismatch detail: FlagDescription text differs. Excel says Patient is blank!, DB says Patient ID is blank!</t>
  </si>
  <si>
    <t>Mismatch detail: Excel has extra Condition=@Patient_Name_Last==#EMPTY; DB only has FlagDescription=Blank Patient Name - Last!</t>
  </si>
  <si>
    <t>Mismatch detail: MapId=2,856 / FieldId=2032 not found in DB. Excel has Patient Last Name is too short rule.</t>
  </si>
  <si>
    <t>Mismatch detail: MapId=2,857 / FieldId=2033 not found in DB. Excel has Patient First Name is too short rule.</t>
  </si>
  <si>
    <t>Mismatch detail: FlagDescription text differs. Excel says Patient Name - Address is blank!, DB says Patient Address - Street is blank!</t>
  </si>
  <si>
    <t>Mismatch detail: FieldsToFlag differs. Excel has OCRPatAddress_Zip, DB has Patient_Addr_Zip.</t>
  </si>
  <si>
    <t>Mismatch detail: FlagDescription text differs. Excel says Patient Sex is blank!, DB says Patient Sex is blank.</t>
  </si>
  <si>
    <t>Both Excel and DB values are empty</t>
  </si>
  <si>
    <t>Mismatch detail: Condition differs. Excel uses @OCRServiceUnits != EMPTY, DB uses #STRING[@OCRServiceUnits] != #EMPTY.</t>
  </si>
  <si>
    <t>Mismatch detail: Field name differs. Excel has @OCRevCodes, DB has @OCRRevCodes.</t>
  </si>
  <si>
    <t>Mismatch detail: MapId=1802 / FieldId=2133 not found in DB. Excel has Consecutive equal Units field values rule.</t>
  </si>
  <si>
    <t>Mismatch detail: MapId is blank for FieldId=2133, so no DB row was found. Excel has total charges length rule.</t>
  </si>
  <si>
    <t>Mismatch detail: MapId is blank for FieldId=2134, so no DB row was found. Excel has total non-covered charges length rule.</t>
  </si>
  <si>
    <t>Mismatch detail: Excel condition is missing @ prefixes on OCRPriorPaymentsA, OCRPayersA, and OCRProviderNosA compared to DB.</t>
  </si>
  <si>
    <t>Mismatch detail: Excel condition is missing @ prefixes on OCRPriorPaymentsB, OCRPayersB, and OCRProviderNosB compared to DB.</t>
  </si>
  <si>
    <t>Mismatch detail: Excel condition is missing @ prefixes on OCRPriorPaymentsC, OCRPayersC, and OCRProviderNosC compared to DB.</t>
  </si>
  <si>
    <t>Mismatch detail: MapId=2,858 / FieldId=2287 not found in DB. Excel has Insured A Last Name is too short rule.</t>
  </si>
  <si>
    <t>Mismatch detail: MapId=2,859 / FieldId=2288 not found in DB. Excel has Insured A First Name is too short rule.</t>
  </si>
  <si>
    <t>Mismatch detail: MapId=2,860 / FieldId=2293 not found in DB. Excel has Insured B Last Name is too short rule.</t>
  </si>
  <si>
    <t>Mismatch detail: MapId=2,861 / FieldId=2294 not found in DB. Excel has Insured B First Name is too short rule.</t>
  </si>
  <si>
    <t>Mismatch detail: MapId=2,862 / FieldId=2299 not found in DB. Excel has Insured C Last Name is too short rule.</t>
  </si>
  <si>
    <t>Mismatch detail: MapId=2,863 / FieldId=2300 not found in DB. Excel has Insured C First Name is too short rule.</t>
  </si>
  <si>
    <t>Mismatch detail: FlagDescription text differs. Excel says Blank Insured IDs!, DB says Missing Insured IDs!.</t>
  </si>
  <si>
    <t>Mismatch detail: MapId=1212 / FieldId=2601 not found in DB. Excel has Principal Diag Code not found rule.</t>
  </si>
  <si>
    <t>Mismatch detail: MapId=1231 / FieldId=2602 not found in DB. Excel has Invalid Diag POA rule.</t>
  </si>
  <si>
    <t>Mismatch detail: MapId=1700 / FieldId=2602 not found in DB. Excel has Diag POA blank but Diag Code not blank rule.</t>
  </si>
  <si>
    <t>Mismatch detail: MapId=1213 / FieldId=2603 not found in DB. Excel has Other DX Codes A not found rule.</t>
  </si>
  <si>
    <t>Mismatch detail: MapId=1232 / FieldId=2604 not found in DB. Excel has Invalid Diag POA rule.</t>
  </si>
  <si>
    <t>Mismatch detail: MapId=1701 / FieldId=2604 not found in DB. Excel has Diag POA blank but Diag CodeA not blank rule.</t>
  </si>
  <si>
    <t>Mismatch detail: MapId=1214 / FieldId=2605 not found in DB. Excel has Other DX Codes B not found rule.</t>
  </si>
  <si>
    <t>Mismatch detail: MapId=1233 / FieldId=2606 not found in DB. Excel has Invalid Diag POA rule.</t>
  </si>
  <si>
    <t>Mismatch detail: MapId=1702 / FieldId=2606 not found in DB. Excel has Diag POA blank but Diag CodeB not blank rule.</t>
  </si>
  <si>
    <t>Mismatch detail: MapId=1215 / FieldId=2607 not found in DB. Excel has Other DX Codes C not found rule.</t>
  </si>
  <si>
    <t>Mismatch detail: MapId=1234 / FieldId=2608 not found in DB. Excel has Invalid Diag POA rule.</t>
  </si>
  <si>
    <t>Mismatch detail: MapId=1703 / FieldId=2608 not found in DB. Excel has Diag POA blank but Diag CodeC not blank rule.</t>
  </si>
  <si>
    <t>Mismatch detail: MapId=1216 / FieldId=2609 not found in DB. Excel has Other DX Codes D not found rule.</t>
  </si>
  <si>
    <t>Mismatch detail: MapId=1235 / FieldId=2610 not found in DB. Excel has Invalid Diag POA rule.</t>
  </si>
  <si>
    <t>Mismatch detail: MapId=1704 / FieldId=2610 not found in DB. Excel has Diag POA blank but Diag CodeD not blank rule.</t>
  </si>
  <si>
    <t>Mismatch detail: MapId=1217 / FieldId=2611 not found in DB. Excel has Other DX Codes E not found rule.</t>
  </si>
  <si>
    <t>Mismatch detail: MapId=1236 / FieldId=2612 not found in DB. Excel has Invalid Diag POA rule.</t>
  </si>
  <si>
    <t>Mismatch detail: MapId=1705 / FieldId=2612 not found in DB. Excel has Diag POA blank but Diag CodeE not blank rule.</t>
  </si>
  <si>
    <t>Mismatch detail: MapId=1218 / FieldId=2613 not found in DB. Excel has Other DX Codes F not found rule.</t>
  </si>
  <si>
    <t>Mismatch detail: MapId=1237 / FieldId=2614 not found in DB. Excel has Invalid Diag POA rule.</t>
  </si>
  <si>
    <t>Mismatch detail: MapId=1706 / FieldId=2614 not found in DB. Excel has Diag POA blank but Diag CodeF not blank rule.</t>
  </si>
  <si>
    <t>Mismatch detail: MapId=1219 / FieldId=2615 not found in DB. Excel has Other DX Codes G not found rule.</t>
  </si>
  <si>
    <t>Mismatch detail: MapId=1238 / FieldId=2616 not found in DB. Excel has Invalid Diag POA rule.</t>
  </si>
  <si>
    <t>Mismatch detail: MapId=1707 / FieldId=2616 not found in DB. Excel has Diag POA blank but Diag CodeG not blank rule.</t>
  </si>
  <si>
    <t>Mismatch detail: MapId=1220 / FieldId=2617 not found in DB. Excel has Other DX Codes H not found rule.</t>
  </si>
  <si>
    <t>Mismatch detail: MapId=1239 / FieldId=2618 not found in DB. Excel has Invalid Diag POA rule.</t>
  </si>
  <si>
    <t>Mismatch detail: MapId=1708 / FieldId=2618 not found in DB. Excel has Diag POA blank but Diag CodeH not blank rule.</t>
  </si>
  <si>
    <t>Mismatch detail: MapId=1221 / FieldId=2619 not found in DB. Excel has Other DX Codes I not found rule.</t>
  </si>
  <si>
    <t>Mismatch detail: MapId=1240 / FieldId=2620 not found in DB. Excel has Invalid Diag POA rule.</t>
  </si>
  <si>
    <t>Mismatch detail: MapId=1709 / FieldId=2620 not found in DB. Excel has Diag POA blank but Diag CodeI not blank rule.</t>
  </si>
  <si>
    <t>Mismatch detail: MapId=1222 / FieldId=2621 not found in DB. Excel has Other DX Codes J not found rule.</t>
  </si>
  <si>
    <t>Mismatch detail: MapId=1241 / FieldId=2622 not found in DB. Excel has Invalid Diag POA rule.</t>
  </si>
  <si>
    <t>Mismatch detail: MapId=1710 / FieldId=2622 not found in DB. Excel has Diag POA blank but Diag CodeJ not blank rule.</t>
  </si>
  <si>
    <t>Mismatch detail: MapId=1223 / FieldId=2623 not found in DB. Excel has Other DX Codes K not found rule.</t>
  </si>
  <si>
    <t>Mismatch detail: MapId=1242 / FieldId=2624 not found in DB. Excel has Invalid Diag POA rule.</t>
  </si>
  <si>
    <t>Mismatch detail: MapId=1711 / FieldId=2624 not found in DB. Excel has Diag POA blank but Diag CodeK not blank rule.</t>
  </si>
  <si>
    <t>Mismatch detail: MapId=1224 / FieldId=2625 not found in DB. Excel has Other DX Codes L not found rule.</t>
  </si>
  <si>
    <t>Mismatch detail: MapId=1243 / FieldId=2626 not found in DB. Excel has Invalid Diag POA rule.</t>
  </si>
  <si>
    <t>Mismatch detail: MapId=1712 / FieldId=2626 not found in DB. Excel has Diag POA blank but Diag CodeL not blank rule.</t>
  </si>
  <si>
    <t>Mismatch detail: MapId=1225 / FieldId=2627 not found in DB. Excel has Other DX Codes M not found rule.</t>
  </si>
  <si>
    <t>Mismatch detail: MapId=1244 / FieldId=2628 not found in DB. Excel has Invalid Diag POA rule.</t>
  </si>
  <si>
    <t>Mismatch detail: MapId=1713 / FieldId=2628 not found in DB. Excel has Diag POA blank but Diag CodeM not blank rule.</t>
  </si>
  <si>
    <t>Mismatch detail: MapId=1226 / FieldId=2629 not found in DB. Excel has Other DX Codes N not found rule.</t>
  </si>
  <si>
    <t>Mismatch detail: MapId=1245 / FieldId=2630 not found in DB. Excel has Invalid Diag POA rule.</t>
  </si>
  <si>
    <t>Mismatch detail: MapId=1714 / FieldId=2630 not found in DB. Excel has Diag POA blank but Diag CodeN not blank rule.</t>
  </si>
  <si>
    <t>Mismatch detail: MapId=1227 / FieldId=2631 not found in DB. Excel has Other DX Codes O not found rule.</t>
  </si>
  <si>
    <t>Mismatch detail: MapId=1246 / FieldId=2632 not found in DB. Excel has Invalid Diag POA rule.</t>
  </si>
  <si>
    <t>Mismatch detail: MapId=1715 / FieldId=2632 not found in DB. Excel has Diag POA blank but Diag CodeO not blank rule.</t>
  </si>
  <si>
    <t>Mismatch detail: MapId=1228 / FieldId=2633 not found in DB. Excel has Other DX Codes P not found rule.</t>
  </si>
  <si>
    <t>Mismatch detail: MapId=1247 / FieldId=2634 not found in DB. Excel has Invalid Diag POA rule.</t>
  </si>
  <si>
    <t>Mismatch detail: MapId=1716 / FieldId=2634 not found in DB. Excel has Diag POA blank but Diag CodeP not blank rule.</t>
  </si>
  <si>
    <t>Mismatch detail: MapId=1229 / FieldId=2635 not found in DB. Excel has Other DX Codes Q not found rule.</t>
  </si>
  <si>
    <t>Mismatch detail: MapId=1248 / FieldId=2636 not found in DB. Excel has Invalid Diag POA rule.</t>
  </si>
  <si>
    <t>Mismatch detail: MapId=1717 / FieldId=2636 not found in DB. Excel has Diag POA blank but Diag CodeQ not blank rule.</t>
  </si>
  <si>
    <t>Mismatch detail: MapId=258 / FieldId=2601 not found in DB. Excel has DX Code blank while later DX codes exist rule.</t>
  </si>
  <si>
    <t>Mismatch detail: Excel is missing FlagDescription=Admitting Diagnosis is blank but Admit Date is not, which exists in DB.</t>
  </si>
  <si>
    <t>Mismatch detail: MapId=1269 / FieldId=2637 not found in DB. Excel has Invalid Principal Procedure Code rule.</t>
  </si>
  <si>
    <t>Mismatch detail: MapId=1140 / FieldId=2638 not found in DB. Excel has Missing or Invalid Principal Procedure Date rule.</t>
  </si>
  <si>
    <t>Mismatch detail: MapId=1193 / FieldId=2638 not found in DB. Excel has Principal Procedure Date future-date rule.</t>
  </si>
  <si>
    <t>Mismatch detail: MapId=1270 / FieldId=2639 not found in DB. Excel has Invalid Other Procedure Code a rule.</t>
  </si>
  <si>
    <t>Mismatch detail: MapId=1141 / FieldId=2640 not found in DB. Excel has Invalid Other Procedure Date a rule.</t>
  </si>
  <si>
    <t>Mismatch detail: MapId=1194 / FieldId=2640 not found in DB. Excel has Other Procedure Date a future-date rule.</t>
  </si>
  <si>
    <t>Mismatch detail: MapId=1271 / FieldId=2641 not found in DB. Excel has Invalid Other Procedure Code b rule.</t>
  </si>
  <si>
    <t>Mismatch detail: MapId=1142 / FieldId=2642 not found in DB. Excel has Invalid Other Procedure Date b rule.</t>
  </si>
  <si>
    <t>Mismatch detail: MapId=1195 / FieldId=2642 not found in DB. Excel has Other Procedure Date b future-date rule.</t>
  </si>
  <si>
    <t>Mismatch detail: MapId=1272 / FieldId=2643 not found in DB. Excel has Invalid Other Procedure Code c rule.</t>
  </si>
  <si>
    <t>Mismatch detail: MapId=1143 / FieldId=2644 not found in DB. Excel has Invalid Other Procedure Date c rule.</t>
  </si>
  <si>
    <t>Mismatch detail: MapId=1196 / FieldId=2644 not found in DB. Excel has Other Procedure Date c future-date rule.</t>
  </si>
  <si>
    <t>Mismatch detail: MapId=1273 / FieldId=2645 not found in DB. Excel has Invalid Other Procedure Code d rule.</t>
  </si>
  <si>
    <t>Mismatch detail: MapId=1144 / FieldId=2646 not found in DB. Excel has Invalid Other Procedure Date d rule.</t>
  </si>
  <si>
    <t>Mismatch detail: MapId=1197 / FieldId=2646 not found in DB. Excel has Other Procedure Date d future-date rule.</t>
  </si>
  <si>
    <t>Mismatch detail: MapId=1274 / FieldId=2647 not found in DB. Excel has Invalid Other Procedure Code e rule.</t>
  </si>
  <si>
    <t>Mismatch detail: MapId=1145 / FieldId=2648 not found in DB. Excel has Missing or Invalid Principal Procedure Date rule.</t>
  </si>
  <si>
    <t>Mismatch detail: MapId=1198 / FieldId=2648 not found in DB. Excel has Other Procedure Date e future-date rule.</t>
  </si>
  <si>
    <t>Mismatch detail: MapId=2,864 / FieldId=2252 not found in DB. Excel has Attending Physician Last Name is too short rule.</t>
  </si>
  <si>
    <t>Mismatch detail: MapId=2,865 / FieldId=2253 not found in DB. Excel has Attending Physician First Name is too short rule.</t>
  </si>
  <si>
    <t>Mismatch detail: MapId=2,866 / FieldId=2257 not found in DB. Excel has Operating Physician Last Name is too short rule.</t>
  </si>
  <si>
    <t>Mismatch detail: MapId=2,867 / FieldId=2258 not found in DB. Excel has Operating Physician First Name is too short rule.</t>
  </si>
  <si>
    <t>Mismatch detail: MapId=2,868 / FieldId=2263 not found in DB. Excel has Other Physician 1 Last Name is too short rule.</t>
  </si>
  <si>
    <t>Mismatch detail: MapId=2,869 / FieldId=2264 not found in DB. Excel has Other Physician 1 First Name is too short rule.</t>
  </si>
  <si>
    <t>Mismatch detail: MapId=2,870 / FieldId=2269 not found in DB. Excel has Other Physician 2 Last Name is too short rule.</t>
  </si>
  <si>
    <t>Mismatch detail: MapId=2,871 / FieldId=2270 not found in DB. Excel has Other Physician 2 First Name is too short rule.</t>
  </si>
  <si>
    <t>Mismatch detail: MapId=1,607 / FieldId=2649 not found in DB. Excel has All Remark lines are blank rule.</t>
  </si>
  <si>
    <t>Changed As per DB</t>
  </si>
  <si>
    <t>Changed as per 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</si>
</sst>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8" x14ac:knownFonts="1">
    <font>
      <sz val="11"/>
      <color theme="1"/>
      <name val="Calibri"/>
      <family val="2"/>
      <scheme val="minor"/>
    </font>
    <font>
      <b/>
      <sz val="11"/>
      <color theme="0"/>
      <name val="Calibri"/>
      <family val="2"/>
      <scheme val="minor"/>
    </font>
    <font>
      <sz val="11"/>
      <name val="Calibri"/>
      <family val="2"/>
      <scheme val="minor"/>
    </font>
    <font>
      <sz val="11"/>
      <color rgb="FFFF0000"/>
      <name val="Calibri"/>
      <family val="2"/>
      <scheme val="minor"/>
    </font>
    <font>
      <sz val="11"/>
      <color theme="0"/>
      <name val="Calibri"/>
      <family val="2"/>
      <scheme val="minor"/>
    </font>
    <font>
      <sz val="8"/>
      <name val="Calibri"/>
      <family val="2"/>
      <scheme val="minor"/>
    </font>
    <font>
      <sz val="10"/>
      <color theme="1"/>
      <name val="Calibri"/>
      <family val="2"/>
      <scheme val="minor"/>
    </font>
    <font>
      <sz val="10"/>
      <color rgb="FFFF0000"/>
      <name val="Calibri"/>
      <family val="2"/>
      <scheme val="minor"/>
    </font>
    <font>
      <sz val="10"/>
      <name val="Calibri"/>
      <family val="2"/>
      <scheme val="minor"/>
    </font>
    <font>
      <sz val="11"/>
      <color theme="1"/>
      <name val="Calibri"/>
      <family val="2"/>
      <scheme val="minor"/>
    </font>
    <font>
      <sz val="9"/>
      <color theme="1"/>
      <name val="Calibri"/>
      <family val="2"/>
      <scheme val="minor"/>
    </font>
    <font>
      <b/>
      <sz val="11"/>
      <color theme="1"/>
      <name val="Calibri"/>
      <family val="2"/>
      <scheme val="minor"/>
    </font>
    <font>
      <sz val="11"/>
      <color theme="0" tint="-0.499984740745262"/>
      <name val="Calibri"/>
      <family val="2"/>
      <scheme val="minor"/>
    </font>
    <font>
      <sz val="11"/>
      <color theme="1"/>
      <name val="Calibri"/>
      <family val="2"/>
    </font>
    <font>
      <sz val="11"/>
      <color rgb="FF000000"/>
      <name val="Calibri"/>
      <family val="2"/>
    </font>
    <font>
      <sz val="11"/>
      <color rgb="FFFF0000"/>
      <name val="Calibri"/>
      <family val="2"/>
    </font>
    <font>
      <sz val="11"/>
      <name val="Calibri"/>
      <family val="2"/>
    </font>
    <font>
      <sz val="12"/>
      <name val="Calibri"/>
      <family val="2"/>
      <scheme val="minor"/>
    </font>
    <font>
      <b/>
      <sz val="11"/>
      <name val="Calibri"/>
      <family val="2"/>
      <scheme val="minor"/>
    </font>
    <font>
      <strike/>
      <sz val="11"/>
      <color theme="1"/>
      <name val="Calibri"/>
      <family val="2"/>
      <scheme val="minor"/>
    </font>
    <font>
      <sz val="9"/>
      <name val="Calibri"/>
      <family val="2"/>
      <scheme val="minor"/>
    </font>
    <font>
      <sz val="11"/>
      <color rgb="FFC00000"/>
      <name val="Calibri"/>
      <family val="2"/>
      <scheme val="minor"/>
    </font>
    <font>
      <sz val="9"/>
      <color rgb="FFC00000"/>
      <name val="Calibri"/>
      <family val="2"/>
      <scheme val="minor"/>
    </font>
    <font>
      <sz val="11"/>
      <color rgb="FF00B050"/>
      <name val="Calibri"/>
      <family val="2"/>
      <scheme val="minor"/>
    </font>
    <font>
      <sz val="9"/>
      <color rgb="FF00B050"/>
      <name val="Calibri"/>
      <family val="2"/>
      <scheme val="minor"/>
    </font>
    <font>
      <sz val="11"/>
      <color theme="4"/>
      <name val="Calibri"/>
      <family val="2"/>
      <scheme val="minor"/>
    </font>
    <font>
      <sz val="9"/>
      <color theme="4"/>
      <name val="Calibri"/>
      <family val="2"/>
      <scheme val="minor"/>
    </font>
    <font>
      <u/>
      <sz val="11"/>
      <color theme="10"/>
      <name val="Calibri"/>
      <family val="2"/>
      <scheme val="minor"/>
    </font>
  </fonts>
  <fills count="17">
    <fill>
      <patternFill patternType="none"/>
    </fill>
    <fill>
      <patternFill patternType="gray125"/>
    </fill>
    <fill>
      <patternFill patternType="solid">
        <fgColor theme="4" tint="-0.499984740745262"/>
        <bgColor indexed="64"/>
      </patternFill>
    </fill>
    <fill>
      <patternFill patternType="solid">
        <fgColor theme="8" tint="-0.499984740745262"/>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E2EFDA"/>
        <bgColor rgb="FF000000"/>
      </patternFill>
    </fill>
    <fill>
      <patternFill patternType="solid">
        <fgColor rgb="FFDDEBF7"/>
        <bgColor rgb="FF000000"/>
      </patternFill>
    </fill>
    <fill>
      <patternFill patternType="solid">
        <fgColor theme="9" tint="0.79998168889431442"/>
        <bgColor indexed="64"/>
      </patternFill>
    </fill>
    <fill>
      <patternFill patternType="solid">
        <fgColor theme="9" tint="-0.499984740745262"/>
        <bgColor indexed="64"/>
      </patternFill>
    </fill>
    <fill>
      <patternFill patternType="solid">
        <fgColor rgb="FFFFFF00"/>
        <bgColor indexed="64"/>
      </patternFill>
    </fill>
    <fill>
      <patternFill patternType="solid">
        <fgColor theme="0"/>
        <bgColor indexed="64"/>
      </patternFill>
    </fill>
  </fills>
  <borders count="44">
    <border>
      <left/>
      <right/>
      <top/>
      <bottom/>
      <diagonal/>
    </border>
    <border>
      <left/>
      <right style="thin">
        <color theme="0"/>
      </right>
      <top/>
      <bottom/>
      <diagonal/>
    </border>
    <border>
      <left style="thin">
        <color theme="0"/>
      </left>
      <right style="thin">
        <color theme="0"/>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6" tint="-0.249977111117893"/>
      </left>
      <right style="thin">
        <color theme="6" tint="-0.249977111117893"/>
      </right>
      <top style="thin">
        <color theme="6" tint="-0.249977111117893"/>
      </top>
      <bottom style="thin">
        <color theme="6" tint="-0.249977111117893"/>
      </bottom>
      <diagonal/>
    </border>
    <border>
      <left style="thin">
        <color indexed="64"/>
      </left>
      <right style="thin">
        <color indexed="64"/>
      </right>
      <top style="thin">
        <color indexed="64"/>
      </top>
      <bottom style="thin">
        <color indexed="64"/>
      </bottom>
      <diagonal/>
    </border>
    <border>
      <left style="thin">
        <color theme="6" tint="-0.249977111117893"/>
      </left>
      <right/>
      <top style="thin">
        <color theme="6" tint="-0.249977111117893"/>
      </top>
      <bottom style="thin">
        <color theme="6" tint="-0.249977111117893"/>
      </bottom>
      <diagonal/>
    </border>
    <border>
      <left/>
      <right style="thin">
        <color theme="6" tint="-0.249977111117893"/>
      </right>
      <top style="thin">
        <color theme="6" tint="-0.249977111117893"/>
      </top>
      <bottom style="thin">
        <color theme="6" tint="-0.249977111117893"/>
      </bottom>
      <diagonal/>
    </border>
    <border>
      <left style="thin">
        <color indexed="64"/>
      </left>
      <right style="thin">
        <color indexed="64"/>
      </right>
      <top/>
      <bottom style="thin">
        <color indexed="64"/>
      </bottom>
      <diagonal/>
    </border>
    <border>
      <left style="thin">
        <color theme="6" tint="-0.249977111117893"/>
      </left>
      <right style="thin">
        <color theme="6" tint="-0.249977111117893"/>
      </right>
      <top/>
      <bottom style="thin">
        <color theme="6" tint="-0.249977111117893"/>
      </bottom>
      <diagonal/>
    </border>
    <border>
      <left style="thin">
        <color theme="6" tint="-0.249977111117893"/>
      </left>
      <right style="thin">
        <color theme="6" tint="-0.249977111117893"/>
      </right>
      <top style="thin">
        <color theme="6" tint="-0.249977111117893"/>
      </top>
      <bottom/>
      <diagonal/>
    </border>
    <border>
      <left style="thin">
        <color theme="6" tint="-0.249977111117893"/>
      </left>
      <right style="thin">
        <color theme="6" tint="-0.249977111117893"/>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6" tint="-0.249977111117893"/>
      </top>
      <bottom style="thin">
        <color theme="6" tint="-0.249977111117893"/>
      </bottom>
      <diagonal/>
    </border>
    <border>
      <left style="thin">
        <color theme="0" tint="-0.34998626667073579"/>
      </left>
      <right style="thin">
        <color theme="0" tint="-0.34998626667073579"/>
      </right>
      <top style="thin">
        <color theme="0" tint="-0.34998626667073579"/>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indexed="64"/>
      </left>
      <right style="thin">
        <color indexed="64"/>
      </right>
      <top style="thin">
        <color indexed="64"/>
      </top>
      <bottom/>
      <diagonal/>
    </border>
    <border>
      <left/>
      <right style="thin">
        <color theme="6" tint="-0.249977111117893"/>
      </right>
      <top style="thin">
        <color theme="6" tint="-0.249977111117893"/>
      </top>
      <bottom/>
      <diagonal/>
    </border>
    <border>
      <left/>
      <right style="thin">
        <color theme="6" tint="-0.249977111117893"/>
      </right>
      <top/>
      <bottom style="thin">
        <color theme="6" tint="-0.249977111117893"/>
      </bottom>
      <diagonal/>
    </border>
    <border>
      <left/>
      <right style="thin">
        <color theme="2" tint="-0.249977111117893"/>
      </right>
      <top style="thin">
        <color theme="2" tint="-0.249977111117893"/>
      </top>
      <bottom style="thin">
        <color theme="2" tint="-0.249977111117893"/>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style="thin">
        <color theme="0" tint="-0.499984740745262"/>
      </left>
      <right style="thin">
        <color theme="0" tint="-0.499984740745262"/>
      </right>
      <top style="thin">
        <color theme="0" tint="-0.499984740745262"/>
      </top>
      <bottom/>
      <diagonal/>
    </border>
    <border>
      <left style="thin">
        <color theme="0" tint="-0.34998626667073579"/>
      </left>
      <right style="thin">
        <color theme="0" tint="-0.34998626667073579"/>
      </right>
      <top/>
      <bottom style="thin">
        <color theme="0" tint="-0.34998626667073579"/>
      </bottom>
      <diagonal/>
    </border>
    <border>
      <left style="thin">
        <color theme="0" tint="-0.499984740745262"/>
      </left>
      <right style="thin">
        <color theme="0" tint="-0.499984740745262"/>
      </right>
      <top/>
      <bottom style="thin">
        <color theme="0" tint="-0.499984740745262"/>
      </bottom>
      <diagonal/>
    </border>
    <border>
      <left style="thin">
        <color theme="0" tint="-0.34998626667073579"/>
      </left>
      <right style="thin">
        <color theme="0" tint="-0.34998626667073579"/>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thin">
        <color theme="0" tint="-0.34998626667073579"/>
      </left>
      <right/>
      <top/>
      <bottom style="thin">
        <color theme="0" tint="-0.34998626667073579"/>
      </bottom>
      <diagonal/>
    </border>
    <border>
      <left style="thin">
        <color theme="0" tint="-0.34998626667073579"/>
      </left>
      <right/>
      <top/>
      <bottom/>
      <diagonal/>
    </border>
    <border>
      <left style="thin">
        <color theme="2" tint="-0.249977111117893"/>
      </left>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thin">
        <color rgb="FF808080"/>
      </left>
      <right style="thin">
        <color rgb="FF808080"/>
      </right>
      <top/>
      <bottom style="thin">
        <color rgb="FF808080"/>
      </bottom>
      <diagonal/>
    </border>
    <border>
      <left/>
      <right style="thin">
        <color rgb="FF808080"/>
      </right>
      <top/>
      <bottom style="thin">
        <color rgb="FF808080"/>
      </bottom>
      <diagonal/>
    </border>
    <border>
      <left style="thin">
        <color rgb="FFA6A6A6"/>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
      <left/>
      <right style="thin">
        <color rgb="FF808080"/>
      </right>
      <top style="thin">
        <color rgb="FF808080"/>
      </top>
      <bottom style="thin">
        <color rgb="FF808080"/>
      </bottom>
      <diagonal/>
    </border>
    <border>
      <left style="thin">
        <color rgb="FFA6A6A6"/>
      </left>
      <right style="thin">
        <color rgb="FFA6A6A6"/>
      </right>
      <top/>
      <bottom style="thin">
        <color rgb="FFA6A6A6"/>
      </bottom>
      <diagonal/>
    </border>
    <border>
      <left/>
      <right style="thin">
        <color rgb="FFA6A6A6"/>
      </right>
      <top/>
      <bottom style="thin">
        <color rgb="FFA6A6A6"/>
      </bottom>
      <diagonal/>
    </border>
    <border>
      <left style="thin">
        <color rgb="FF808080"/>
      </left>
      <right style="thin">
        <color rgb="FF808080"/>
      </right>
      <top style="thin">
        <color rgb="FF808080"/>
      </top>
      <bottom style="thin">
        <color rgb="FF808080"/>
      </bottom>
      <diagonal/>
    </border>
    <border>
      <left style="thin">
        <color theme="0"/>
      </left>
      <right/>
      <top/>
      <bottom/>
      <diagonal/>
    </border>
    <border>
      <left style="thin">
        <color theme="0" tint="-0.499984740745262"/>
      </left>
      <right style="thin">
        <color theme="0" tint="-0.499984740745262"/>
      </right>
      <top/>
      <bottom/>
      <diagonal/>
    </border>
  </borders>
  <cellStyleXfs count="3">
    <xf numFmtId="0" fontId="0" fillId="0" borderId="0"/>
    <xf numFmtId="43" fontId="9" fillId="0" borderId="0" applyFont="0" applyFill="0" applyBorder="0" applyAlignment="0" applyProtection="0"/>
    <xf numFmtId="0" fontId="27" fillId="0" borderId="0" applyNumberFormat="0" applyFill="0" applyBorder="0" applyAlignment="0" applyProtection="0"/>
  </cellStyleXfs>
  <cellXfs count="439">
    <xf numFmtId="0" fontId="0" fillId="0" borderId="0" xfId="0"/>
    <xf numFmtId="0" fontId="1" fillId="2"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xf>
    <xf numFmtId="49" fontId="1" fillId="2" borderId="2" xfId="0" applyNumberFormat="1" applyFont="1" applyFill="1" applyBorder="1" applyAlignment="1">
      <alignment horizontal="center" vertical="center" wrapText="1"/>
    </xf>
    <xf numFmtId="0" fontId="0" fillId="0" borderId="0" xfId="0" applyAlignment="1">
      <alignment vertical="center" wrapText="1"/>
    </xf>
    <xf numFmtId="0" fontId="4" fillId="3" borderId="1" xfId="0" applyFont="1" applyFill="1" applyBorder="1" applyAlignment="1">
      <alignment vertical="center" wrapText="1"/>
    </xf>
    <xf numFmtId="0" fontId="0" fillId="0" borderId="4" xfId="0" applyBorder="1"/>
    <xf numFmtId="0" fontId="0" fillId="0" borderId="4" xfId="0" applyBorder="1" applyAlignment="1">
      <alignment vertical="center"/>
    </xf>
    <xf numFmtId="0" fontId="0" fillId="0" borderId="4" xfId="0" applyBorder="1" applyAlignment="1">
      <alignment vertical="center" wrapText="1"/>
    </xf>
    <xf numFmtId="0" fontId="3" fillId="0" borderId="4" xfId="0" applyFont="1" applyBorder="1" applyAlignment="1">
      <alignment vertical="center"/>
    </xf>
    <xf numFmtId="0" fontId="2" fillId="0" borderId="4" xfId="0" applyFont="1" applyBorder="1" applyAlignment="1">
      <alignment vertical="center"/>
    </xf>
    <xf numFmtId="0" fontId="3" fillId="0" borderId="4" xfId="0" applyFont="1" applyBorder="1"/>
    <xf numFmtId="0" fontId="2" fillId="0" borderId="4" xfId="0" applyFont="1" applyBorder="1"/>
    <xf numFmtId="0" fontId="0" fillId="0" borderId="6" xfId="0" applyBorder="1"/>
    <xf numFmtId="0" fontId="0" fillId="0" borderId="7" xfId="0" applyBorder="1" applyAlignment="1">
      <alignment vertical="center"/>
    </xf>
    <xf numFmtId="0" fontId="6" fillId="0" borderId="5" xfId="0" applyFont="1" applyBorder="1" applyAlignment="1">
      <alignment horizontal="left" vertical="center" wrapText="1"/>
    </xf>
    <xf numFmtId="0" fontId="0" fillId="0" borderId="6" xfId="0" applyBorder="1" applyAlignment="1">
      <alignment vertical="center"/>
    </xf>
    <xf numFmtId="0" fontId="0" fillId="0" borderId="7" xfId="0" applyBorder="1"/>
    <xf numFmtId="0" fontId="0" fillId="0" borderId="0" xfId="0" applyAlignment="1">
      <alignment wrapText="1"/>
    </xf>
    <xf numFmtId="49" fontId="0" fillId="0" borderId="0" xfId="0" applyNumberFormat="1" applyAlignment="1">
      <alignment vertical="center" wrapText="1"/>
    </xf>
    <xf numFmtId="0" fontId="0" fillId="0" borderId="0" xfId="0" applyAlignment="1">
      <alignment horizontal="center" vertical="center"/>
    </xf>
    <xf numFmtId="49" fontId="0" fillId="0" borderId="0" xfId="0" applyNumberFormat="1" applyAlignment="1">
      <alignment horizontal="center" vertical="center"/>
    </xf>
    <xf numFmtId="0" fontId="0" fillId="0" borderId="3" xfId="0" applyBorder="1" applyAlignment="1">
      <alignment horizontal="center" vertical="center"/>
    </xf>
    <xf numFmtId="49" fontId="0" fillId="0" borderId="3" xfId="0" applyNumberFormat="1" applyBorder="1" applyAlignment="1">
      <alignment horizontal="center" vertical="center"/>
    </xf>
    <xf numFmtId="49" fontId="0" fillId="0" borderId="3" xfId="0" applyNumberFormat="1" applyBorder="1" applyAlignment="1">
      <alignment vertical="center" wrapText="1"/>
    </xf>
    <xf numFmtId="0" fontId="2" fillId="0" borderId="3" xfId="0" applyFont="1" applyBorder="1" applyAlignment="1">
      <alignment vertical="center"/>
    </xf>
    <xf numFmtId="0" fontId="2" fillId="0" borderId="3" xfId="0" applyFont="1" applyBorder="1" applyAlignment="1">
      <alignment vertical="center" wrapText="1"/>
    </xf>
    <xf numFmtId="0" fontId="4" fillId="3" borderId="2" xfId="0" applyFont="1" applyFill="1" applyBorder="1" applyAlignment="1">
      <alignment vertical="center" wrapText="1"/>
    </xf>
    <xf numFmtId="0" fontId="4" fillId="3" borderId="0" xfId="0" applyFont="1" applyFill="1" applyAlignment="1">
      <alignment vertical="center" wrapText="1"/>
    </xf>
    <xf numFmtId="0" fontId="7" fillId="0" borderId="5" xfId="0" applyFont="1" applyBorder="1" applyAlignment="1">
      <alignment horizontal="left" vertical="center" wrapText="1"/>
    </xf>
    <xf numFmtId="0" fontId="3" fillId="0" borderId="0" xfId="0" applyFont="1"/>
    <xf numFmtId="0" fontId="6" fillId="0" borderId="0" xfId="0" applyFont="1"/>
    <xf numFmtId="0" fontId="3" fillId="0" borderId="7" xfId="0" applyFont="1" applyBorder="1" applyAlignment="1">
      <alignment vertical="center"/>
    </xf>
    <xf numFmtId="164" fontId="4" fillId="3" borderId="1" xfId="1" applyNumberFormat="1" applyFont="1" applyFill="1" applyBorder="1" applyAlignment="1">
      <alignment vertical="center" wrapText="1"/>
    </xf>
    <xf numFmtId="164" fontId="0" fillId="0" borderId="4" xfId="1" applyNumberFormat="1" applyFont="1" applyFill="1" applyBorder="1" applyAlignment="1">
      <alignment vertical="center"/>
    </xf>
    <xf numFmtId="164" fontId="0" fillId="0" borderId="0" xfId="1" applyNumberFormat="1" applyFont="1" applyBorder="1" applyAlignment="1">
      <alignment vertical="center"/>
    </xf>
    <xf numFmtId="164" fontId="0" fillId="0" borderId="0" xfId="1" applyNumberFormat="1" applyFont="1" applyAlignment="1">
      <alignment vertical="center"/>
    </xf>
    <xf numFmtId="0" fontId="0" fillId="0" borderId="7" xfId="0" applyBorder="1" applyAlignment="1">
      <alignment vertical="center" wrapText="1"/>
    </xf>
    <xf numFmtId="164" fontId="0" fillId="5" borderId="4" xfId="1" applyNumberFormat="1" applyFont="1" applyFill="1" applyBorder="1" applyAlignment="1">
      <alignment vertical="center"/>
    </xf>
    <xf numFmtId="0" fontId="0" fillId="5" borderId="4" xfId="0" applyFill="1" applyBorder="1" applyAlignment="1">
      <alignment vertical="center"/>
    </xf>
    <xf numFmtId="0" fontId="6" fillId="5" borderId="5" xfId="0" applyFont="1" applyFill="1" applyBorder="1" applyAlignment="1">
      <alignment horizontal="left" vertical="center" wrapText="1"/>
    </xf>
    <xf numFmtId="0" fontId="0" fillId="5" borderId="7" xfId="0" applyFill="1" applyBorder="1" applyAlignment="1">
      <alignment vertical="center"/>
    </xf>
    <xf numFmtId="0" fontId="0" fillId="5" borderId="7" xfId="0" applyFill="1" applyBorder="1" applyAlignment="1">
      <alignment vertical="center" wrapText="1"/>
    </xf>
    <xf numFmtId="0" fontId="0" fillId="5" borderId="0" xfId="0" applyFill="1" applyAlignment="1">
      <alignment vertical="center"/>
    </xf>
    <xf numFmtId="0" fontId="4" fillId="2" borderId="1" xfId="0" applyFont="1" applyFill="1" applyBorder="1" applyAlignment="1">
      <alignment horizontal="center" vertical="center" wrapText="1"/>
    </xf>
    <xf numFmtId="49" fontId="4" fillId="2" borderId="2" xfId="0" applyNumberFormat="1" applyFont="1" applyFill="1" applyBorder="1" applyAlignment="1">
      <alignment horizontal="center" vertical="center" wrapText="1"/>
    </xf>
    <xf numFmtId="0" fontId="0" fillId="0" borderId="3" xfId="0" applyBorder="1" applyAlignment="1">
      <alignment vertical="center" wrapText="1"/>
    </xf>
    <xf numFmtId="164" fontId="0" fillId="6" borderId="4" xfId="1" applyNumberFormat="1" applyFont="1" applyFill="1" applyBorder="1" applyAlignment="1">
      <alignment vertical="center"/>
    </xf>
    <xf numFmtId="0" fontId="0" fillId="6" borderId="4" xfId="0" applyFill="1" applyBorder="1" applyAlignment="1">
      <alignment vertical="center"/>
    </xf>
    <xf numFmtId="0" fontId="7" fillId="6" borderId="5" xfId="0" applyFont="1" applyFill="1" applyBorder="1" applyAlignment="1">
      <alignment horizontal="left" vertical="center" wrapText="1"/>
    </xf>
    <xf numFmtId="0" fontId="0" fillId="6" borderId="7" xfId="0" applyFill="1" applyBorder="1" applyAlignment="1">
      <alignment vertical="center"/>
    </xf>
    <xf numFmtId="0" fontId="0" fillId="6" borderId="7" xfId="0" applyFill="1" applyBorder="1" applyAlignment="1">
      <alignment vertical="center" wrapText="1"/>
    </xf>
    <xf numFmtId="49" fontId="4" fillId="3" borderId="2" xfId="0" applyNumberFormat="1" applyFont="1" applyFill="1" applyBorder="1" applyAlignment="1">
      <alignment vertical="center" wrapText="1"/>
    </xf>
    <xf numFmtId="0" fontId="4" fillId="3" borderId="2" xfId="0" applyFont="1" applyFill="1" applyBorder="1" applyAlignment="1">
      <alignment horizontal="center" vertical="center" wrapText="1"/>
    </xf>
    <xf numFmtId="0" fontId="0" fillId="0" borderId="5" xfId="0" applyBorder="1"/>
    <xf numFmtId="0" fontId="4" fillId="3" borderId="1" xfId="0" applyFont="1" applyFill="1" applyBorder="1" applyAlignment="1">
      <alignment horizontal="center" vertical="center" wrapText="1"/>
    </xf>
    <xf numFmtId="0" fontId="0" fillId="0" borderId="5" xfId="0" applyBorder="1" applyAlignment="1">
      <alignment horizontal="center" vertical="center"/>
    </xf>
    <xf numFmtId="0" fontId="0" fillId="0" borderId="5" xfId="0" applyBorder="1" applyAlignment="1">
      <alignment vertical="center"/>
    </xf>
    <xf numFmtId="49" fontId="0" fillId="0" borderId="5" xfId="0" applyNumberFormat="1" applyBorder="1" applyAlignment="1">
      <alignment vertical="center"/>
    </xf>
    <xf numFmtId="0" fontId="0" fillId="0" borderId="5" xfId="0" applyBorder="1" applyAlignment="1">
      <alignment vertical="center" wrapText="1"/>
    </xf>
    <xf numFmtId="49" fontId="0" fillId="0" borderId="0" xfId="0" applyNumberFormat="1" applyAlignment="1">
      <alignment vertical="center"/>
    </xf>
    <xf numFmtId="49" fontId="3" fillId="0" borderId="5" xfId="0" applyNumberFormat="1" applyFont="1" applyBorder="1" applyAlignment="1">
      <alignment vertical="center"/>
    </xf>
    <xf numFmtId="0" fontId="10" fillId="0" borderId="5" xfId="0" applyFont="1" applyBorder="1" applyAlignment="1">
      <alignment vertical="center"/>
    </xf>
    <xf numFmtId="0" fontId="10" fillId="0" borderId="0" xfId="0" applyFont="1" applyAlignment="1">
      <alignment vertical="center"/>
    </xf>
    <xf numFmtId="164" fontId="4" fillId="2" borderId="1" xfId="1" applyNumberFormat="1" applyFont="1" applyFill="1" applyBorder="1" applyAlignment="1">
      <alignment horizontal="center" vertical="center" wrapText="1"/>
    </xf>
    <xf numFmtId="164" fontId="0" fillId="0" borderId="3" xfId="1" applyNumberFormat="1" applyFont="1" applyFill="1" applyBorder="1" applyAlignment="1">
      <alignment horizontal="center" vertical="center"/>
    </xf>
    <xf numFmtId="164" fontId="0" fillId="0" borderId="0" xfId="1" applyNumberFormat="1" applyFont="1" applyAlignment="1">
      <alignment horizontal="center" vertical="center"/>
    </xf>
    <xf numFmtId="49" fontId="1" fillId="2" borderId="2" xfId="0" applyNumberFormat="1" applyFont="1" applyFill="1" applyBorder="1" applyAlignment="1">
      <alignment horizontal="left" vertical="center" wrapText="1"/>
    </xf>
    <xf numFmtId="164" fontId="1" fillId="2" borderId="2" xfId="1" applyNumberFormat="1" applyFont="1" applyFill="1" applyBorder="1" applyAlignment="1">
      <alignment horizontal="center" vertical="center" wrapText="1"/>
    </xf>
    <xf numFmtId="49" fontId="1" fillId="2" borderId="0" xfId="0" applyNumberFormat="1" applyFont="1" applyFill="1" applyAlignment="1">
      <alignment horizontal="left" vertical="center" wrapText="1"/>
    </xf>
    <xf numFmtId="0" fontId="0" fillId="0" borderId="0" xfId="0"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xf>
    <xf numFmtId="0" fontId="0" fillId="0" borderId="12" xfId="0" applyBorder="1" applyAlignment="1">
      <alignment vertical="center" wrapText="1"/>
    </xf>
    <xf numFmtId="0" fontId="0" fillId="0" borderId="0" xfId="0" applyAlignment="1">
      <alignment horizontal="left" vertical="center" wrapText="1"/>
    </xf>
    <xf numFmtId="0" fontId="2" fillId="0" borderId="12" xfId="0" applyFont="1" applyBorder="1" applyAlignment="1">
      <alignment vertical="center"/>
    </xf>
    <xf numFmtId="0" fontId="2" fillId="0" borderId="5" xfId="0" applyFont="1" applyBorder="1" applyAlignment="1">
      <alignment vertical="center"/>
    </xf>
    <xf numFmtId="0" fontId="3" fillId="0" borderId="5" xfId="0" applyFont="1" applyBorder="1" applyAlignment="1">
      <alignment vertical="center"/>
    </xf>
    <xf numFmtId="0" fontId="0" fillId="5" borderId="5" xfId="0" applyFill="1" applyBorder="1" applyAlignment="1">
      <alignment horizontal="center" vertical="center"/>
    </xf>
    <xf numFmtId="0" fontId="0" fillId="5" borderId="5" xfId="0" applyFill="1" applyBorder="1" applyAlignment="1">
      <alignment vertical="center"/>
    </xf>
    <xf numFmtId="49" fontId="0" fillId="5" borderId="5" xfId="0" applyNumberFormat="1" applyFill="1" applyBorder="1" applyAlignment="1">
      <alignment vertical="center"/>
    </xf>
    <xf numFmtId="0" fontId="0" fillId="5" borderId="5" xfId="0" applyFill="1" applyBorder="1" applyAlignment="1">
      <alignment vertical="center" wrapText="1"/>
    </xf>
    <xf numFmtId="0" fontId="0" fillId="5" borderId="5" xfId="0" applyFill="1" applyBorder="1"/>
    <xf numFmtId="0" fontId="10" fillId="5" borderId="5" xfId="0" applyFont="1" applyFill="1" applyBorder="1" applyAlignment="1">
      <alignment vertical="center"/>
    </xf>
    <xf numFmtId="164" fontId="1" fillId="2" borderId="1" xfId="1" applyNumberFormat="1" applyFont="1" applyFill="1" applyBorder="1" applyAlignment="1">
      <alignment horizontal="center" vertical="center" wrapText="1"/>
    </xf>
    <xf numFmtId="0" fontId="0" fillId="5" borderId="0" xfId="0" applyFill="1" applyAlignment="1">
      <alignment vertical="center" wrapText="1"/>
    </xf>
    <xf numFmtId="0" fontId="0" fillId="5" borderId="0" xfId="0" applyFill="1" applyAlignment="1">
      <alignment horizontal="center" vertical="center"/>
    </xf>
    <xf numFmtId="164" fontId="0" fillId="5" borderId="0" xfId="1" applyNumberFormat="1" applyFont="1" applyFill="1" applyAlignment="1">
      <alignment horizontal="center" vertical="center"/>
    </xf>
    <xf numFmtId="0" fontId="0" fillId="5" borderId="0" xfId="0" applyFill="1" applyAlignment="1">
      <alignment horizontal="center" vertical="center" wrapText="1"/>
    </xf>
    <xf numFmtId="0" fontId="0" fillId="5" borderId="0" xfId="0" applyFill="1" applyAlignment="1">
      <alignment horizontal="left" vertical="center" wrapText="1"/>
    </xf>
    <xf numFmtId="0" fontId="0" fillId="0" borderId="12" xfId="0" applyBorder="1" applyAlignment="1">
      <alignment horizontal="left" vertical="center" wrapText="1"/>
    </xf>
    <xf numFmtId="0" fontId="2" fillId="0" borderId="12" xfId="0" applyFont="1" applyBorder="1" applyAlignment="1">
      <alignment horizontal="left" vertical="center" wrapText="1"/>
    </xf>
    <xf numFmtId="0" fontId="2" fillId="0" borderId="12" xfId="0" applyFont="1"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vertical="center" wrapText="1"/>
    </xf>
    <xf numFmtId="0" fontId="2" fillId="0" borderId="14" xfId="0" applyFont="1" applyBorder="1" applyAlignment="1">
      <alignment horizontal="center" vertical="center"/>
    </xf>
    <xf numFmtId="0" fontId="8" fillId="0" borderId="5" xfId="0" applyFont="1" applyBorder="1" applyAlignment="1">
      <alignment horizontal="left" vertical="center" wrapText="1"/>
    </xf>
    <xf numFmtId="0" fontId="0" fillId="0" borderId="13" xfId="0" applyBorder="1" applyAlignment="1">
      <alignment vertical="center" wrapText="1"/>
    </xf>
    <xf numFmtId="0" fontId="3" fillId="0" borderId="0" xfId="0" applyFont="1" applyAlignment="1">
      <alignment vertical="center"/>
    </xf>
    <xf numFmtId="0" fontId="6" fillId="0" borderId="0" xfId="0" applyFont="1" applyAlignment="1">
      <alignment wrapText="1"/>
    </xf>
    <xf numFmtId="0" fontId="2" fillId="0" borderId="7" xfId="0" applyFont="1" applyBorder="1" applyAlignment="1">
      <alignment vertical="center"/>
    </xf>
    <xf numFmtId="0" fontId="2" fillId="0" borderId="7" xfId="0" applyFont="1" applyBorder="1" applyAlignment="1">
      <alignment vertical="center" wrapText="1"/>
    </xf>
    <xf numFmtId="0" fontId="3" fillId="0" borderId="6" xfId="0" applyFont="1" applyBorder="1" applyAlignment="1">
      <alignment vertical="center"/>
    </xf>
    <xf numFmtId="0" fontId="3" fillId="0" borderId="10" xfId="0" applyFont="1" applyBorder="1" applyAlignment="1">
      <alignment vertical="center"/>
    </xf>
    <xf numFmtId="0" fontId="7" fillId="0" borderId="16" xfId="0" applyFont="1" applyBorder="1" applyAlignment="1">
      <alignment horizontal="left" vertical="center" wrapText="1"/>
    </xf>
    <xf numFmtId="0" fontId="0" fillId="0" borderId="9" xfId="0" applyBorder="1" applyAlignment="1">
      <alignment vertical="center"/>
    </xf>
    <xf numFmtId="0" fontId="8" fillId="0" borderId="8" xfId="0" applyFont="1" applyBorder="1" applyAlignment="1">
      <alignment horizontal="left" vertical="center" wrapText="1"/>
    </xf>
    <xf numFmtId="164" fontId="0" fillId="0" borderId="10" xfId="1" applyNumberFormat="1" applyFont="1" applyFill="1" applyBorder="1" applyAlignment="1">
      <alignment vertical="center"/>
    </xf>
    <xf numFmtId="0" fontId="0" fillId="0" borderId="10" xfId="0" applyBorder="1" applyAlignment="1">
      <alignment vertical="center"/>
    </xf>
    <xf numFmtId="0" fontId="8" fillId="0" borderId="16" xfId="0" applyFont="1" applyBorder="1" applyAlignment="1">
      <alignment horizontal="left" vertical="center" wrapText="1"/>
    </xf>
    <xf numFmtId="0" fontId="0" fillId="0" borderId="17" xfId="0" applyBorder="1" applyAlignment="1">
      <alignment vertical="center"/>
    </xf>
    <xf numFmtId="0" fontId="0" fillId="0" borderId="17" xfId="0" applyBorder="1" applyAlignment="1">
      <alignment vertical="center" wrapText="1"/>
    </xf>
    <xf numFmtId="164" fontId="0" fillId="0" borderId="9" xfId="1" applyNumberFormat="1" applyFont="1" applyFill="1" applyBorder="1" applyAlignment="1">
      <alignment vertical="center"/>
    </xf>
    <xf numFmtId="0" fontId="0" fillId="0" borderId="18" xfId="0" applyBorder="1" applyAlignment="1">
      <alignment vertical="center"/>
    </xf>
    <xf numFmtId="0" fontId="0" fillId="0" borderId="18" xfId="0" applyBorder="1" applyAlignment="1">
      <alignment vertical="center" wrapText="1"/>
    </xf>
    <xf numFmtId="164" fontId="0" fillId="0" borderId="5" xfId="1" applyNumberFormat="1" applyFont="1" applyBorder="1" applyAlignment="1">
      <alignment vertical="center"/>
    </xf>
    <xf numFmtId="0" fontId="2" fillId="0" borderId="10" xfId="0" applyFont="1" applyBorder="1" applyAlignment="1">
      <alignment vertical="center"/>
    </xf>
    <xf numFmtId="164" fontId="0" fillId="0" borderId="5" xfId="1" applyNumberFormat="1" applyFont="1" applyFill="1" applyBorder="1" applyAlignment="1">
      <alignment vertical="center"/>
    </xf>
    <xf numFmtId="0" fontId="0" fillId="0" borderId="12" xfId="0" applyBorder="1" applyAlignment="1">
      <alignment horizontal="center" vertical="center" wrapText="1"/>
    </xf>
    <xf numFmtId="0" fontId="0" fillId="7" borderId="0" xfId="0" applyFill="1" applyAlignment="1">
      <alignment vertical="center" wrapText="1"/>
    </xf>
    <xf numFmtId="0" fontId="0" fillId="7" borderId="12" xfId="0" applyFill="1" applyBorder="1" applyAlignment="1">
      <alignment horizontal="center" vertical="center"/>
    </xf>
    <xf numFmtId="0" fontId="0" fillId="7" borderId="12" xfId="0" applyFill="1" applyBorder="1" applyAlignment="1">
      <alignment vertical="center" wrapText="1"/>
    </xf>
    <xf numFmtId="49" fontId="0" fillId="7" borderId="12" xfId="0" applyNumberFormat="1" applyFill="1" applyBorder="1" applyAlignment="1">
      <alignment horizontal="center" vertical="center"/>
    </xf>
    <xf numFmtId="49" fontId="0" fillId="7" borderId="12" xfId="0" applyNumberFormat="1" applyFill="1" applyBorder="1" applyAlignment="1">
      <alignment vertical="center" wrapText="1"/>
    </xf>
    <xf numFmtId="164" fontId="0" fillId="0" borderId="12" xfId="1" applyNumberFormat="1" applyFont="1" applyBorder="1" applyAlignment="1">
      <alignment horizontal="center" vertical="center"/>
    </xf>
    <xf numFmtId="164" fontId="0" fillId="0" borderId="12" xfId="1" applyNumberFormat="1" applyFont="1" applyFill="1" applyBorder="1" applyAlignment="1">
      <alignment horizontal="center" vertical="center"/>
    </xf>
    <xf numFmtId="0" fontId="0" fillId="4" borderId="5" xfId="0" applyFill="1" applyBorder="1" applyAlignment="1">
      <alignment vertical="center" wrapText="1"/>
    </xf>
    <xf numFmtId="164" fontId="0" fillId="0" borderId="0" xfId="1" applyNumberFormat="1" applyFont="1" applyFill="1" applyAlignment="1">
      <alignment horizontal="center" vertical="center"/>
    </xf>
    <xf numFmtId="0" fontId="0" fillId="0" borderId="20" xfId="0" applyBorder="1" applyAlignment="1">
      <alignment vertical="center" wrapText="1"/>
    </xf>
    <xf numFmtId="0" fontId="0" fillId="6" borderId="3" xfId="0" applyFill="1" applyBorder="1" applyAlignment="1">
      <alignment horizontal="center" vertical="center"/>
    </xf>
    <xf numFmtId="0" fontId="0" fillId="0" borderId="14" xfId="0" applyBorder="1" applyAlignment="1">
      <alignment horizontal="center" vertical="center" wrapText="1"/>
    </xf>
    <xf numFmtId="0" fontId="0" fillId="0" borderId="21" xfId="0" applyBorder="1" applyAlignment="1">
      <alignment vertical="center" wrapText="1"/>
    </xf>
    <xf numFmtId="0" fontId="0" fillId="0" borderId="3" xfId="0" applyBorder="1" applyAlignment="1">
      <alignment horizontal="center" vertical="center" wrapText="1"/>
    </xf>
    <xf numFmtId="0" fontId="0" fillId="0" borderId="22" xfId="0" applyBorder="1" applyAlignment="1">
      <alignment horizontal="center" vertical="center"/>
    </xf>
    <xf numFmtId="0" fontId="0" fillId="0" borderId="22" xfId="0" applyBorder="1" applyAlignment="1">
      <alignment vertical="center" wrapText="1"/>
    </xf>
    <xf numFmtId="0" fontId="0" fillId="0" borderId="22" xfId="0" applyBorder="1" applyAlignment="1">
      <alignment horizontal="center" vertical="center" wrapText="1"/>
    </xf>
    <xf numFmtId="0" fontId="0" fillId="0" borderId="23" xfId="0" applyBorder="1" applyAlignment="1">
      <alignment horizontal="center" vertical="center"/>
    </xf>
    <xf numFmtId="0" fontId="0" fillId="0" borderId="23" xfId="0" applyBorder="1" applyAlignment="1">
      <alignment vertical="center" wrapText="1"/>
    </xf>
    <xf numFmtId="0" fontId="0" fillId="0" borderId="23" xfId="0" applyBorder="1" applyAlignment="1">
      <alignment horizontal="center" vertical="center" wrapText="1"/>
    </xf>
    <xf numFmtId="0" fontId="0" fillId="4" borderId="3" xfId="0" applyFill="1" applyBorder="1" applyAlignment="1">
      <alignment horizontal="center" vertical="center"/>
    </xf>
    <xf numFmtId="0" fontId="0" fillId="0" borderId="24" xfId="0" applyBorder="1" applyAlignment="1">
      <alignment horizontal="center" vertical="center"/>
    </xf>
    <xf numFmtId="0" fontId="0" fillId="0" borderId="24" xfId="0" applyBorder="1" applyAlignment="1">
      <alignment vertical="center" wrapText="1"/>
    </xf>
    <xf numFmtId="0" fontId="0" fillId="0" borderId="24" xfId="0" applyBorder="1" applyAlignment="1">
      <alignment horizontal="center" vertical="center" wrapText="1"/>
    </xf>
    <xf numFmtId="0" fontId="0" fillId="0" borderId="25" xfId="0" applyBorder="1" applyAlignment="1">
      <alignment horizontal="center" vertical="center"/>
    </xf>
    <xf numFmtId="0" fontId="0" fillId="0" borderId="25" xfId="0" applyBorder="1" applyAlignment="1">
      <alignment vertical="center" wrapText="1"/>
    </xf>
    <xf numFmtId="0" fontId="0" fillId="0" borderId="25" xfId="0" applyBorder="1" applyAlignment="1">
      <alignment horizontal="center" vertical="center" wrapText="1"/>
    </xf>
    <xf numFmtId="0" fontId="0" fillId="0" borderId="3" xfId="0" applyBorder="1" applyAlignment="1">
      <alignment vertical="center"/>
    </xf>
    <xf numFmtId="0" fontId="0" fillId="7" borderId="14" xfId="0" applyFill="1" applyBorder="1" applyAlignment="1">
      <alignment horizontal="center" vertical="center"/>
    </xf>
    <xf numFmtId="0" fontId="0" fillId="7" borderId="14" xfId="0" applyFill="1" applyBorder="1" applyAlignment="1">
      <alignment vertical="center" wrapText="1"/>
    </xf>
    <xf numFmtId="0" fontId="0" fillId="7" borderId="14" xfId="0" applyFill="1" applyBorder="1" applyAlignment="1">
      <alignment horizontal="center" vertical="center" wrapText="1"/>
    </xf>
    <xf numFmtId="0" fontId="0" fillId="7" borderId="23" xfId="0" applyFill="1" applyBorder="1" applyAlignment="1">
      <alignment horizontal="center" vertical="center"/>
    </xf>
    <xf numFmtId="0" fontId="0" fillId="7" borderId="23" xfId="0" applyFill="1" applyBorder="1" applyAlignment="1">
      <alignment vertical="center" wrapText="1"/>
    </xf>
    <xf numFmtId="0" fontId="0" fillId="7" borderId="23" xfId="0" applyFill="1" applyBorder="1" applyAlignment="1">
      <alignment horizontal="center" vertical="center" wrapText="1"/>
    </xf>
    <xf numFmtId="0" fontId="0" fillId="0" borderId="26" xfId="0" applyBorder="1" applyAlignment="1">
      <alignment horizontal="center" vertical="center"/>
    </xf>
    <xf numFmtId="0" fontId="3" fillId="0" borderId="0" xfId="0" applyFont="1" applyAlignment="1">
      <alignment horizontal="left" vertical="center"/>
    </xf>
    <xf numFmtId="164" fontId="2" fillId="0" borderId="12" xfId="1" applyNumberFormat="1" applyFont="1" applyFill="1" applyBorder="1" applyAlignment="1">
      <alignment horizontal="center" vertical="center"/>
    </xf>
    <xf numFmtId="0" fontId="2" fillId="0" borderId="12" xfId="0" applyFont="1" applyBorder="1" applyAlignment="1">
      <alignment vertical="center" wrapText="1"/>
    </xf>
    <xf numFmtId="0" fontId="2" fillId="0" borderId="12" xfId="0" applyFont="1" applyBorder="1" applyAlignment="1">
      <alignment horizontal="center" vertical="center" wrapText="1"/>
    </xf>
    <xf numFmtId="0" fontId="2" fillId="0" borderId="20" xfId="0" applyFont="1" applyBorder="1" applyAlignment="1">
      <alignment vertical="center" wrapText="1"/>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2" fillId="0" borderId="14" xfId="0" applyFont="1" applyBorder="1" applyAlignment="1">
      <alignment vertical="center" wrapText="1"/>
    </xf>
    <xf numFmtId="0" fontId="2" fillId="0" borderId="14" xfId="0" applyFont="1" applyBorder="1" applyAlignment="1">
      <alignment horizontal="center" vertical="center" wrapText="1"/>
    </xf>
    <xf numFmtId="0" fontId="0" fillId="4" borderId="27" xfId="0" applyFill="1" applyBorder="1" applyAlignment="1">
      <alignment horizontal="center" vertical="center"/>
    </xf>
    <xf numFmtId="0" fontId="0" fillId="0" borderId="27" xfId="0" applyBorder="1" applyAlignment="1">
      <alignment horizontal="center" vertical="center"/>
    </xf>
    <xf numFmtId="0" fontId="13" fillId="0" borderId="3" xfId="0" applyFont="1" applyBorder="1" applyAlignment="1">
      <alignment vertical="center" wrapText="1"/>
    </xf>
    <xf numFmtId="164" fontId="0" fillId="0" borderId="3" xfId="1" applyNumberFormat="1" applyFont="1" applyBorder="1" applyAlignment="1">
      <alignment horizontal="center" vertical="center"/>
    </xf>
    <xf numFmtId="0" fontId="0" fillId="0" borderId="3" xfId="0" applyBorder="1" applyAlignment="1">
      <alignment horizontal="left" vertical="center" wrapText="1"/>
    </xf>
    <xf numFmtId="0" fontId="0" fillId="4" borderId="3" xfId="0" applyFill="1" applyBorder="1" applyAlignment="1">
      <alignment vertical="center"/>
    </xf>
    <xf numFmtId="0" fontId="0" fillId="6" borderId="5" xfId="0" applyFill="1" applyBorder="1" applyAlignment="1">
      <alignment horizontal="center" vertical="center"/>
    </xf>
    <xf numFmtId="0" fontId="0" fillId="6" borderId="5" xfId="0" applyFill="1" applyBorder="1" applyAlignment="1">
      <alignment vertical="center"/>
    </xf>
    <xf numFmtId="0" fontId="3" fillId="6" borderId="5" xfId="0" applyFont="1" applyFill="1" applyBorder="1" applyAlignment="1">
      <alignment horizontal="center" vertical="center"/>
    </xf>
    <xf numFmtId="49" fontId="0" fillId="6" borderId="5" xfId="0" applyNumberFormat="1" applyFill="1" applyBorder="1" applyAlignment="1">
      <alignment vertical="center"/>
    </xf>
    <xf numFmtId="0" fontId="0" fillId="6" borderId="5" xfId="0" applyFill="1" applyBorder="1" applyAlignment="1">
      <alignment vertical="center" wrapText="1"/>
    </xf>
    <xf numFmtId="0" fontId="0" fillId="6" borderId="5" xfId="0" applyFill="1" applyBorder="1"/>
    <xf numFmtId="164" fontId="2" fillId="0" borderId="3" xfId="1" applyNumberFormat="1" applyFont="1" applyFill="1" applyBorder="1" applyAlignment="1">
      <alignment horizontal="center" vertical="center"/>
    </xf>
    <xf numFmtId="0" fontId="2" fillId="0" borderId="3" xfId="0" applyFont="1" applyBorder="1" applyAlignment="1">
      <alignment horizontal="left" vertical="center" wrapText="1"/>
    </xf>
    <xf numFmtId="0" fontId="3" fillId="0" borderId="5" xfId="0" applyFont="1" applyBorder="1" applyAlignment="1">
      <alignment horizontal="center" vertical="center"/>
    </xf>
    <xf numFmtId="0" fontId="0" fillId="6" borderId="3" xfId="0" applyFill="1" applyBorder="1" applyAlignment="1">
      <alignment vertical="center" wrapText="1"/>
    </xf>
    <xf numFmtId="0" fontId="0" fillId="0" borderId="28" xfId="0" applyBorder="1" applyAlignment="1">
      <alignment horizontal="center" vertical="center"/>
    </xf>
    <xf numFmtId="0" fontId="2" fillId="0" borderId="26" xfId="0" applyFont="1" applyBorder="1" applyAlignment="1">
      <alignment horizontal="center" vertical="center"/>
    </xf>
    <xf numFmtId="0" fontId="2" fillId="0" borderId="21" xfId="0" applyFont="1" applyBorder="1" applyAlignment="1">
      <alignment vertical="center" wrapText="1"/>
    </xf>
    <xf numFmtId="0" fontId="0" fillId="6" borderId="3" xfId="0" applyFill="1" applyBorder="1" applyAlignment="1">
      <alignment horizontal="center" vertical="center" wrapText="1"/>
    </xf>
    <xf numFmtId="0" fontId="0" fillId="8" borderId="3" xfId="0" applyFill="1" applyBorder="1" applyAlignment="1">
      <alignment horizontal="center" vertical="center"/>
    </xf>
    <xf numFmtId="0" fontId="0" fillId="8" borderId="3" xfId="0" applyFill="1" applyBorder="1" applyAlignment="1">
      <alignment vertical="center" wrapText="1"/>
    </xf>
    <xf numFmtId="0" fontId="0" fillId="8" borderId="3" xfId="0" applyFill="1" applyBorder="1" applyAlignment="1">
      <alignment horizontal="center" vertical="center" wrapText="1"/>
    </xf>
    <xf numFmtId="0" fontId="0" fillId="0" borderId="27" xfId="0" applyBorder="1" applyAlignment="1">
      <alignment vertical="center"/>
    </xf>
    <xf numFmtId="0" fontId="13" fillId="0" borderId="29" xfId="0" applyFont="1" applyBorder="1" applyAlignment="1">
      <alignment vertical="center" wrapText="1"/>
    </xf>
    <xf numFmtId="0" fontId="0" fillId="0" borderId="30" xfId="0" applyBorder="1" applyAlignment="1">
      <alignment vertical="center" wrapText="1"/>
    </xf>
    <xf numFmtId="0" fontId="0" fillId="7" borderId="21" xfId="0" applyFill="1" applyBorder="1" applyAlignment="1">
      <alignment vertical="center" wrapText="1"/>
    </xf>
    <xf numFmtId="49" fontId="0" fillId="0" borderId="29" xfId="0" applyNumberFormat="1" applyBorder="1" applyAlignment="1">
      <alignment vertical="center" wrapText="1"/>
    </xf>
    <xf numFmtId="0" fontId="0" fillId="7" borderId="30" xfId="0" applyFill="1" applyBorder="1" applyAlignment="1">
      <alignment vertical="center" wrapText="1"/>
    </xf>
    <xf numFmtId="0" fontId="0" fillId="0" borderId="29" xfId="0" applyBorder="1" applyAlignment="1">
      <alignment vertical="center" wrapText="1"/>
    </xf>
    <xf numFmtId="0" fontId="2" fillId="0" borderId="29" xfId="0" applyFont="1" applyBorder="1" applyAlignment="1">
      <alignment vertical="center" wrapText="1"/>
    </xf>
    <xf numFmtId="0" fontId="0" fillId="0" borderId="31" xfId="0" applyBorder="1" applyAlignment="1">
      <alignment vertical="center" wrapText="1"/>
    </xf>
    <xf numFmtId="49" fontId="0" fillId="6" borderId="3" xfId="0" applyNumberFormat="1" applyFill="1" applyBorder="1" applyAlignment="1">
      <alignment vertical="center" wrapText="1"/>
    </xf>
    <xf numFmtId="49" fontId="0" fillId="0" borderId="3" xfId="0" applyNumberFormat="1" applyBorder="1" applyAlignment="1">
      <alignment horizontal="left" vertical="center" wrapText="1"/>
    </xf>
    <xf numFmtId="49" fontId="0" fillId="0" borderId="3" xfId="0" applyNumberFormat="1" applyBorder="1" applyAlignment="1">
      <alignment horizontal="left" vertical="center"/>
    </xf>
    <xf numFmtId="49" fontId="0" fillId="6" borderId="3" xfId="0" applyNumberFormat="1" applyFill="1" applyBorder="1" applyAlignment="1">
      <alignment horizontal="left" vertical="center" wrapText="1"/>
    </xf>
    <xf numFmtId="49" fontId="0" fillId="0" borderId="3" xfId="0" applyNumberFormat="1" applyBorder="1" applyAlignment="1">
      <alignment vertical="center"/>
    </xf>
    <xf numFmtId="49" fontId="0" fillId="4" borderId="3" xfId="0" applyNumberFormat="1" applyFill="1" applyBorder="1" applyAlignment="1">
      <alignment vertical="center" wrapText="1"/>
    </xf>
    <xf numFmtId="0" fontId="0" fillId="4" borderId="3" xfId="0" applyFill="1" applyBorder="1" applyAlignment="1">
      <alignment vertical="center" wrapText="1"/>
    </xf>
    <xf numFmtId="0" fontId="0" fillId="0" borderId="3" xfId="0" applyBorder="1" applyAlignment="1">
      <alignment horizontal="left" vertical="center"/>
    </xf>
    <xf numFmtId="0" fontId="0" fillId="6" borderId="3" xfId="0" applyFill="1" applyBorder="1" applyAlignment="1">
      <alignment horizontal="left" vertical="center" wrapText="1"/>
    </xf>
    <xf numFmtId="0" fontId="0" fillId="4" borderId="3" xfId="0" applyFill="1" applyBorder="1" applyAlignment="1">
      <alignment horizontal="left" vertical="center" wrapText="1"/>
    </xf>
    <xf numFmtId="0" fontId="3" fillId="4" borderId="3" xfId="0" applyFont="1" applyFill="1" applyBorder="1" applyAlignment="1">
      <alignment horizontal="center" vertical="center"/>
    </xf>
    <xf numFmtId="0" fontId="3" fillId="4" borderId="3" xfId="0" applyFont="1" applyFill="1" applyBorder="1" applyAlignment="1">
      <alignment vertical="center"/>
    </xf>
    <xf numFmtId="0" fontId="3" fillId="4" borderId="3" xfId="0" applyFont="1" applyFill="1" applyBorder="1" applyAlignment="1">
      <alignment horizontal="left" vertical="center"/>
    </xf>
    <xf numFmtId="0" fontId="3" fillId="4" borderId="3" xfId="0" applyFont="1" applyFill="1" applyBorder="1" applyAlignment="1">
      <alignment horizontal="left" vertical="center" wrapText="1"/>
    </xf>
    <xf numFmtId="49" fontId="3" fillId="4" borderId="3" xfId="0" applyNumberFormat="1" applyFont="1" applyFill="1" applyBorder="1" applyAlignment="1">
      <alignment vertical="center" wrapText="1"/>
    </xf>
    <xf numFmtId="49" fontId="2" fillId="0" borderId="3" xfId="0" applyNumberFormat="1" applyFont="1" applyBorder="1" applyAlignment="1">
      <alignment vertical="center" wrapText="1"/>
    </xf>
    <xf numFmtId="0" fontId="3" fillId="4" borderId="3" xfId="0" applyFont="1" applyFill="1" applyBorder="1" applyAlignment="1">
      <alignment vertical="center" wrapText="1"/>
    </xf>
    <xf numFmtId="0" fontId="0" fillId="7" borderId="3" xfId="0" applyFill="1" applyBorder="1" applyAlignment="1">
      <alignment horizontal="center" vertical="center"/>
    </xf>
    <xf numFmtId="0" fontId="0" fillId="7" borderId="3" xfId="0" applyFill="1" applyBorder="1" applyAlignment="1">
      <alignment vertical="center" wrapText="1"/>
    </xf>
    <xf numFmtId="49" fontId="0" fillId="7" borderId="3" xfId="0" applyNumberFormat="1" applyFill="1" applyBorder="1" applyAlignment="1">
      <alignment vertical="center" wrapText="1"/>
    </xf>
    <xf numFmtId="49" fontId="0" fillId="7" borderId="3" xfId="0" applyNumberFormat="1" applyFill="1" applyBorder="1" applyAlignment="1">
      <alignment horizontal="center" vertical="center"/>
    </xf>
    <xf numFmtId="164" fontId="0" fillId="7" borderId="3" xfId="1" applyNumberFormat="1" applyFont="1" applyFill="1" applyBorder="1" applyAlignment="1">
      <alignment horizontal="center" vertical="center"/>
    </xf>
    <xf numFmtId="49" fontId="0" fillId="5" borderId="0" xfId="0" applyNumberFormat="1" applyFill="1" applyAlignment="1">
      <alignment vertical="center" wrapText="1"/>
    </xf>
    <xf numFmtId="49" fontId="0" fillId="5" borderId="0" xfId="0" applyNumberFormat="1" applyFill="1" applyAlignment="1">
      <alignment horizontal="center" vertical="center"/>
    </xf>
    <xf numFmtId="164" fontId="0" fillId="4" borderId="3" xfId="1" applyNumberFormat="1" applyFont="1" applyFill="1" applyBorder="1" applyAlignment="1">
      <alignment horizontal="center" vertical="center"/>
    </xf>
    <xf numFmtId="49" fontId="0" fillId="4" borderId="3" xfId="0" applyNumberFormat="1" applyFill="1" applyBorder="1" applyAlignment="1">
      <alignment horizontal="center" vertical="center"/>
    </xf>
    <xf numFmtId="0" fontId="2" fillId="6" borderId="4" xfId="0" applyFont="1" applyFill="1" applyBorder="1" applyAlignment="1">
      <alignment vertical="center"/>
    </xf>
    <xf numFmtId="0" fontId="6" fillId="6" borderId="5" xfId="0" applyFont="1" applyFill="1" applyBorder="1" applyAlignment="1">
      <alignment horizontal="left" vertical="center" wrapText="1"/>
    </xf>
    <xf numFmtId="164" fontId="0" fillId="9" borderId="12" xfId="1" applyNumberFormat="1" applyFont="1" applyFill="1" applyBorder="1" applyAlignment="1">
      <alignment horizontal="center" vertical="center"/>
    </xf>
    <xf numFmtId="0" fontId="0" fillId="9" borderId="12" xfId="0" applyFill="1" applyBorder="1" applyAlignment="1">
      <alignment horizontal="center" vertical="center"/>
    </xf>
    <xf numFmtId="0" fontId="0" fillId="9" borderId="12" xfId="0" applyFill="1" applyBorder="1" applyAlignment="1">
      <alignment vertical="center" wrapText="1"/>
    </xf>
    <xf numFmtId="0" fontId="0" fillId="9" borderId="12" xfId="0" applyFill="1" applyBorder="1" applyAlignment="1">
      <alignment horizontal="center" vertical="center" wrapText="1"/>
    </xf>
    <xf numFmtId="0" fontId="3" fillId="9" borderId="12" xfId="0" applyFont="1" applyFill="1" applyBorder="1" applyAlignment="1">
      <alignment horizontal="center" vertical="center" wrapText="1"/>
    </xf>
    <xf numFmtId="0" fontId="0" fillId="9" borderId="12" xfId="0" applyFill="1" applyBorder="1" applyAlignment="1">
      <alignment horizontal="left" vertical="center" wrapText="1"/>
    </xf>
    <xf numFmtId="49" fontId="3" fillId="0" borderId="3" xfId="0" applyNumberFormat="1" applyFont="1" applyBorder="1" applyAlignment="1">
      <alignment horizontal="center" vertical="center"/>
    </xf>
    <xf numFmtId="164" fontId="0" fillId="6" borderId="3" xfId="1" applyNumberFormat="1" applyFont="1" applyFill="1" applyBorder="1" applyAlignment="1">
      <alignment horizontal="center" vertical="center"/>
    </xf>
    <xf numFmtId="49" fontId="0" fillId="6" borderId="3" xfId="0" applyNumberFormat="1" applyFill="1" applyBorder="1" applyAlignment="1">
      <alignment horizontal="center" vertical="center"/>
    </xf>
    <xf numFmtId="0" fontId="2" fillId="0" borderId="3" xfId="0" applyFont="1" applyBorder="1" applyAlignment="1">
      <alignment horizontal="left" vertical="center"/>
    </xf>
    <xf numFmtId="0" fontId="14" fillId="10" borderId="34" xfId="0" applyFont="1" applyFill="1" applyBorder="1" applyAlignment="1">
      <alignment horizontal="center" vertical="center"/>
    </xf>
    <xf numFmtId="3" fontId="14" fillId="0" borderId="35" xfId="0" applyNumberFormat="1" applyFont="1" applyBorder="1" applyAlignment="1">
      <alignment horizontal="center" vertical="center"/>
    </xf>
    <xf numFmtId="0" fontId="14" fillId="0" borderId="35" xfId="0" applyFont="1" applyBorder="1" applyAlignment="1">
      <alignment horizontal="center" vertical="center"/>
    </xf>
    <xf numFmtId="0" fontId="14" fillId="0" borderId="35" xfId="0" applyFont="1" applyBorder="1" applyAlignment="1">
      <alignment vertical="center" wrapText="1"/>
    </xf>
    <xf numFmtId="0" fontId="14" fillId="11" borderId="36" xfId="0" applyFont="1" applyFill="1" applyBorder="1" applyAlignment="1">
      <alignment vertical="center" wrapText="1"/>
    </xf>
    <xf numFmtId="0" fontId="14" fillId="11" borderId="37" xfId="0" applyFont="1" applyFill="1" applyBorder="1" applyAlignment="1">
      <alignment vertical="center" wrapText="1"/>
    </xf>
    <xf numFmtId="0" fontId="14" fillId="0" borderId="34" xfId="0" applyFont="1" applyBorder="1" applyAlignment="1">
      <alignment vertical="center" wrapText="1"/>
    </xf>
    <xf numFmtId="0" fontId="14" fillId="0" borderId="0" xfId="0" applyFont="1" applyAlignment="1">
      <alignment vertical="center"/>
    </xf>
    <xf numFmtId="0" fontId="14" fillId="12" borderId="34" xfId="0" applyFont="1" applyFill="1" applyBorder="1" applyAlignment="1">
      <alignment horizontal="center" vertical="center"/>
    </xf>
    <xf numFmtId="3" fontId="14" fillId="12" borderId="35" xfId="0" applyNumberFormat="1" applyFont="1" applyFill="1" applyBorder="1" applyAlignment="1">
      <alignment horizontal="center" vertical="center"/>
    </xf>
    <xf numFmtId="0" fontId="14" fillId="12" borderId="35" xfId="0" applyFont="1" applyFill="1" applyBorder="1" applyAlignment="1">
      <alignment horizontal="center" vertical="center"/>
    </xf>
    <xf numFmtId="0" fontId="14" fillId="12" borderId="35" xfId="0" applyFont="1" applyFill="1" applyBorder="1" applyAlignment="1">
      <alignment vertical="center" wrapText="1"/>
    </xf>
    <xf numFmtId="0" fontId="14" fillId="11" borderId="38" xfId="0" applyFont="1" applyFill="1" applyBorder="1" applyAlignment="1">
      <alignment vertical="center" wrapText="1"/>
    </xf>
    <xf numFmtId="0" fontId="14" fillId="0" borderId="0" xfId="0" applyFont="1" applyAlignment="1">
      <alignment vertical="center" wrapText="1"/>
    </xf>
    <xf numFmtId="0" fontId="14" fillId="0" borderId="34" xfId="0" applyFont="1" applyBorder="1" applyAlignment="1">
      <alignment horizontal="center" vertical="center"/>
    </xf>
    <xf numFmtId="0" fontId="14" fillId="11" borderId="35" xfId="0" applyFont="1" applyFill="1" applyBorder="1" applyAlignment="1">
      <alignment vertical="center" wrapText="1"/>
    </xf>
    <xf numFmtId="0" fontId="14" fillId="11" borderId="34" xfId="0" applyFont="1" applyFill="1" applyBorder="1" applyAlignment="1">
      <alignment vertical="center" wrapText="1"/>
    </xf>
    <xf numFmtId="0" fontId="14" fillId="11" borderId="39" xfId="0" applyFont="1" applyFill="1" applyBorder="1" applyAlignment="1">
      <alignment vertical="center" wrapText="1"/>
    </xf>
    <xf numFmtId="3" fontId="14" fillId="11" borderId="36" xfId="0" applyNumberFormat="1" applyFont="1" applyFill="1" applyBorder="1" applyAlignment="1">
      <alignment horizontal="center" vertical="center"/>
    </xf>
    <xf numFmtId="0" fontId="14" fillId="11" borderId="37" xfId="0" applyFont="1" applyFill="1" applyBorder="1" applyAlignment="1">
      <alignment horizontal="center" vertical="center"/>
    </xf>
    <xf numFmtId="0" fontId="14" fillId="11" borderId="37" xfId="0" applyFont="1" applyFill="1" applyBorder="1" applyAlignment="1">
      <alignment horizontal="center" vertical="center" wrapText="1"/>
    </xf>
    <xf numFmtId="0" fontId="15" fillId="11" borderId="37" xfId="0" applyFont="1" applyFill="1" applyBorder="1" applyAlignment="1">
      <alignment horizontal="center" vertical="center" wrapText="1"/>
    </xf>
    <xf numFmtId="0" fontId="14" fillId="11" borderId="40" xfId="0" applyFont="1" applyFill="1" applyBorder="1" applyAlignment="1">
      <alignment vertical="center" wrapText="1"/>
    </xf>
    <xf numFmtId="0" fontId="14" fillId="11" borderId="41" xfId="0" applyFont="1" applyFill="1" applyBorder="1" applyAlignment="1">
      <alignment horizontal="center" vertical="center"/>
    </xf>
    <xf numFmtId="3" fontId="14" fillId="11" borderId="38" xfId="0" applyNumberFormat="1" applyFont="1" applyFill="1" applyBorder="1" applyAlignment="1">
      <alignment horizontal="center" vertical="center"/>
    </xf>
    <xf numFmtId="0" fontId="14" fillId="11" borderId="38" xfId="0" applyFont="1" applyFill="1" applyBorder="1" applyAlignment="1">
      <alignment horizontal="center" vertical="center"/>
    </xf>
    <xf numFmtId="0" fontId="0" fillId="0" borderId="28" xfId="0" applyBorder="1" applyAlignment="1">
      <alignment vertical="center"/>
    </xf>
    <xf numFmtId="0" fontId="2" fillId="6" borderId="3" xfId="0" applyFont="1" applyFill="1" applyBorder="1" applyAlignment="1">
      <alignment horizontal="center" vertical="center" wrapText="1"/>
    </xf>
    <xf numFmtId="164" fontId="2" fillId="6" borderId="3" xfId="1" applyNumberFormat="1" applyFont="1" applyFill="1" applyBorder="1" applyAlignment="1">
      <alignment horizontal="center" vertical="center"/>
    </xf>
    <xf numFmtId="0" fontId="2" fillId="6" borderId="3" xfId="0" applyFont="1" applyFill="1" applyBorder="1" applyAlignment="1">
      <alignment horizontal="center" vertical="center"/>
    </xf>
    <xf numFmtId="0" fontId="2" fillId="6" borderId="3" xfId="0" applyFont="1" applyFill="1" applyBorder="1" applyAlignment="1">
      <alignment vertical="center" wrapText="1"/>
    </xf>
    <xf numFmtId="0" fontId="2" fillId="6" borderId="3" xfId="0" applyFont="1" applyFill="1" applyBorder="1" applyAlignment="1">
      <alignment horizontal="left" vertical="center" wrapText="1"/>
    </xf>
    <xf numFmtId="164" fontId="3" fillId="6" borderId="3" xfId="1" applyNumberFormat="1" applyFont="1" applyFill="1" applyBorder="1" applyAlignment="1">
      <alignment horizontal="center" vertical="center"/>
    </xf>
    <xf numFmtId="0" fontId="3" fillId="6" borderId="3" xfId="0" applyFont="1" applyFill="1" applyBorder="1" applyAlignment="1">
      <alignment horizontal="left" vertical="center" wrapText="1"/>
    </xf>
    <xf numFmtId="0" fontId="3" fillId="6" borderId="3" xfId="0" applyFont="1" applyFill="1" applyBorder="1" applyAlignment="1">
      <alignment horizontal="center" vertical="center" wrapText="1"/>
    </xf>
    <xf numFmtId="0" fontId="2" fillId="0" borderId="23" xfId="0" applyFont="1" applyBorder="1" applyAlignment="1">
      <alignment horizontal="center" vertical="center"/>
    </xf>
    <xf numFmtId="0" fontId="2" fillId="0" borderId="23" xfId="0" applyFont="1" applyBorder="1" applyAlignment="1">
      <alignment vertical="center" wrapText="1"/>
    </xf>
    <xf numFmtId="0" fontId="2" fillId="0" borderId="23" xfId="0" applyFont="1" applyBorder="1" applyAlignment="1">
      <alignment horizontal="center" vertical="center" wrapText="1"/>
    </xf>
    <xf numFmtId="0" fontId="16" fillId="0" borderId="3" xfId="0" applyFont="1" applyBorder="1" applyAlignment="1">
      <alignment vertical="center" wrapText="1"/>
    </xf>
    <xf numFmtId="0" fontId="2" fillId="0" borderId="27" xfId="0" applyFont="1" applyBorder="1" applyAlignment="1">
      <alignment horizontal="center" vertical="center"/>
    </xf>
    <xf numFmtId="0" fontId="2" fillId="0" borderId="28" xfId="0" applyFont="1" applyBorder="1" applyAlignment="1">
      <alignment horizontal="center" vertical="center"/>
    </xf>
    <xf numFmtId="0" fontId="0" fillId="6" borderId="12" xfId="0" applyFill="1" applyBorder="1" applyAlignment="1">
      <alignment horizontal="left" vertical="center" wrapText="1"/>
    </xf>
    <xf numFmtId="164" fontId="0" fillId="6" borderId="3" xfId="1" applyNumberFormat="1" applyFont="1" applyFill="1" applyBorder="1" applyAlignment="1">
      <alignment vertical="center"/>
    </xf>
    <xf numFmtId="49" fontId="0" fillId="6" borderId="15" xfId="0" applyNumberFormat="1" applyFill="1" applyBorder="1" applyAlignment="1">
      <alignment vertical="center" wrapText="1"/>
    </xf>
    <xf numFmtId="49" fontId="0" fillId="0" borderId="29" xfId="0" applyNumberFormat="1" applyBorder="1" applyAlignment="1">
      <alignment horizontal="left" vertical="center" wrapText="1"/>
    </xf>
    <xf numFmtId="0" fontId="0" fillId="0" borderId="5" xfId="0" applyBorder="1" applyAlignment="1">
      <alignment horizontal="center" vertical="center" wrapText="1"/>
    </xf>
    <xf numFmtId="49" fontId="2" fillId="0" borderId="3" xfId="0" applyNumberFormat="1" applyFont="1" applyBorder="1" applyAlignment="1">
      <alignment horizontal="left" vertical="center" wrapText="1"/>
    </xf>
    <xf numFmtId="49" fontId="2" fillId="0" borderId="3" xfId="0" applyNumberFormat="1" applyFont="1" applyBorder="1" applyAlignment="1">
      <alignment horizontal="center" vertical="center"/>
    </xf>
    <xf numFmtId="49" fontId="2" fillId="0" borderId="3" xfId="0" applyNumberFormat="1" applyFont="1" applyBorder="1" applyAlignment="1">
      <alignment horizontal="left" vertical="center"/>
    </xf>
    <xf numFmtId="49" fontId="2" fillId="0" borderId="3" xfId="0" applyNumberFormat="1" applyFont="1" applyBorder="1" applyAlignment="1">
      <alignment vertical="center"/>
    </xf>
    <xf numFmtId="0" fontId="1" fillId="2" borderId="0" xfId="0" applyFont="1" applyFill="1" applyAlignment="1">
      <alignment vertical="center"/>
    </xf>
    <xf numFmtId="0" fontId="1" fillId="2" borderId="42" xfId="0" applyFont="1" applyFill="1" applyBorder="1" applyAlignment="1">
      <alignment vertical="center" wrapText="1"/>
    </xf>
    <xf numFmtId="0" fontId="1" fillId="2" borderId="42" xfId="0" applyFont="1" applyFill="1" applyBorder="1" applyAlignment="1">
      <alignment vertical="center"/>
    </xf>
    <xf numFmtId="0" fontId="1" fillId="2" borderId="42" xfId="0" applyFont="1" applyFill="1" applyBorder="1" applyAlignment="1">
      <alignment horizontal="center" vertical="center"/>
    </xf>
    <xf numFmtId="49" fontId="0" fillId="13" borderId="24" xfId="0" applyNumberFormat="1" applyFill="1" applyBorder="1" applyAlignment="1">
      <alignment horizontal="center" vertical="center"/>
    </xf>
    <xf numFmtId="0" fontId="2" fillId="5" borderId="3" xfId="0" applyFont="1" applyFill="1" applyBorder="1" applyAlignment="1">
      <alignment vertical="center"/>
    </xf>
    <xf numFmtId="0" fontId="2" fillId="5" borderId="3" xfId="0" quotePrefix="1" applyFont="1" applyFill="1" applyBorder="1" applyAlignment="1">
      <alignment vertical="center" wrapText="1"/>
    </xf>
    <xf numFmtId="49" fontId="2" fillId="5" borderId="3" xfId="0" applyNumberFormat="1" applyFont="1" applyFill="1" applyBorder="1" applyAlignment="1">
      <alignment horizontal="center" vertical="center"/>
    </xf>
    <xf numFmtId="0" fontId="0" fillId="14" borderId="3" xfId="0" applyFill="1" applyBorder="1" applyAlignment="1">
      <alignment vertical="center"/>
    </xf>
    <xf numFmtId="49" fontId="0" fillId="14" borderId="43" xfId="0" quotePrefix="1" applyNumberFormat="1" applyFill="1" applyBorder="1" applyAlignment="1">
      <alignment vertical="center" wrapText="1"/>
    </xf>
    <xf numFmtId="49" fontId="0" fillId="14" borderId="3" xfId="0" applyNumberFormat="1" applyFill="1" applyBorder="1" applyAlignment="1">
      <alignment horizontal="center" vertical="center"/>
    </xf>
    <xf numFmtId="49" fontId="0" fillId="13" borderId="3" xfId="0" quotePrefix="1" applyNumberFormat="1" applyFill="1" applyBorder="1" applyAlignment="1">
      <alignment horizontal="center" vertical="center"/>
    </xf>
    <xf numFmtId="49" fontId="0" fillId="0" borderId="3" xfId="0" quotePrefix="1" applyNumberFormat="1" applyBorder="1" applyAlignment="1">
      <alignment vertical="center" wrapText="1"/>
    </xf>
    <xf numFmtId="49" fontId="0" fillId="0" borderId="3" xfId="0" quotePrefix="1" applyNumberFormat="1" applyBorder="1" applyAlignment="1">
      <alignment horizontal="center" vertical="center"/>
    </xf>
    <xf numFmtId="0" fontId="10" fillId="6" borderId="5" xfId="0" applyFont="1" applyFill="1" applyBorder="1" applyAlignment="1">
      <alignment vertical="center"/>
    </xf>
    <xf numFmtId="49" fontId="0" fillId="6" borderId="24" xfId="0" applyNumberFormat="1" applyFill="1" applyBorder="1" applyAlignment="1">
      <alignment horizontal="center" vertical="center"/>
    </xf>
    <xf numFmtId="0" fontId="0" fillId="5" borderId="16" xfId="0" applyFill="1" applyBorder="1" applyAlignment="1">
      <alignment horizontal="center" vertical="center"/>
    </xf>
    <xf numFmtId="0" fontId="0" fillId="5" borderId="16" xfId="0" applyFill="1" applyBorder="1" applyAlignment="1">
      <alignment vertical="center" wrapText="1"/>
    </xf>
    <xf numFmtId="0" fontId="0" fillId="5" borderId="16" xfId="0" applyFill="1" applyBorder="1" applyAlignment="1">
      <alignment vertical="center"/>
    </xf>
    <xf numFmtId="49" fontId="0" fillId="5" borderId="16" xfId="0" applyNumberFormat="1" applyFill="1" applyBorder="1" applyAlignment="1">
      <alignment vertical="center"/>
    </xf>
    <xf numFmtId="0" fontId="0" fillId="5" borderId="16" xfId="0" applyFill="1" applyBorder="1"/>
    <xf numFmtId="0" fontId="10" fillId="5" borderId="16" xfId="0" applyFont="1" applyFill="1" applyBorder="1" applyAlignment="1">
      <alignment vertical="center"/>
    </xf>
    <xf numFmtId="0" fontId="0" fillId="5" borderId="8" xfId="0" applyFill="1" applyBorder="1" applyAlignment="1">
      <alignment horizontal="center" vertical="center"/>
    </xf>
    <xf numFmtId="0" fontId="0" fillId="5" borderId="8" xfId="0" applyFill="1" applyBorder="1" applyAlignment="1">
      <alignment vertical="center" wrapText="1"/>
    </xf>
    <xf numFmtId="0" fontId="0" fillId="5" borderId="8" xfId="0" applyFill="1" applyBorder="1" applyAlignment="1">
      <alignment vertical="center"/>
    </xf>
    <xf numFmtId="49" fontId="0" fillId="5" borderId="8" xfId="0" applyNumberFormat="1" applyFill="1" applyBorder="1" applyAlignment="1">
      <alignment vertical="center"/>
    </xf>
    <xf numFmtId="0" fontId="0" fillId="5" borderId="8" xfId="0" applyFill="1" applyBorder="1"/>
    <xf numFmtId="0" fontId="10" fillId="5" borderId="8" xfId="0" applyFont="1" applyFill="1" applyBorder="1" applyAlignment="1">
      <alignment vertical="center"/>
    </xf>
    <xf numFmtId="0" fontId="0" fillId="6" borderId="12" xfId="0" applyFill="1" applyBorder="1" applyAlignment="1">
      <alignment horizontal="center" vertical="center"/>
    </xf>
    <xf numFmtId="0" fontId="0" fillId="6" borderId="12" xfId="0" applyFill="1" applyBorder="1" applyAlignment="1">
      <alignment vertical="center" wrapText="1"/>
    </xf>
    <xf numFmtId="0" fontId="0" fillId="6" borderId="12" xfId="0" applyFill="1" applyBorder="1" applyAlignment="1">
      <alignment vertical="center"/>
    </xf>
    <xf numFmtId="0" fontId="2" fillId="6" borderId="12" xfId="0" applyFont="1" applyFill="1" applyBorder="1" applyAlignment="1">
      <alignment vertical="center"/>
    </xf>
    <xf numFmtId="49" fontId="0" fillId="6" borderId="12" xfId="0" applyNumberFormat="1" applyFill="1" applyBorder="1" applyAlignment="1">
      <alignment vertical="center"/>
    </xf>
    <xf numFmtId="0" fontId="0" fillId="6" borderId="12" xfId="0" applyFill="1" applyBorder="1"/>
    <xf numFmtId="164" fontId="0" fillId="6" borderId="12" xfId="1" applyNumberFormat="1" applyFont="1" applyFill="1" applyBorder="1" applyAlignment="1">
      <alignment horizontal="center" vertical="center"/>
    </xf>
    <xf numFmtId="0" fontId="0" fillId="6" borderId="12" xfId="0" applyFill="1" applyBorder="1" applyAlignment="1">
      <alignment horizontal="center" vertical="center" wrapText="1"/>
    </xf>
    <xf numFmtId="49" fontId="0" fillId="0" borderId="3" xfId="0" quotePrefix="1" applyNumberFormat="1" applyBorder="1" applyAlignment="1">
      <alignment horizontal="left" vertical="center"/>
    </xf>
    <xf numFmtId="164" fontId="0" fillId="7" borderId="12" xfId="1" applyNumberFormat="1" applyFont="1" applyFill="1" applyBorder="1" applyAlignment="1">
      <alignment horizontal="center" vertical="center"/>
    </xf>
    <xf numFmtId="0" fontId="0" fillId="7" borderId="12" xfId="0" applyFill="1" applyBorder="1" applyAlignment="1">
      <alignment horizontal="center" vertical="center" wrapText="1"/>
    </xf>
    <xf numFmtId="0" fontId="0" fillId="7" borderId="12" xfId="0" applyFill="1" applyBorder="1" applyAlignment="1">
      <alignment horizontal="left" vertical="center" wrapText="1"/>
    </xf>
    <xf numFmtId="49" fontId="2" fillId="6" borderId="12" xfId="0" applyNumberFormat="1" applyFont="1" applyFill="1" applyBorder="1" applyAlignment="1">
      <alignment horizontal="center" vertical="center"/>
    </xf>
    <xf numFmtId="49" fontId="2" fillId="6" borderId="12" xfId="0" applyNumberFormat="1" applyFont="1" applyFill="1" applyBorder="1" applyAlignment="1">
      <alignment vertical="center" wrapText="1"/>
    </xf>
    <xf numFmtId="0" fontId="0" fillId="6" borderId="0" xfId="0" applyFill="1" applyAlignment="1">
      <alignment horizontal="left" vertical="center" wrapText="1"/>
    </xf>
    <xf numFmtId="49" fontId="2" fillId="6" borderId="15" xfId="0" applyNumberFormat="1" applyFont="1" applyFill="1" applyBorder="1" applyAlignment="1">
      <alignment horizontal="center" vertical="center"/>
    </xf>
    <xf numFmtId="49" fontId="2" fillId="6" borderId="15" xfId="0" applyNumberFormat="1" applyFont="1" applyFill="1" applyBorder="1" applyAlignment="1">
      <alignment vertical="center" wrapText="1"/>
    </xf>
    <xf numFmtId="49" fontId="2" fillId="6" borderId="33" xfId="0" applyNumberFormat="1" applyFont="1" applyFill="1" applyBorder="1" applyAlignment="1">
      <alignment vertical="center" wrapText="1"/>
    </xf>
    <xf numFmtId="0" fontId="2" fillId="6" borderId="15" xfId="0" applyFont="1" applyFill="1" applyBorder="1" applyAlignment="1">
      <alignment horizontal="center" vertical="center"/>
    </xf>
    <xf numFmtId="0" fontId="2" fillId="6" borderId="14" xfId="0" applyFont="1" applyFill="1" applyBorder="1" applyAlignment="1">
      <alignment vertical="center" wrapText="1"/>
    </xf>
    <xf numFmtId="0" fontId="2" fillId="6" borderId="0" xfId="0" applyFont="1" applyFill="1" applyAlignment="1">
      <alignment vertical="center" wrapText="1"/>
    </xf>
    <xf numFmtId="49" fontId="2" fillId="6" borderId="19" xfId="0" applyNumberFormat="1" applyFont="1" applyFill="1" applyBorder="1" applyAlignment="1">
      <alignment horizontal="center" vertical="center" wrapText="1"/>
    </xf>
    <xf numFmtId="49" fontId="2" fillId="6" borderId="32" xfId="1" applyNumberFormat="1" applyFont="1" applyFill="1" applyBorder="1" applyAlignment="1">
      <alignment horizontal="center" vertical="center" wrapText="1"/>
    </xf>
    <xf numFmtId="0" fontId="2" fillId="7" borderId="14" xfId="0" applyFont="1" applyFill="1" applyBorder="1" applyAlignment="1">
      <alignment horizontal="center" vertical="center"/>
    </xf>
    <xf numFmtId="0" fontId="2" fillId="7" borderId="14" xfId="0" applyFont="1" applyFill="1" applyBorder="1" applyAlignment="1">
      <alignment vertical="center" wrapText="1"/>
    </xf>
    <xf numFmtId="0" fontId="2" fillId="7" borderId="14" xfId="0" applyFont="1" applyFill="1" applyBorder="1" applyAlignment="1">
      <alignment horizontal="center" vertical="center" wrapText="1"/>
    </xf>
    <xf numFmtId="49" fontId="2" fillId="7" borderId="14" xfId="0" applyNumberFormat="1" applyFont="1" applyFill="1" applyBorder="1" applyAlignment="1">
      <alignment vertical="center" wrapText="1"/>
    </xf>
    <xf numFmtId="49" fontId="2" fillId="7" borderId="21" xfId="0" applyNumberFormat="1" applyFont="1" applyFill="1" applyBorder="1" applyAlignment="1">
      <alignment vertical="center" wrapText="1"/>
    </xf>
    <xf numFmtId="49" fontId="2" fillId="6" borderId="32" xfId="0" applyNumberFormat="1" applyFont="1" applyFill="1" applyBorder="1" applyAlignment="1">
      <alignment vertical="center" wrapText="1"/>
    </xf>
    <xf numFmtId="0" fontId="2" fillId="6" borderId="12" xfId="0" applyFont="1" applyFill="1" applyBorder="1" applyAlignment="1">
      <alignment vertical="center" wrapText="1"/>
    </xf>
    <xf numFmtId="164" fontId="0" fillId="0" borderId="3" xfId="1" applyNumberFormat="1" applyFont="1" applyFill="1" applyBorder="1" applyAlignment="1">
      <alignment vertical="center"/>
    </xf>
    <xf numFmtId="49" fontId="0" fillId="0" borderId="15" xfId="0" applyNumberFormat="1" applyBorder="1" applyAlignment="1">
      <alignment vertical="center" wrapText="1"/>
    </xf>
    <xf numFmtId="0" fontId="0" fillId="6" borderId="20" xfId="0" applyFill="1" applyBorder="1" applyAlignment="1">
      <alignment vertical="center" wrapText="1"/>
    </xf>
    <xf numFmtId="0" fontId="0" fillId="6" borderId="14" xfId="0" applyFill="1" applyBorder="1" applyAlignment="1">
      <alignment horizontal="center" vertical="center"/>
    </xf>
    <xf numFmtId="0" fontId="0" fillId="6" borderId="14" xfId="0" applyFill="1" applyBorder="1" applyAlignment="1">
      <alignment vertical="center" wrapText="1"/>
    </xf>
    <xf numFmtId="0" fontId="0" fillId="6" borderId="14" xfId="0" applyFill="1" applyBorder="1" applyAlignment="1">
      <alignment horizontal="center" vertical="center" wrapText="1"/>
    </xf>
    <xf numFmtId="0" fontId="0" fillId="6" borderId="21" xfId="0" applyFill="1" applyBorder="1" applyAlignment="1">
      <alignment vertical="center" wrapText="1"/>
    </xf>
    <xf numFmtId="0" fontId="13" fillId="6" borderId="3" xfId="0" applyFont="1" applyFill="1" applyBorder="1" applyAlignment="1">
      <alignment vertical="center" wrapText="1"/>
    </xf>
    <xf numFmtId="0" fontId="13" fillId="6" borderId="29" xfId="0" applyFont="1" applyFill="1" applyBorder="1" applyAlignment="1">
      <alignment vertical="center" wrapText="1"/>
    </xf>
    <xf numFmtId="0" fontId="0" fillId="6" borderId="29" xfId="0" applyFill="1" applyBorder="1" applyAlignment="1">
      <alignment vertical="center" wrapText="1"/>
    </xf>
    <xf numFmtId="0" fontId="0" fillId="6" borderId="3" xfId="0" applyFill="1" applyBorder="1" applyAlignment="1">
      <alignment horizontal="left" vertical="center"/>
    </xf>
    <xf numFmtId="0" fontId="3" fillId="6" borderId="3" xfId="0" applyFont="1" applyFill="1" applyBorder="1" applyAlignment="1">
      <alignment horizontal="center" vertical="center"/>
    </xf>
    <xf numFmtId="0" fontId="3" fillId="6" borderId="12" xfId="0" applyFont="1" applyFill="1" applyBorder="1" applyAlignment="1">
      <alignment horizontal="center" vertical="center"/>
    </xf>
    <xf numFmtId="0" fontId="3" fillId="6" borderId="14" xfId="0" applyFont="1" applyFill="1" applyBorder="1" applyAlignment="1">
      <alignment horizontal="center" vertical="center"/>
    </xf>
    <xf numFmtId="0" fontId="3" fillId="6" borderId="12" xfId="0" applyFont="1" applyFill="1" applyBorder="1" applyAlignment="1">
      <alignment vertical="center"/>
    </xf>
    <xf numFmtId="0" fontId="2" fillId="6" borderId="12" xfId="0" applyFont="1" applyFill="1" applyBorder="1" applyAlignment="1">
      <alignment horizontal="center" vertical="center"/>
    </xf>
    <xf numFmtId="0" fontId="16" fillId="6" borderId="3" xfId="0" applyFont="1" applyFill="1" applyBorder="1" applyAlignment="1">
      <alignment vertical="center" wrapText="1"/>
    </xf>
    <xf numFmtId="49" fontId="0" fillId="6" borderId="3" xfId="0" quotePrefix="1" applyNumberFormat="1" applyFill="1" applyBorder="1" applyAlignment="1">
      <alignment horizontal="left" vertical="center"/>
    </xf>
    <xf numFmtId="0" fontId="0" fillId="6" borderId="4" xfId="0" applyFill="1" applyBorder="1" applyAlignment="1">
      <alignment vertical="center" wrapText="1"/>
    </xf>
    <xf numFmtId="0" fontId="1" fillId="2" borderId="0" xfId="0" applyFont="1" applyFill="1" applyAlignment="1">
      <alignment horizontal="center" vertical="center" wrapText="1"/>
    </xf>
    <xf numFmtId="0" fontId="1"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3" fillId="0" borderId="12" xfId="0" applyFont="1" applyBorder="1" applyAlignment="1">
      <alignment vertical="center"/>
    </xf>
    <xf numFmtId="0" fontId="3" fillId="0" borderId="12" xfId="0" applyFont="1" applyBorder="1" applyAlignment="1">
      <alignment horizontal="center" vertical="center"/>
    </xf>
    <xf numFmtId="0" fontId="3" fillId="0" borderId="12" xfId="0" applyFont="1" applyBorder="1" applyAlignment="1">
      <alignment vertical="center" wrapText="1"/>
    </xf>
    <xf numFmtId="0" fontId="0" fillId="7" borderId="12" xfId="0" applyFill="1" applyBorder="1" applyAlignment="1">
      <alignment vertical="center"/>
    </xf>
    <xf numFmtId="0" fontId="19" fillId="14" borderId="3" xfId="0" applyFont="1" applyFill="1" applyBorder="1" applyAlignment="1">
      <alignment vertical="center"/>
    </xf>
    <xf numFmtId="49" fontId="19" fillId="14" borderId="43" xfId="0" quotePrefix="1" applyNumberFormat="1" applyFont="1" applyFill="1" applyBorder="1" applyAlignment="1">
      <alignment vertical="center" wrapText="1"/>
    </xf>
    <xf numFmtId="0" fontId="0" fillId="13" borderId="3" xfId="0" applyFill="1" applyBorder="1" applyAlignment="1">
      <alignment vertical="center"/>
    </xf>
    <xf numFmtId="0" fontId="0" fillId="13" borderId="3" xfId="0" quotePrefix="1" applyFill="1" applyBorder="1" applyAlignment="1">
      <alignment vertical="center" wrapText="1"/>
    </xf>
    <xf numFmtId="0" fontId="0" fillId="13" borderId="24" xfId="0" applyFill="1" applyBorder="1" applyAlignment="1">
      <alignment vertical="center"/>
    </xf>
    <xf numFmtId="0" fontId="0" fillId="13" borderId="24" xfId="0" quotePrefix="1" applyFill="1" applyBorder="1" applyAlignment="1">
      <alignment vertical="center" wrapText="1"/>
    </xf>
    <xf numFmtId="49" fontId="0" fillId="13" borderId="24" xfId="0" quotePrefix="1" applyNumberFormat="1" applyFill="1" applyBorder="1" applyAlignment="1">
      <alignment vertical="center" wrapText="1"/>
    </xf>
    <xf numFmtId="49" fontId="0" fillId="13" borderId="3" xfId="0" quotePrefix="1" applyNumberFormat="1" applyFill="1" applyBorder="1" applyAlignment="1">
      <alignment vertical="center" wrapText="1"/>
    </xf>
    <xf numFmtId="0" fontId="2" fillId="13" borderId="3" xfId="0" quotePrefix="1" applyFont="1" applyFill="1" applyBorder="1" applyAlignment="1">
      <alignment vertical="center" wrapText="1"/>
    </xf>
    <xf numFmtId="49" fontId="0" fillId="13" borderId="3" xfId="0" applyNumberFormat="1" applyFill="1" applyBorder="1" applyAlignment="1">
      <alignment vertical="center" wrapText="1"/>
    </xf>
    <xf numFmtId="0" fontId="0" fillId="13" borderId="3" xfId="0" applyFill="1" applyBorder="1"/>
    <xf numFmtId="49" fontId="2" fillId="13" borderId="3" xfId="0" applyNumberFormat="1" applyFont="1" applyFill="1" applyBorder="1"/>
    <xf numFmtId="164" fontId="0" fillId="0" borderId="22" xfId="1" applyNumberFormat="1" applyFont="1" applyFill="1" applyBorder="1" applyAlignment="1">
      <alignment vertical="center"/>
    </xf>
    <xf numFmtId="0" fontId="0" fillId="0" borderId="16" xfId="0" applyBorder="1" applyAlignment="1">
      <alignment vertical="center"/>
    </xf>
    <xf numFmtId="49" fontId="0" fillId="0" borderId="33" xfId="0" applyNumberFormat="1" applyBorder="1" applyAlignment="1">
      <alignment vertical="center" wrapText="1"/>
    </xf>
    <xf numFmtId="164" fontId="0" fillId="0" borderId="12" xfId="1" applyNumberFormat="1" applyFont="1" applyFill="1" applyBorder="1" applyAlignment="1">
      <alignment vertical="center"/>
    </xf>
    <xf numFmtId="49" fontId="0" fillId="0" borderId="12" xfId="0" applyNumberFormat="1" applyBorder="1" applyAlignment="1">
      <alignment vertical="center" wrapText="1"/>
    </xf>
    <xf numFmtId="164" fontId="0" fillId="6" borderId="12" xfId="1" applyNumberFormat="1" applyFont="1" applyFill="1" applyBorder="1" applyAlignment="1">
      <alignment vertical="center"/>
    </xf>
    <xf numFmtId="49" fontId="0" fillId="6" borderId="12" xfId="0" applyNumberFormat="1" applyFill="1" applyBorder="1" applyAlignment="1">
      <alignment vertical="center" wrapText="1"/>
    </xf>
    <xf numFmtId="49" fontId="3" fillId="0" borderId="3" xfId="0" applyNumberFormat="1" applyFont="1" applyBorder="1" applyAlignment="1">
      <alignment vertical="center" wrapText="1"/>
    </xf>
    <xf numFmtId="0" fontId="3" fillId="0" borderId="3" xfId="0" applyFont="1" applyBorder="1" applyAlignment="1">
      <alignment vertical="center"/>
    </xf>
    <xf numFmtId="49" fontId="3" fillId="0" borderId="3" xfId="0" quotePrefix="1" applyNumberFormat="1" applyFont="1" applyBorder="1" applyAlignment="1">
      <alignment vertical="center" wrapText="1"/>
    </xf>
    <xf numFmtId="0" fontId="3" fillId="0" borderId="3" xfId="0" quotePrefix="1" applyFont="1" applyBorder="1" applyAlignment="1">
      <alignment vertical="center" wrapText="1"/>
    </xf>
    <xf numFmtId="0" fontId="0" fillId="0" borderId="24" xfId="0" applyBorder="1" applyAlignment="1">
      <alignment vertical="center"/>
    </xf>
    <xf numFmtId="49" fontId="0" fillId="0" borderId="24" xfId="0" applyNumberFormat="1" applyBorder="1" applyAlignment="1">
      <alignment horizontal="center" vertical="center"/>
    </xf>
    <xf numFmtId="0" fontId="0" fillId="15" borderId="5" xfId="0" applyFill="1" applyBorder="1" applyAlignment="1">
      <alignment horizontal="center" vertical="center"/>
    </xf>
    <xf numFmtId="0" fontId="0" fillId="15" borderId="5" xfId="0" applyFill="1" applyBorder="1" applyAlignment="1">
      <alignment vertical="center" wrapText="1"/>
    </xf>
    <xf numFmtId="0" fontId="0" fillId="15" borderId="5" xfId="0" applyFill="1" applyBorder="1" applyAlignment="1">
      <alignment vertical="center"/>
    </xf>
    <xf numFmtId="49" fontId="0" fillId="15" borderId="5" xfId="0" applyNumberFormat="1" applyFill="1" applyBorder="1" applyAlignment="1">
      <alignment vertical="center"/>
    </xf>
    <xf numFmtId="0" fontId="0" fillId="15" borderId="5" xfId="0" applyFill="1" applyBorder="1"/>
    <xf numFmtId="0" fontId="10" fillId="15" borderId="5" xfId="0" applyFont="1" applyFill="1" applyBorder="1" applyAlignment="1">
      <alignment vertical="center"/>
    </xf>
    <xf numFmtId="0" fontId="0" fillId="15" borderId="0" xfId="0" applyFill="1"/>
    <xf numFmtId="0" fontId="2" fillId="0" borderId="5" xfId="0" applyFont="1" applyBorder="1" applyAlignment="1">
      <alignment horizontal="center" vertical="center"/>
    </xf>
    <xf numFmtId="0" fontId="2" fillId="0" borderId="5" xfId="0" applyFont="1" applyBorder="1" applyAlignment="1">
      <alignment vertical="center" wrapText="1"/>
    </xf>
    <xf numFmtId="49" fontId="2" fillId="0" borderId="5" xfId="0" applyNumberFormat="1" applyFont="1" applyBorder="1" applyAlignment="1">
      <alignment vertical="center"/>
    </xf>
    <xf numFmtId="0" fontId="2" fillId="0" borderId="5" xfId="0" applyFont="1" applyBorder="1"/>
    <xf numFmtId="0" fontId="20" fillId="0" borderId="5" xfId="0" applyFont="1" applyBorder="1" applyAlignment="1">
      <alignment vertical="center"/>
    </xf>
    <xf numFmtId="0" fontId="2" fillId="0" borderId="0" xfId="0" applyFont="1"/>
    <xf numFmtId="0" fontId="3" fillId="15" borderId="5" xfId="0" applyFont="1" applyFill="1" applyBorder="1" applyAlignment="1">
      <alignment vertical="center"/>
    </xf>
    <xf numFmtId="0" fontId="0" fillId="15" borderId="4" xfId="0" applyFill="1" applyBorder="1" applyAlignment="1">
      <alignment horizontal="center"/>
    </xf>
    <xf numFmtId="0" fontId="0" fillId="15" borderId="4" xfId="0" applyFill="1" applyBorder="1" applyAlignment="1">
      <alignment wrapText="1"/>
    </xf>
    <xf numFmtId="0" fontId="0" fillId="15" borderId="4" xfId="0" applyFill="1" applyBorder="1"/>
    <xf numFmtId="0" fontId="6" fillId="15" borderId="0" xfId="0" applyFont="1" applyFill="1"/>
    <xf numFmtId="0" fontId="23" fillId="16" borderId="5" xfId="0" applyFont="1" applyFill="1" applyBorder="1" applyAlignment="1">
      <alignment horizontal="center" vertical="center"/>
    </xf>
    <xf numFmtId="0" fontId="23" fillId="16" borderId="5" xfId="0" applyFont="1" applyFill="1" applyBorder="1" applyAlignment="1">
      <alignment vertical="center" wrapText="1"/>
    </xf>
    <xf numFmtId="0" fontId="23" fillId="16" borderId="5" xfId="0" applyFont="1" applyFill="1" applyBorder="1" applyAlignment="1">
      <alignment vertical="center"/>
    </xf>
    <xf numFmtId="49" fontId="23" fillId="16" borderId="5" xfId="0" applyNumberFormat="1" applyFont="1" applyFill="1" applyBorder="1" applyAlignment="1">
      <alignment vertical="center"/>
    </xf>
    <xf numFmtId="0" fontId="23" fillId="16" borderId="5" xfId="0" applyFont="1" applyFill="1" applyBorder="1"/>
    <xf numFmtId="0" fontId="24" fillId="16" borderId="5" xfId="0" applyFont="1" applyFill="1" applyBorder="1" applyAlignment="1">
      <alignment vertical="center"/>
    </xf>
    <xf numFmtId="0" fontId="23" fillId="16" borderId="0" xfId="0" applyFont="1" applyFill="1"/>
    <xf numFmtId="0" fontId="21" fillId="16" borderId="5" xfId="0" applyFont="1" applyFill="1" applyBorder="1" applyAlignment="1">
      <alignment horizontal="center" vertical="center"/>
    </xf>
    <xf numFmtId="0" fontId="21" fillId="16" borderId="5" xfId="0" applyFont="1" applyFill="1" applyBorder="1" applyAlignment="1">
      <alignment vertical="center" wrapText="1"/>
    </xf>
    <xf numFmtId="0" fontId="21" fillId="16" borderId="5" xfId="0" applyFont="1" applyFill="1" applyBorder="1" applyAlignment="1">
      <alignment vertical="center"/>
    </xf>
    <xf numFmtId="49" fontId="21" fillId="16" borderId="5" xfId="0" applyNumberFormat="1" applyFont="1" applyFill="1" applyBorder="1" applyAlignment="1">
      <alignment vertical="center"/>
    </xf>
    <xf numFmtId="0" fontId="21" fillId="16" borderId="5" xfId="0" applyFont="1" applyFill="1" applyBorder="1"/>
    <xf numFmtId="0" fontId="22" fillId="16" borderId="5" xfId="0" applyFont="1" applyFill="1" applyBorder="1" applyAlignment="1">
      <alignment vertical="center"/>
    </xf>
    <xf numFmtId="0" fontId="21" fillId="16" borderId="0" xfId="0" applyFont="1" applyFill="1"/>
    <xf numFmtId="0" fontId="25" fillId="15" borderId="5" xfId="0" applyFont="1" applyFill="1" applyBorder="1" applyAlignment="1">
      <alignment horizontal="center" vertical="center"/>
    </xf>
    <xf numFmtId="0" fontId="25" fillId="15" borderId="5" xfId="0" applyFont="1" applyFill="1" applyBorder="1" applyAlignment="1">
      <alignment vertical="center" wrapText="1"/>
    </xf>
    <xf numFmtId="0" fontId="25" fillId="15" borderId="5" xfId="0" applyFont="1" applyFill="1" applyBorder="1" applyAlignment="1">
      <alignment vertical="center"/>
    </xf>
    <xf numFmtId="49" fontId="25" fillId="15" borderId="5" xfId="0" applyNumberFormat="1" applyFont="1" applyFill="1" applyBorder="1" applyAlignment="1">
      <alignment vertical="center"/>
    </xf>
    <xf numFmtId="0" fontId="25" fillId="15" borderId="5" xfId="0" applyFont="1" applyFill="1" applyBorder="1"/>
    <xf numFmtId="0" fontId="26" fillId="15" borderId="5" xfId="0" applyFont="1" applyFill="1" applyBorder="1" applyAlignment="1">
      <alignment vertical="center"/>
    </xf>
    <xf numFmtId="0" fontId="25" fillId="15" borderId="0" xfId="0" applyFont="1" applyFill="1"/>
    <xf numFmtId="0" fontId="3" fillId="5" borderId="0" xfId="0" applyFont="1" applyFill="1" applyAlignment="1">
      <alignment horizontal="center" vertical="center" wrapText="1"/>
    </xf>
    <xf numFmtId="0" fontId="3" fillId="0" borderId="14" xfId="0" applyFont="1" applyBorder="1" applyAlignment="1">
      <alignment horizontal="center" vertical="center" wrapText="1"/>
    </xf>
    <xf numFmtId="0" fontId="27" fillId="0" borderId="0" xfId="2" applyAlignment="1">
      <alignment vertic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wrapText="1"/>
    </xf>
  </cellXfs>
  <cellStyles count="3">
    <cellStyle name="Comma" xfId="1" builtinId="3"/>
    <cellStyle name="Hyperlink" xfId="2" builtinId="8"/>
    <cellStyle name="Normal" xfId="0" builtinId="0"/>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Condition=@OCRPhyOper_FIRST%20!=%20#EMPTY &amp;&amp; #LENGTH[@OCRPhyOper_FIRST] &lt; 3; FlagDescription=Operating Physician First Name is too short"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84"/>
  <sheetViews>
    <sheetView topLeftCell="C1" zoomScaleNormal="100" workbookViewId="0">
      <pane ySplit="1" topLeftCell="A25" activePane="bottomLeft" state="frozen"/>
      <selection pane="bottomLeft" activeCell="M32" sqref="M32"/>
    </sheetView>
  </sheetViews>
  <sheetFormatPr defaultRowHeight="14.5" x14ac:dyDescent="0.35"/>
  <cols>
    <col min="1" max="1" width="8.26953125" style="22" customWidth="1"/>
    <col min="2" max="2" width="15.81640625" style="6" customWidth="1"/>
    <col min="3" max="3" width="33.1796875" style="4" customWidth="1"/>
    <col min="4" max="4" width="20.453125" style="4" customWidth="1"/>
    <col min="5" max="5" width="5.54296875" style="22" customWidth="1"/>
    <col min="6" max="6" width="6.1796875" style="22" customWidth="1"/>
    <col min="7" max="7" width="7.7265625" style="22" customWidth="1"/>
    <col min="8" max="8" width="8" style="62" customWidth="1"/>
    <col min="9" max="9" width="12.26953125" style="6" customWidth="1"/>
    <col min="10" max="10" width="10.1796875" style="6" customWidth="1"/>
    <col min="11" max="11" width="22.453125" style="6" customWidth="1"/>
    <col min="12" max="12" width="21.54296875" style="6" customWidth="1"/>
    <col min="13" max="13" width="9.453125" customWidth="1"/>
    <col min="14" max="14" width="22.1796875" style="6" customWidth="1"/>
    <col min="16" max="16" width="51" style="65" customWidth="1"/>
    <col min="28" max="28" width="37.54296875" customWidth="1"/>
  </cols>
  <sheetData>
    <row r="1" spans="1:16" s="6" customFormat="1" ht="43.5" x14ac:dyDescent="0.35">
      <c r="A1" s="57" t="s">
        <v>0</v>
      </c>
      <c r="B1" s="29" t="s">
        <v>1</v>
      </c>
      <c r="C1" s="29" t="s">
        <v>2</v>
      </c>
      <c r="D1" s="29" t="s">
        <v>3</v>
      </c>
      <c r="E1" s="55" t="s">
        <v>4</v>
      </c>
      <c r="F1" s="55" t="s">
        <v>5</v>
      </c>
      <c r="G1" s="55" t="s">
        <v>6</v>
      </c>
      <c r="H1" s="54" t="s">
        <v>7</v>
      </c>
      <c r="I1" s="29" t="s">
        <v>8</v>
      </c>
      <c r="J1" s="29" t="s">
        <v>9</v>
      </c>
      <c r="K1" s="29" t="s">
        <v>10</v>
      </c>
      <c r="L1" s="29" t="s">
        <v>3785</v>
      </c>
      <c r="M1" s="29" t="s">
        <v>13</v>
      </c>
      <c r="N1" s="29" t="s">
        <v>12</v>
      </c>
      <c r="P1" s="30" t="s">
        <v>14</v>
      </c>
    </row>
    <row r="2" spans="1:16" s="418" customFormat="1" ht="290" x14ac:dyDescent="0.35">
      <c r="A2" s="412">
        <v>2001</v>
      </c>
      <c r="B2" s="413" t="s">
        <v>15</v>
      </c>
      <c r="C2" s="414" t="s">
        <v>16</v>
      </c>
      <c r="D2" s="414" t="s">
        <v>17</v>
      </c>
      <c r="E2" s="412">
        <v>0</v>
      </c>
      <c r="F2" s="412">
        <v>60</v>
      </c>
      <c r="G2" s="412"/>
      <c r="H2" s="415"/>
      <c r="I2" s="413" t="s">
        <v>18</v>
      </c>
      <c r="J2" s="413"/>
      <c r="K2" s="413" t="s">
        <v>19</v>
      </c>
      <c r="L2" s="413"/>
      <c r="M2" s="416" t="s">
        <v>3861</v>
      </c>
      <c r="N2" s="413"/>
      <c r="P2" s="417"/>
    </row>
    <row r="3" spans="1:16" s="418" customFormat="1" ht="29" x14ac:dyDescent="0.35">
      <c r="A3" s="412">
        <v>2002</v>
      </c>
      <c r="B3" s="413" t="s">
        <v>15</v>
      </c>
      <c r="C3" s="414" t="s">
        <v>20</v>
      </c>
      <c r="D3" s="414" t="s">
        <v>21</v>
      </c>
      <c r="E3" s="412">
        <v>0</v>
      </c>
      <c r="F3" s="412">
        <v>60</v>
      </c>
      <c r="G3" s="412"/>
      <c r="H3" s="415"/>
      <c r="I3" s="413" t="s">
        <v>18</v>
      </c>
      <c r="J3" s="413"/>
      <c r="K3" s="413" t="s">
        <v>22</v>
      </c>
      <c r="L3" s="413"/>
      <c r="M3" s="416" t="s">
        <v>3861</v>
      </c>
      <c r="N3" s="413"/>
      <c r="P3" s="417"/>
    </row>
    <row r="4" spans="1:16" s="418" customFormat="1" x14ac:dyDescent="0.35">
      <c r="A4" s="412">
        <v>2003</v>
      </c>
      <c r="B4" s="413" t="s">
        <v>15</v>
      </c>
      <c r="C4" s="414" t="s">
        <v>23</v>
      </c>
      <c r="D4" s="414" t="s">
        <v>24</v>
      </c>
      <c r="E4" s="412">
        <v>0</v>
      </c>
      <c r="F4" s="412">
        <v>60</v>
      </c>
      <c r="G4" s="412"/>
      <c r="H4" s="415"/>
      <c r="I4" s="413"/>
      <c r="J4" s="413"/>
      <c r="K4" s="413"/>
      <c r="L4" s="413"/>
      <c r="M4" s="416" t="s">
        <v>3861</v>
      </c>
      <c r="N4" s="413"/>
      <c r="P4" s="417"/>
    </row>
    <row r="5" spans="1:16" s="418" customFormat="1" x14ac:dyDescent="0.35">
      <c r="A5" s="412">
        <v>2004</v>
      </c>
      <c r="B5" s="413" t="s">
        <v>15</v>
      </c>
      <c r="C5" s="414" t="s">
        <v>25</v>
      </c>
      <c r="D5" s="414" t="s">
        <v>26</v>
      </c>
      <c r="E5" s="412">
        <v>0</v>
      </c>
      <c r="F5" s="412">
        <v>20</v>
      </c>
      <c r="G5" s="412"/>
      <c r="H5" s="415"/>
      <c r="I5" s="413" t="s">
        <v>27</v>
      </c>
      <c r="J5" s="413"/>
      <c r="K5" s="413" t="s">
        <v>28</v>
      </c>
      <c r="L5" s="413"/>
      <c r="M5" s="416" t="s">
        <v>3861</v>
      </c>
      <c r="N5" s="413"/>
      <c r="P5" s="417"/>
    </row>
    <row r="6" spans="1:16" ht="29" x14ac:dyDescent="0.35">
      <c r="A6" s="58">
        <v>2005</v>
      </c>
      <c r="B6" s="61" t="s">
        <v>15</v>
      </c>
      <c r="C6" s="59" t="s">
        <v>29</v>
      </c>
      <c r="D6" s="59" t="s">
        <v>30</v>
      </c>
      <c r="E6" s="58">
        <v>0</v>
      </c>
      <c r="F6" s="58">
        <v>60</v>
      </c>
      <c r="G6" s="58"/>
      <c r="H6" s="60"/>
      <c r="I6" s="128" t="s">
        <v>31</v>
      </c>
      <c r="J6" s="61"/>
      <c r="K6" s="61" t="s">
        <v>30</v>
      </c>
      <c r="L6" s="61" t="s">
        <v>3787</v>
      </c>
      <c r="M6" s="416" t="s">
        <v>3861</v>
      </c>
      <c r="N6" s="61"/>
      <c r="P6" s="64"/>
    </row>
    <row r="7" spans="1:16" ht="29" x14ac:dyDescent="0.35">
      <c r="A7" s="58">
        <v>2006</v>
      </c>
      <c r="B7" s="61" t="s">
        <v>15</v>
      </c>
      <c r="C7" s="59" t="s">
        <v>32</v>
      </c>
      <c r="D7" s="59" t="s">
        <v>22</v>
      </c>
      <c r="E7" s="58">
        <v>0</v>
      </c>
      <c r="F7" s="58">
        <v>30</v>
      </c>
      <c r="G7" s="58"/>
      <c r="H7" s="60"/>
      <c r="I7" s="61" t="s">
        <v>31</v>
      </c>
      <c r="J7" s="61"/>
      <c r="K7" s="61" t="s">
        <v>22</v>
      </c>
      <c r="L7" s="61" t="s">
        <v>3786</v>
      </c>
      <c r="M7" s="416" t="s">
        <v>3861</v>
      </c>
      <c r="N7" s="61"/>
      <c r="P7" s="64"/>
    </row>
    <row r="8" spans="1:16" x14ac:dyDescent="0.35">
      <c r="A8" s="58">
        <v>2007</v>
      </c>
      <c r="B8" s="61" t="s">
        <v>15</v>
      </c>
      <c r="C8" s="59" t="s">
        <v>33</v>
      </c>
      <c r="D8" s="59" t="s">
        <v>34</v>
      </c>
      <c r="E8" s="58">
        <v>0</v>
      </c>
      <c r="F8" s="58">
        <v>20</v>
      </c>
      <c r="G8" s="58"/>
      <c r="H8" s="60"/>
      <c r="I8" s="61" t="s">
        <v>35</v>
      </c>
      <c r="J8" s="61"/>
      <c r="K8" s="61" t="s">
        <v>34</v>
      </c>
      <c r="L8" s="61" t="s">
        <v>3788</v>
      </c>
      <c r="M8" s="416" t="s">
        <v>3861</v>
      </c>
      <c r="N8" s="61"/>
      <c r="P8" s="64"/>
    </row>
    <row r="9" spans="1:16" ht="29" x14ac:dyDescent="0.35">
      <c r="A9" s="58">
        <v>2008</v>
      </c>
      <c r="B9" s="61" t="s">
        <v>15</v>
      </c>
      <c r="C9" s="59" t="s">
        <v>36</v>
      </c>
      <c r="D9" s="59" t="s">
        <v>37</v>
      </c>
      <c r="E9" s="58">
        <v>0</v>
      </c>
      <c r="F9" s="58">
        <v>2</v>
      </c>
      <c r="G9" s="58"/>
      <c r="H9" s="60"/>
      <c r="I9" s="61"/>
      <c r="J9" s="61"/>
      <c r="K9" s="61" t="s">
        <v>37</v>
      </c>
      <c r="L9" s="61" t="s">
        <v>3789</v>
      </c>
      <c r="M9" s="416" t="s">
        <v>3861</v>
      </c>
      <c r="N9" s="61"/>
      <c r="P9" s="64"/>
    </row>
    <row r="10" spans="1:16" x14ac:dyDescent="0.35">
      <c r="A10" s="58">
        <v>2009</v>
      </c>
      <c r="B10" s="61" t="s">
        <v>15</v>
      </c>
      <c r="C10" s="59" t="s">
        <v>38</v>
      </c>
      <c r="D10" s="59" t="s">
        <v>39</v>
      </c>
      <c r="E10" s="58">
        <v>0</v>
      </c>
      <c r="F10" s="58">
        <v>10</v>
      </c>
      <c r="G10" s="58"/>
      <c r="H10" s="63" t="s">
        <v>40</v>
      </c>
      <c r="I10" s="61" t="s">
        <v>27</v>
      </c>
      <c r="J10" s="61"/>
      <c r="K10" s="61" t="s">
        <v>39</v>
      </c>
      <c r="L10" s="61" t="s">
        <v>3790</v>
      </c>
      <c r="M10" s="416" t="s">
        <v>3861</v>
      </c>
      <c r="N10" s="61"/>
      <c r="P10" s="64"/>
    </row>
    <row r="11" spans="1:16" s="425" customFormat="1" ht="29" x14ac:dyDescent="0.35">
      <c r="A11" s="419">
        <v>2010</v>
      </c>
      <c r="B11" s="420" t="s">
        <v>15</v>
      </c>
      <c r="C11" s="421" t="s">
        <v>41</v>
      </c>
      <c r="D11" s="421" t="s">
        <v>42</v>
      </c>
      <c r="E11" s="419">
        <v>0</v>
      </c>
      <c r="F11" s="419">
        <v>4</v>
      </c>
      <c r="G11" s="419"/>
      <c r="H11" s="422" t="s">
        <v>40</v>
      </c>
      <c r="I11" s="420" t="s">
        <v>27</v>
      </c>
      <c r="J11" s="420"/>
      <c r="K11" s="420" t="s">
        <v>42</v>
      </c>
      <c r="L11" s="420"/>
      <c r="M11" s="423" t="s">
        <v>3860</v>
      </c>
      <c r="N11" s="420"/>
      <c r="P11" s="424"/>
    </row>
    <row r="12" spans="1:16" x14ac:dyDescent="0.35">
      <c r="A12" s="58">
        <v>2011</v>
      </c>
      <c r="B12" s="61" t="s">
        <v>15</v>
      </c>
      <c r="C12" s="59" t="s">
        <v>43</v>
      </c>
      <c r="D12" s="59" t="s">
        <v>28</v>
      </c>
      <c r="E12" s="58">
        <v>0</v>
      </c>
      <c r="F12" s="58">
        <v>20</v>
      </c>
      <c r="G12" s="58"/>
      <c r="H12" s="60"/>
      <c r="I12" s="61" t="s">
        <v>27</v>
      </c>
      <c r="J12" s="61"/>
      <c r="K12" s="61" t="s">
        <v>28</v>
      </c>
      <c r="L12" s="61" t="s">
        <v>3791</v>
      </c>
      <c r="M12" s="416" t="s">
        <v>3861</v>
      </c>
      <c r="N12" s="61"/>
      <c r="P12" s="64"/>
    </row>
    <row r="13" spans="1:16" s="418" customFormat="1" ht="290" x14ac:dyDescent="0.35">
      <c r="A13" s="412">
        <v>2012</v>
      </c>
      <c r="B13" s="413" t="s">
        <v>44</v>
      </c>
      <c r="C13" s="414" t="s">
        <v>45</v>
      </c>
      <c r="D13" s="414" t="s">
        <v>46</v>
      </c>
      <c r="E13" s="412">
        <v>0</v>
      </c>
      <c r="F13" s="412">
        <v>60</v>
      </c>
      <c r="G13" s="412"/>
      <c r="H13" s="415"/>
      <c r="I13" s="413" t="s">
        <v>18</v>
      </c>
      <c r="J13" s="413"/>
      <c r="K13" s="413" t="s">
        <v>47</v>
      </c>
      <c r="L13" s="413"/>
      <c r="M13" s="416"/>
      <c r="N13" s="413"/>
      <c r="P13" s="417"/>
    </row>
    <row r="14" spans="1:16" s="418" customFormat="1" ht="29" x14ac:dyDescent="0.35">
      <c r="A14" s="412">
        <v>2013</v>
      </c>
      <c r="B14" s="413" t="s">
        <v>44</v>
      </c>
      <c r="C14" s="414" t="s">
        <v>48</v>
      </c>
      <c r="D14" s="414" t="s">
        <v>49</v>
      </c>
      <c r="E14" s="412">
        <v>0</v>
      </c>
      <c r="F14" s="412">
        <v>60</v>
      </c>
      <c r="G14" s="412"/>
      <c r="H14" s="415"/>
      <c r="I14" s="413" t="s">
        <v>18</v>
      </c>
      <c r="J14" s="413"/>
      <c r="K14" s="413"/>
      <c r="L14" s="413"/>
      <c r="M14" s="416" t="s">
        <v>3864</v>
      </c>
      <c r="N14" s="413"/>
      <c r="P14" s="417"/>
    </row>
    <row r="15" spans="1:16" s="418" customFormat="1" x14ac:dyDescent="0.35">
      <c r="A15" s="412">
        <v>2014</v>
      </c>
      <c r="B15" s="413" t="s">
        <v>44</v>
      </c>
      <c r="C15" s="414" t="s">
        <v>50</v>
      </c>
      <c r="D15" s="414" t="s">
        <v>51</v>
      </c>
      <c r="E15" s="412">
        <v>0</v>
      </c>
      <c r="F15" s="412">
        <v>60</v>
      </c>
      <c r="G15" s="412"/>
      <c r="H15" s="415"/>
      <c r="I15" s="413"/>
      <c r="J15" s="413"/>
      <c r="K15" s="413"/>
      <c r="L15" s="413"/>
      <c r="M15" s="416" t="s">
        <v>3864</v>
      </c>
      <c r="N15" s="413"/>
      <c r="P15" s="417"/>
    </row>
    <row r="16" spans="1:16" s="418" customFormat="1" x14ac:dyDescent="0.35">
      <c r="A16" s="412">
        <v>2015</v>
      </c>
      <c r="B16" s="413" t="s">
        <v>44</v>
      </c>
      <c r="C16" s="414" t="s">
        <v>52</v>
      </c>
      <c r="D16" s="414" t="s">
        <v>53</v>
      </c>
      <c r="E16" s="412">
        <v>0</v>
      </c>
      <c r="F16" s="412">
        <v>60</v>
      </c>
      <c r="G16" s="412"/>
      <c r="H16" s="415"/>
      <c r="I16" s="413"/>
      <c r="J16" s="413"/>
      <c r="K16" s="413"/>
      <c r="L16" s="413"/>
      <c r="M16" s="416" t="s">
        <v>3864</v>
      </c>
      <c r="N16" s="413"/>
      <c r="P16" s="417"/>
    </row>
    <row r="17" spans="1:16" x14ac:dyDescent="0.35">
      <c r="A17" s="58">
        <v>2016</v>
      </c>
      <c r="B17" s="61" t="s">
        <v>44</v>
      </c>
      <c r="C17" s="59" t="s">
        <v>54</v>
      </c>
      <c r="D17" s="59" t="s">
        <v>55</v>
      </c>
      <c r="E17" s="58">
        <v>0</v>
      </c>
      <c r="F17" s="58">
        <v>30</v>
      </c>
      <c r="G17" s="58"/>
      <c r="H17" s="60"/>
      <c r="I17" s="61" t="s">
        <v>56</v>
      </c>
      <c r="J17" s="61"/>
      <c r="K17" s="61" t="s">
        <v>55</v>
      </c>
      <c r="L17" s="61" t="s">
        <v>3792</v>
      </c>
      <c r="M17" s="56"/>
      <c r="N17" s="61"/>
      <c r="P17" s="64"/>
    </row>
    <row r="18" spans="1:16" ht="29" x14ac:dyDescent="0.35">
      <c r="A18" s="58">
        <v>2017</v>
      </c>
      <c r="B18" s="61" t="s">
        <v>44</v>
      </c>
      <c r="C18" s="59" t="s">
        <v>57</v>
      </c>
      <c r="D18" s="59" t="s">
        <v>58</v>
      </c>
      <c r="E18" s="58">
        <v>0</v>
      </c>
      <c r="F18" s="58">
        <v>30</v>
      </c>
      <c r="G18" s="58"/>
      <c r="H18" s="60"/>
      <c r="I18" s="61" t="s">
        <v>31</v>
      </c>
      <c r="J18" s="61"/>
      <c r="K18" s="61" t="s">
        <v>58</v>
      </c>
      <c r="L18" s="61" t="s">
        <v>3793</v>
      </c>
      <c r="M18" s="56"/>
      <c r="N18" s="61"/>
      <c r="P18" s="64"/>
    </row>
    <row r="19" spans="1:16" x14ac:dyDescent="0.35">
      <c r="A19" s="58">
        <v>2018</v>
      </c>
      <c r="B19" s="61" t="s">
        <v>44</v>
      </c>
      <c r="C19" s="59" t="s">
        <v>59</v>
      </c>
      <c r="D19" s="59" t="s">
        <v>60</v>
      </c>
      <c r="E19" s="58">
        <v>0</v>
      </c>
      <c r="F19" s="58">
        <v>20</v>
      </c>
      <c r="G19" s="58"/>
      <c r="H19" s="60"/>
      <c r="I19" s="61" t="s">
        <v>61</v>
      </c>
      <c r="J19" s="61"/>
      <c r="K19" s="61" t="s">
        <v>60</v>
      </c>
      <c r="L19" s="61" t="s">
        <v>3794</v>
      </c>
      <c r="M19" s="56"/>
      <c r="N19" s="61"/>
      <c r="P19" s="64"/>
    </row>
    <row r="20" spans="1:16" ht="29" x14ac:dyDescent="0.35">
      <c r="A20" s="58">
        <v>2019</v>
      </c>
      <c r="B20" s="61" t="s">
        <v>44</v>
      </c>
      <c r="C20" s="59" t="s">
        <v>62</v>
      </c>
      <c r="D20" s="59" t="s">
        <v>63</v>
      </c>
      <c r="E20" s="58">
        <v>0</v>
      </c>
      <c r="F20" s="58">
        <v>2</v>
      </c>
      <c r="G20" s="58"/>
      <c r="H20" s="60"/>
      <c r="I20" s="61" t="s">
        <v>61</v>
      </c>
      <c r="J20" s="61"/>
      <c r="K20" s="61" t="s">
        <v>63</v>
      </c>
      <c r="L20" s="61" t="s">
        <v>3796</v>
      </c>
      <c r="M20" s="56"/>
      <c r="N20" s="61"/>
      <c r="P20" s="64"/>
    </row>
    <row r="21" spans="1:16" x14ac:dyDescent="0.35">
      <c r="A21" s="58">
        <v>2020</v>
      </c>
      <c r="B21" s="61" t="s">
        <v>44</v>
      </c>
      <c r="C21" s="59" t="s">
        <v>64</v>
      </c>
      <c r="D21" s="59" t="s">
        <v>65</v>
      </c>
      <c r="E21" s="58">
        <v>0</v>
      </c>
      <c r="F21" s="58">
        <v>5</v>
      </c>
      <c r="G21" s="58"/>
      <c r="H21" s="60"/>
      <c r="I21" s="61" t="s">
        <v>27</v>
      </c>
      <c r="J21" s="61"/>
      <c r="K21" s="61" t="s">
        <v>65</v>
      </c>
      <c r="L21" s="61" t="s">
        <v>3795</v>
      </c>
      <c r="M21" s="56"/>
      <c r="N21" s="61"/>
      <c r="P21" s="64"/>
    </row>
    <row r="22" spans="1:16" s="425" customFormat="1" ht="29" x14ac:dyDescent="0.35">
      <c r="A22" s="419">
        <v>2021</v>
      </c>
      <c r="B22" s="420" t="s">
        <v>44</v>
      </c>
      <c r="C22" s="421" t="s">
        <v>66</v>
      </c>
      <c r="D22" s="421" t="s">
        <v>67</v>
      </c>
      <c r="E22" s="419">
        <v>0</v>
      </c>
      <c r="F22" s="419">
        <v>4</v>
      </c>
      <c r="G22" s="419"/>
      <c r="H22" s="422"/>
      <c r="I22" s="420" t="s">
        <v>27</v>
      </c>
      <c r="J22" s="420"/>
      <c r="K22" s="420" t="s">
        <v>67</v>
      </c>
      <c r="L22" s="420"/>
      <c r="M22" s="423"/>
      <c r="N22" s="420"/>
      <c r="P22" s="424"/>
    </row>
    <row r="23" spans="1:16" x14ac:dyDescent="0.35">
      <c r="A23" s="58">
        <v>2022</v>
      </c>
      <c r="B23" s="61" t="s">
        <v>68</v>
      </c>
      <c r="C23" s="59" t="s">
        <v>69</v>
      </c>
      <c r="D23" s="59" t="s">
        <v>70</v>
      </c>
      <c r="E23" s="58">
        <v>0</v>
      </c>
      <c r="F23" s="58">
        <v>20</v>
      </c>
      <c r="G23" s="58"/>
      <c r="H23" s="60"/>
      <c r="I23" s="61" t="s">
        <v>71</v>
      </c>
      <c r="J23" s="61"/>
      <c r="K23" s="61" t="s">
        <v>70</v>
      </c>
      <c r="L23" s="61"/>
      <c r="M23" s="56" t="s">
        <v>3861</v>
      </c>
      <c r="N23" s="61"/>
      <c r="P23" s="64"/>
    </row>
    <row r="24" spans="1:16" s="400" customFormat="1" x14ac:dyDescent="0.35">
      <c r="A24" s="394">
        <v>2023</v>
      </c>
      <c r="B24" s="395" t="s">
        <v>72</v>
      </c>
      <c r="C24" s="396" t="s">
        <v>73</v>
      </c>
      <c r="D24" s="396" t="s">
        <v>74</v>
      </c>
      <c r="E24" s="394">
        <v>0</v>
      </c>
      <c r="F24" s="394">
        <v>30</v>
      </c>
      <c r="G24" s="394"/>
      <c r="H24" s="397"/>
      <c r="I24" s="395" t="s">
        <v>75</v>
      </c>
      <c r="J24" s="395"/>
      <c r="K24" s="395" t="s">
        <v>74</v>
      </c>
      <c r="L24" s="395"/>
      <c r="M24" s="398" t="s">
        <v>3862</v>
      </c>
      <c r="N24" s="395"/>
      <c r="P24" s="399"/>
    </row>
    <row r="25" spans="1:16" x14ac:dyDescent="0.35">
      <c r="A25" s="58">
        <v>2024</v>
      </c>
      <c r="B25" s="61" t="s">
        <v>76</v>
      </c>
      <c r="C25" s="59" t="s">
        <v>77</v>
      </c>
      <c r="D25" s="59" t="s">
        <v>78</v>
      </c>
      <c r="E25" s="58">
        <v>0</v>
      </c>
      <c r="F25" s="58">
        <v>4</v>
      </c>
      <c r="G25" s="58"/>
      <c r="H25" s="60"/>
      <c r="I25" s="61" t="s">
        <v>71</v>
      </c>
      <c r="J25" s="61"/>
      <c r="K25" s="61" t="s">
        <v>78</v>
      </c>
      <c r="L25" s="61"/>
      <c r="M25" s="56" t="s">
        <v>3861</v>
      </c>
      <c r="N25" s="61"/>
      <c r="P25" s="64"/>
    </row>
    <row r="26" spans="1:16" s="400" customFormat="1" x14ac:dyDescent="0.35">
      <c r="A26" s="394">
        <v>2025</v>
      </c>
      <c r="B26" s="395" t="s">
        <v>79</v>
      </c>
      <c r="C26" s="396" t="s">
        <v>80</v>
      </c>
      <c r="D26" s="396" t="s">
        <v>81</v>
      </c>
      <c r="E26" s="394">
        <v>0</v>
      </c>
      <c r="F26" s="394">
        <v>50</v>
      </c>
      <c r="G26" s="394"/>
      <c r="H26" s="397"/>
      <c r="I26" s="395" t="s">
        <v>71</v>
      </c>
      <c r="J26" s="395"/>
      <c r="K26" s="395" t="s">
        <v>81</v>
      </c>
      <c r="L26" s="395"/>
      <c r="M26" s="56" t="s">
        <v>3861</v>
      </c>
      <c r="N26" s="395"/>
      <c r="P26" s="399"/>
    </row>
    <row r="27" spans="1:16" ht="29" x14ac:dyDescent="0.35">
      <c r="A27" s="58">
        <v>2026</v>
      </c>
      <c r="B27" s="61" t="s">
        <v>82</v>
      </c>
      <c r="C27" s="59" t="s">
        <v>83</v>
      </c>
      <c r="D27" s="59" t="s">
        <v>84</v>
      </c>
      <c r="E27" s="58">
        <v>0</v>
      </c>
      <c r="F27" s="58">
        <v>10</v>
      </c>
      <c r="G27" s="58"/>
      <c r="H27" s="60"/>
      <c r="I27" s="61" t="s">
        <v>85</v>
      </c>
      <c r="J27" s="61"/>
      <c r="K27" s="61" t="s">
        <v>84</v>
      </c>
      <c r="L27" s="61"/>
      <c r="M27" s="56" t="s">
        <v>3861</v>
      </c>
      <c r="N27" s="61" t="s">
        <v>86</v>
      </c>
      <c r="P27" s="64"/>
    </row>
    <row r="28" spans="1:16" ht="29" x14ac:dyDescent="0.35">
      <c r="A28" s="58">
        <v>2027</v>
      </c>
      <c r="B28" s="61" t="s">
        <v>82</v>
      </c>
      <c r="C28" s="59" t="s">
        <v>87</v>
      </c>
      <c r="D28" s="59" t="s">
        <v>88</v>
      </c>
      <c r="E28" s="58">
        <v>0</v>
      </c>
      <c r="F28" s="58">
        <v>10</v>
      </c>
      <c r="G28" s="58"/>
      <c r="H28" s="60"/>
      <c r="I28" s="61" t="s">
        <v>85</v>
      </c>
      <c r="J28" s="61"/>
      <c r="K28" s="61" t="s">
        <v>88</v>
      </c>
      <c r="L28" s="61"/>
      <c r="M28" s="56" t="s">
        <v>3861</v>
      </c>
      <c r="N28" s="61" t="s">
        <v>86</v>
      </c>
      <c r="P28" s="64"/>
    </row>
    <row r="29" spans="1:16" s="400" customFormat="1" x14ac:dyDescent="0.35">
      <c r="A29" s="394">
        <v>2028</v>
      </c>
      <c r="B29" s="395" t="s">
        <v>89</v>
      </c>
      <c r="C29" s="396" t="s">
        <v>90</v>
      </c>
      <c r="D29" s="396" t="s">
        <v>91</v>
      </c>
      <c r="E29" s="394">
        <v>0</v>
      </c>
      <c r="F29" s="394">
        <v>50</v>
      </c>
      <c r="G29" s="394"/>
      <c r="H29" s="397"/>
      <c r="I29" s="395"/>
      <c r="J29" s="395"/>
      <c r="K29" s="395" t="s">
        <v>91</v>
      </c>
      <c r="L29" s="395"/>
      <c r="M29" s="398"/>
      <c r="N29" s="395"/>
      <c r="P29" s="399"/>
    </row>
    <row r="30" spans="1:16" s="400" customFormat="1" x14ac:dyDescent="0.35">
      <c r="A30" s="394">
        <v>2029</v>
      </c>
      <c r="B30" s="395" t="s">
        <v>89</v>
      </c>
      <c r="C30" s="396" t="s">
        <v>92</v>
      </c>
      <c r="D30" s="396" t="s">
        <v>93</v>
      </c>
      <c r="E30" s="394">
        <v>0</v>
      </c>
      <c r="F30" s="394">
        <v>50</v>
      </c>
      <c r="G30" s="394"/>
      <c r="H30" s="397"/>
      <c r="I30" s="395"/>
      <c r="J30" s="395"/>
      <c r="K30" s="395" t="s">
        <v>93</v>
      </c>
      <c r="L30" s="395"/>
      <c r="M30" s="398"/>
      <c r="N30" s="395"/>
      <c r="P30" s="399"/>
    </row>
    <row r="31" spans="1:16" x14ac:dyDescent="0.35">
      <c r="A31" s="58">
        <v>2030</v>
      </c>
      <c r="B31" s="61" t="s">
        <v>94</v>
      </c>
      <c r="C31" s="59" t="s">
        <v>95</v>
      </c>
      <c r="D31" s="59" t="s">
        <v>96</v>
      </c>
      <c r="E31" s="58">
        <v>0</v>
      </c>
      <c r="F31" s="58">
        <v>30</v>
      </c>
      <c r="G31" s="58"/>
      <c r="H31" s="60"/>
      <c r="I31" s="61" t="s">
        <v>71</v>
      </c>
      <c r="J31" s="61"/>
      <c r="K31" s="61" t="s">
        <v>96</v>
      </c>
      <c r="L31" s="61"/>
      <c r="M31" s="56"/>
      <c r="N31" s="61"/>
      <c r="P31" s="64"/>
    </row>
    <row r="32" spans="1:16" ht="174" x14ac:dyDescent="0.35">
      <c r="A32" s="58">
        <v>2031</v>
      </c>
      <c r="B32" s="61" t="s">
        <v>97</v>
      </c>
      <c r="C32" s="59" t="s">
        <v>98</v>
      </c>
      <c r="D32" s="59" t="s">
        <v>99</v>
      </c>
      <c r="E32" s="58">
        <v>0</v>
      </c>
      <c r="F32" s="58">
        <v>60</v>
      </c>
      <c r="G32" s="58"/>
      <c r="H32" s="60"/>
      <c r="I32" s="61"/>
      <c r="J32" s="61"/>
      <c r="K32" s="61" t="s">
        <v>100</v>
      </c>
      <c r="L32" s="61"/>
      <c r="M32" s="56" t="s">
        <v>3861</v>
      </c>
      <c r="N32" s="61"/>
      <c r="P32" s="64"/>
    </row>
    <row r="33" spans="1:16" x14ac:dyDescent="0.35">
      <c r="A33" s="58">
        <v>2032</v>
      </c>
      <c r="B33" s="61" t="s">
        <v>97</v>
      </c>
      <c r="C33" s="59" t="s">
        <v>101</v>
      </c>
      <c r="D33" s="59" t="s">
        <v>102</v>
      </c>
      <c r="E33" s="58">
        <v>0</v>
      </c>
      <c r="F33" s="58">
        <v>20</v>
      </c>
      <c r="G33" s="58"/>
      <c r="H33" s="60"/>
      <c r="I33" s="61" t="s">
        <v>56</v>
      </c>
      <c r="J33" s="61"/>
      <c r="K33" s="61" t="s">
        <v>102</v>
      </c>
      <c r="L33" s="61" t="s">
        <v>3797</v>
      </c>
      <c r="M33" s="56"/>
      <c r="N33" s="61"/>
      <c r="P33" s="64"/>
    </row>
    <row r="34" spans="1:16" x14ac:dyDescent="0.35">
      <c r="A34" s="58">
        <v>2033</v>
      </c>
      <c r="B34" s="61" t="s">
        <v>97</v>
      </c>
      <c r="C34" s="59" t="s">
        <v>103</v>
      </c>
      <c r="D34" s="59" t="s">
        <v>104</v>
      </c>
      <c r="E34" s="58">
        <v>0</v>
      </c>
      <c r="F34" s="58">
        <v>12</v>
      </c>
      <c r="G34" s="58"/>
      <c r="H34" s="60"/>
      <c r="I34" s="61" t="s">
        <v>61</v>
      </c>
      <c r="J34" s="61"/>
      <c r="K34" s="61" t="s">
        <v>104</v>
      </c>
      <c r="L34" s="61" t="s">
        <v>3798</v>
      </c>
      <c r="M34" s="56"/>
      <c r="N34" s="61"/>
      <c r="P34" s="64"/>
    </row>
    <row r="35" spans="1:16" x14ac:dyDescent="0.35">
      <c r="A35" s="58">
        <v>2034</v>
      </c>
      <c r="B35" s="61" t="s">
        <v>97</v>
      </c>
      <c r="C35" s="59" t="s">
        <v>105</v>
      </c>
      <c r="D35" s="59" t="s">
        <v>106</v>
      </c>
      <c r="E35" s="58">
        <v>0</v>
      </c>
      <c r="F35" s="58">
        <v>1</v>
      </c>
      <c r="G35" s="58"/>
      <c r="H35" s="60"/>
      <c r="I35" s="61" t="s">
        <v>107</v>
      </c>
      <c r="J35" s="61"/>
      <c r="K35" s="61" t="s">
        <v>106</v>
      </c>
      <c r="L35" s="61" t="s">
        <v>3799</v>
      </c>
      <c r="M35" s="56"/>
      <c r="N35" s="61"/>
      <c r="P35" s="64"/>
    </row>
    <row r="36" spans="1:16" s="400" customFormat="1" x14ac:dyDescent="0.35">
      <c r="A36" s="394">
        <v>2035</v>
      </c>
      <c r="B36" s="395" t="s">
        <v>97</v>
      </c>
      <c r="C36" s="396" t="s">
        <v>108</v>
      </c>
      <c r="D36" s="396" t="s">
        <v>109</v>
      </c>
      <c r="E36" s="394">
        <v>0</v>
      </c>
      <c r="F36" s="394">
        <v>20</v>
      </c>
      <c r="G36" s="394"/>
      <c r="H36" s="397"/>
      <c r="I36" s="395"/>
      <c r="J36" s="395"/>
      <c r="K36" s="395" t="s">
        <v>109</v>
      </c>
      <c r="L36" s="395"/>
      <c r="M36" s="398"/>
      <c r="N36" s="395"/>
      <c r="P36" s="399"/>
    </row>
    <row r="37" spans="1:16" s="432" customFormat="1" x14ac:dyDescent="0.35">
      <c r="A37" s="426">
        <v>2036</v>
      </c>
      <c r="B37" s="427" t="s">
        <v>97</v>
      </c>
      <c r="C37" s="428" t="s">
        <v>110</v>
      </c>
      <c r="D37" s="428" t="s">
        <v>111</v>
      </c>
      <c r="E37" s="426">
        <v>0</v>
      </c>
      <c r="F37" s="426">
        <v>20</v>
      </c>
      <c r="G37" s="426"/>
      <c r="H37" s="429"/>
      <c r="I37" s="427"/>
      <c r="J37" s="427"/>
      <c r="K37" s="427" t="s">
        <v>111</v>
      </c>
      <c r="L37" s="427"/>
      <c r="M37" s="430"/>
      <c r="N37" s="427"/>
      <c r="P37" s="431"/>
    </row>
    <row r="38" spans="1:16" s="432" customFormat="1" x14ac:dyDescent="0.35">
      <c r="A38" s="426">
        <v>2037</v>
      </c>
      <c r="B38" s="427" t="s">
        <v>97</v>
      </c>
      <c r="C38" s="428" t="s">
        <v>112</v>
      </c>
      <c r="D38" s="428" t="s">
        <v>113</v>
      </c>
      <c r="E38" s="426">
        <v>0</v>
      </c>
      <c r="F38" s="426">
        <v>10</v>
      </c>
      <c r="G38" s="426"/>
      <c r="H38" s="429"/>
      <c r="I38" s="427"/>
      <c r="J38" s="427"/>
      <c r="K38" s="427" t="s">
        <v>113</v>
      </c>
      <c r="L38" s="427"/>
      <c r="M38" s="430"/>
      <c r="N38" s="427"/>
      <c r="P38" s="431"/>
    </row>
    <row r="39" spans="1:16" x14ac:dyDescent="0.35">
      <c r="A39" s="58">
        <v>2038</v>
      </c>
      <c r="B39" s="61" t="s">
        <v>114</v>
      </c>
      <c r="C39" s="59" t="s">
        <v>115</v>
      </c>
      <c r="D39" s="59" t="s">
        <v>116</v>
      </c>
      <c r="E39" s="58">
        <v>0</v>
      </c>
      <c r="F39" s="58">
        <v>30</v>
      </c>
      <c r="G39" s="58"/>
      <c r="H39" s="60"/>
      <c r="I39" s="61"/>
      <c r="J39" s="61"/>
      <c r="K39" s="61" t="s">
        <v>116</v>
      </c>
      <c r="L39" s="61" t="s">
        <v>3800</v>
      </c>
      <c r="M39" s="56"/>
      <c r="N39" s="61"/>
      <c r="P39" s="64"/>
    </row>
    <row r="40" spans="1:16" x14ac:dyDescent="0.35">
      <c r="A40" s="58">
        <v>2039</v>
      </c>
      <c r="B40" s="61" t="s">
        <v>117</v>
      </c>
      <c r="C40" s="59" t="s">
        <v>118</v>
      </c>
      <c r="D40" s="59" t="s">
        <v>119</v>
      </c>
      <c r="E40" s="58">
        <v>0</v>
      </c>
      <c r="F40" s="58">
        <v>20</v>
      </c>
      <c r="G40" s="58"/>
      <c r="H40" s="60"/>
      <c r="I40" s="61"/>
      <c r="J40" s="61"/>
      <c r="K40" s="61" t="s">
        <v>119</v>
      </c>
      <c r="L40" s="61" t="s">
        <v>3801</v>
      </c>
      <c r="M40" s="56"/>
      <c r="N40" s="61"/>
      <c r="P40" s="64"/>
    </row>
    <row r="41" spans="1:16" x14ac:dyDescent="0.35">
      <c r="A41" s="58">
        <v>2040</v>
      </c>
      <c r="B41" s="61" t="s">
        <v>120</v>
      </c>
      <c r="C41" s="59" t="s">
        <v>121</v>
      </c>
      <c r="D41" s="59" t="s">
        <v>122</v>
      </c>
      <c r="E41" s="58">
        <v>0</v>
      </c>
      <c r="F41" s="58">
        <v>2</v>
      </c>
      <c r="G41" s="58"/>
      <c r="H41" s="60"/>
      <c r="I41" s="61" t="s">
        <v>107</v>
      </c>
      <c r="J41" s="61"/>
      <c r="K41" s="61" t="s">
        <v>122</v>
      </c>
      <c r="L41" s="61" t="s">
        <v>3802</v>
      </c>
      <c r="M41" s="56"/>
      <c r="N41" s="61"/>
      <c r="P41" s="64"/>
    </row>
    <row r="42" spans="1:16" x14ac:dyDescent="0.35">
      <c r="A42" s="58">
        <v>2041</v>
      </c>
      <c r="B42" s="61" t="s">
        <v>123</v>
      </c>
      <c r="C42" s="59" t="s">
        <v>124</v>
      </c>
      <c r="D42" s="59" t="s">
        <v>125</v>
      </c>
      <c r="E42" s="58">
        <v>0</v>
      </c>
      <c r="F42" s="58">
        <v>10</v>
      </c>
      <c r="G42" s="58"/>
      <c r="H42" s="60"/>
      <c r="I42" s="61" t="s">
        <v>27</v>
      </c>
      <c r="J42" s="61"/>
      <c r="K42" s="61" t="s">
        <v>125</v>
      </c>
      <c r="L42" s="61" t="s">
        <v>3803</v>
      </c>
      <c r="M42" s="56"/>
      <c r="N42" s="61"/>
      <c r="P42" s="64"/>
    </row>
    <row r="43" spans="1:16" s="425" customFormat="1" x14ac:dyDescent="0.35">
      <c r="A43" s="419">
        <v>2042</v>
      </c>
      <c r="B43" s="420" t="s">
        <v>123</v>
      </c>
      <c r="C43" s="421" t="s">
        <v>126</v>
      </c>
      <c r="D43" s="421" t="s">
        <v>127</v>
      </c>
      <c r="E43" s="419">
        <v>0</v>
      </c>
      <c r="F43" s="419">
        <v>4</v>
      </c>
      <c r="G43" s="419"/>
      <c r="H43" s="422"/>
      <c r="I43" s="420" t="s">
        <v>27</v>
      </c>
      <c r="J43" s="420"/>
      <c r="K43" s="420" t="s">
        <v>127</v>
      </c>
      <c r="L43" s="420"/>
      <c r="M43" s="423"/>
      <c r="N43" s="420"/>
      <c r="P43" s="424"/>
    </row>
    <row r="44" spans="1:16" s="432" customFormat="1" x14ac:dyDescent="0.35">
      <c r="A44" s="426">
        <v>2043</v>
      </c>
      <c r="B44" s="427" t="s">
        <v>128</v>
      </c>
      <c r="C44" s="428" t="s">
        <v>129</v>
      </c>
      <c r="D44" s="428" t="s">
        <v>130</v>
      </c>
      <c r="E44" s="426">
        <v>0</v>
      </c>
      <c r="F44" s="426">
        <v>20</v>
      </c>
      <c r="G44" s="426"/>
      <c r="H44" s="429"/>
      <c r="I44" s="427"/>
      <c r="J44" s="427"/>
      <c r="K44" s="427" t="s">
        <v>130</v>
      </c>
      <c r="L44" s="427"/>
      <c r="M44" s="430"/>
      <c r="N44" s="427"/>
      <c r="P44" s="431"/>
    </row>
    <row r="45" spans="1:16" ht="29" x14ac:dyDescent="0.35">
      <c r="A45" s="58">
        <v>2044</v>
      </c>
      <c r="B45" s="61" t="s">
        <v>131</v>
      </c>
      <c r="C45" s="59" t="s">
        <v>132</v>
      </c>
      <c r="D45" s="59" t="s">
        <v>133</v>
      </c>
      <c r="E45" s="58">
        <v>0</v>
      </c>
      <c r="F45" s="58">
        <v>10</v>
      </c>
      <c r="G45" s="58"/>
      <c r="H45" s="60"/>
      <c r="I45" s="61" t="s">
        <v>85</v>
      </c>
      <c r="J45" s="61"/>
      <c r="K45" s="61" t="s">
        <v>133</v>
      </c>
      <c r="L45" s="61" t="s">
        <v>3804</v>
      </c>
      <c r="M45" s="56" t="s">
        <v>3861</v>
      </c>
      <c r="N45" s="61" t="s">
        <v>134</v>
      </c>
      <c r="P45" s="64"/>
    </row>
    <row r="46" spans="1:16" x14ac:dyDescent="0.35">
      <c r="A46" s="58">
        <v>2045</v>
      </c>
      <c r="B46" s="61" t="s">
        <v>135</v>
      </c>
      <c r="C46" s="59" t="s">
        <v>136</v>
      </c>
      <c r="D46" s="59" t="s">
        <v>137</v>
      </c>
      <c r="E46" s="58">
        <v>0</v>
      </c>
      <c r="F46" s="58">
        <v>1</v>
      </c>
      <c r="G46" s="58"/>
      <c r="H46" s="60"/>
      <c r="I46" s="61" t="s">
        <v>138</v>
      </c>
      <c r="J46" s="61"/>
      <c r="K46" s="61" t="s">
        <v>137</v>
      </c>
      <c r="L46" s="61"/>
      <c r="M46" s="56" t="s">
        <v>3861</v>
      </c>
      <c r="N46" s="61"/>
      <c r="P46" s="64"/>
    </row>
    <row r="47" spans="1:16" ht="29" x14ac:dyDescent="0.35">
      <c r="A47" s="58">
        <v>2046</v>
      </c>
      <c r="B47" s="61" t="s">
        <v>139</v>
      </c>
      <c r="C47" s="59" t="s">
        <v>140</v>
      </c>
      <c r="D47" s="59" t="s">
        <v>141</v>
      </c>
      <c r="E47" s="58">
        <v>0</v>
      </c>
      <c r="F47" s="58">
        <v>10</v>
      </c>
      <c r="G47" s="58"/>
      <c r="H47" s="60"/>
      <c r="I47" s="61" t="s">
        <v>85</v>
      </c>
      <c r="J47" s="61"/>
      <c r="K47" s="61" t="s">
        <v>141</v>
      </c>
      <c r="L47" s="61"/>
      <c r="M47" s="56" t="s">
        <v>3861</v>
      </c>
      <c r="N47" s="61" t="s">
        <v>86</v>
      </c>
      <c r="P47" s="64"/>
    </row>
    <row r="48" spans="1:16" ht="130.5" x14ac:dyDescent="0.35">
      <c r="A48" s="58">
        <v>2047</v>
      </c>
      <c r="B48" s="61" t="s">
        <v>142</v>
      </c>
      <c r="C48" s="59" t="s">
        <v>143</v>
      </c>
      <c r="D48" s="59" t="s">
        <v>144</v>
      </c>
      <c r="E48" s="58">
        <v>0</v>
      </c>
      <c r="F48" s="58">
        <v>2</v>
      </c>
      <c r="G48" s="58"/>
      <c r="H48" s="60"/>
      <c r="I48" s="61" t="s">
        <v>27</v>
      </c>
      <c r="J48" s="61" t="s">
        <v>145</v>
      </c>
      <c r="K48" s="61" t="s">
        <v>144</v>
      </c>
      <c r="L48" s="61"/>
      <c r="M48" s="56" t="s">
        <v>3861</v>
      </c>
      <c r="N48" s="61" t="s">
        <v>146</v>
      </c>
      <c r="P48" s="64"/>
    </row>
    <row r="49" spans="1:16" x14ac:dyDescent="0.35">
      <c r="A49" s="58">
        <v>2048</v>
      </c>
      <c r="B49" s="61" t="s">
        <v>147</v>
      </c>
      <c r="C49" s="59" t="s">
        <v>148</v>
      </c>
      <c r="D49" s="59" t="s">
        <v>149</v>
      </c>
      <c r="E49" s="58">
        <v>0</v>
      </c>
      <c r="F49" s="58">
        <v>1</v>
      </c>
      <c r="G49" s="58"/>
      <c r="H49" s="60"/>
      <c r="I49" s="61" t="s">
        <v>27</v>
      </c>
      <c r="J49" s="61" t="s">
        <v>150</v>
      </c>
      <c r="K49" s="61" t="s">
        <v>149</v>
      </c>
      <c r="L49" s="61"/>
      <c r="M49" s="56" t="s">
        <v>3861</v>
      </c>
      <c r="N49" s="61"/>
      <c r="P49" s="64"/>
    </row>
    <row r="50" spans="1:16" ht="29" x14ac:dyDescent="0.35">
      <c r="A50" s="58">
        <v>2049</v>
      </c>
      <c r="B50" s="61" t="s">
        <v>151</v>
      </c>
      <c r="C50" s="59" t="s">
        <v>152</v>
      </c>
      <c r="D50" s="59" t="s">
        <v>153</v>
      </c>
      <c r="E50" s="58">
        <v>0</v>
      </c>
      <c r="F50" s="58">
        <v>1</v>
      </c>
      <c r="G50" s="58"/>
      <c r="H50" s="60"/>
      <c r="I50" s="61" t="s">
        <v>71</v>
      </c>
      <c r="J50" s="61" t="s">
        <v>154</v>
      </c>
      <c r="K50" s="61" t="s">
        <v>153</v>
      </c>
      <c r="L50" s="61"/>
      <c r="M50" s="56" t="s">
        <v>3861</v>
      </c>
      <c r="N50" s="61"/>
      <c r="P50" s="64"/>
    </row>
    <row r="51" spans="1:16" ht="130.5" x14ac:dyDescent="0.35">
      <c r="A51" s="58">
        <v>2050</v>
      </c>
      <c r="B51" s="61" t="s">
        <v>155</v>
      </c>
      <c r="C51" s="59" t="s">
        <v>156</v>
      </c>
      <c r="D51" s="59" t="s">
        <v>157</v>
      </c>
      <c r="E51" s="58">
        <v>0</v>
      </c>
      <c r="F51" s="58">
        <v>2</v>
      </c>
      <c r="G51" s="58"/>
      <c r="H51" s="60"/>
      <c r="I51" s="61" t="s">
        <v>27</v>
      </c>
      <c r="J51" s="61" t="s">
        <v>145</v>
      </c>
      <c r="K51" s="61" t="s">
        <v>157</v>
      </c>
      <c r="L51" s="61"/>
      <c r="M51" s="56" t="s">
        <v>3861</v>
      </c>
      <c r="N51" s="61" t="s">
        <v>146</v>
      </c>
      <c r="P51" s="64"/>
    </row>
    <row r="52" spans="1:16" x14ac:dyDescent="0.35">
      <c r="A52" s="58">
        <v>2051</v>
      </c>
      <c r="B52" s="61" t="s">
        <v>158</v>
      </c>
      <c r="C52" s="59" t="s">
        <v>159</v>
      </c>
      <c r="D52" s="59" t="s">
        <v>160</v>
      </c>
      <c r="E52" s="58">
        <v>0</v>
      </c>
      <c r="F52" s="58">
        <v>2</v>
      </c>
      <c r="G52" s="58"/>
      <c r="H52" s="60"/>
      <c r="I52" s="61" t="s">
        <v>27</v>
      </c>
      <c r="J52" s="61"/>
      <c r="K52" s="61" t="s">
        <v>160</v>
      </c>
      <c r="L52" s="61"/>
      <c r="M52" s="56" t="s">
        <v>3861</v>
      </c>
      <c r="N52" s="61"/>
      <c r="P52" s="64"/>
    </row>
    <row r="53" spans="1:16" x14ac:dyDescent="0.35">
      <c r="A53" s="58">
        <v>2052</v>
      </c>
      <c r="B53" s="61" t="s">
        <v>161</v>
      </c>
      <c r="C53" s="59" t="s">
        <v>162</v>
      </c>
      <c r="D53" s="59" t="s">
        <v>163</v>
      </c>
      <c r="E53" s="58">
        <v>0</v>
      </c>
      <c r="F53" s="58">
        <v>2</v>
      </c>
      <c r="G53" s="58"/>
      <c r="H53" s="60"/>
      <c r="I53" s="61" t="s">
        <v>71</v>
      </c>
      <c r="J53" s="61"/>
      <c r="K53" s="61" t="s">
        <v>163</v>
      </c>
      <c r="L53" s="61" t="s">
        <v>3805</v>
      </c>
      <c r="M53" s="56"/>
      <c r="N53" s="61"/>
      <c r="P53" s="64"/>
    </row>
    <row r="54" spans="1:16" x14ac:dyDescent="0.35">
      <c r="A54" s="58">
        <v>2053</v>
      </c>
      <c r="B54" s="61" t="s">
        <v>164</v>
      </c>
      <c r="C54" s="59" t="s">
        <v>165</v>
      </c>
      <c r="D54" s="59" t="s">
        <v>166</v>
      </c>
      <c r="E54" s="58">
        <v>0</v>
      </c>
      <c r="F54" s="58">
        <v>2</v>
      </c>
      <c r="G54" s="58"/>
      <c r="H54" s="60"/>
      <c r="I54" s="61" t="s">
        <v>71</v>
      </c>
      <c r="J54" s="61"/>
      <c r="K54" s="61" t="s">
        <v>166</v>
      </c>
      <c r="L54" s="61" t="s">
        <v>3850</v>
      </c>
      <c r="M54" s="56"/>
      <c r="N54" s="61"/>
      <c r="P54" s="64"/>
    </row>
    <row r="55" spans="1:16" x14ac:dyDescent="0.35">
      <c r="A55" s="58">
        <v>2054</v>
      </c>
      <c r="B55" s="61" t="s">
        <v>167</v>
      </c>
      <c r="C55" s="59" t="s">
        <v>168</v>
      </c>
      <c r="D55" s="59" t="s">
        <v>169</v>
      </c>
      <c r="E55" s="58">
        <v>0</v>
      </c>
      <c r="F55" s="58">
        <v>2</v>
      </c>
      <c r="G55" s="58"/>
      <c r="H55" s="60"/>
      <c r="I55" s="61" t="s">
        <v>71</v>
      </c>
      <c r="J55" s="61"/>
      <c r="K55" s="61" t="s">
        <v>169</v>
      </c>
      <c r="L55" s="61" t="s">
        <v>3851</v>
      </c>
      <c r="M55" s="56"/>
      <c r="N55" s="61"/>
      <c r="P55" s="64"/>
    </row>
    <row r="56" spans="1:16" x14ac:dyDescent="0.35">
      <c r="A56" s="58">
        <v>2055</v>
      </c>
      <c r="B56" s="61" t="s">
        <v>170</v>
      </c>
      <c r="C56" s="59" t="s">
        <v>171</v>
      </c>
      <c r="D56" s="59" t="s">
        <v>172</v>
      </c>
      <c r="E56" s="58">
        <v>0</v>
      </c>
      <c r="F56" s="58">
        <v>2</v>
      </c>
      <c r="G56" s="58"/>
      <c r="H56" s="60"/>
      <c r="I56" s="61" t="s">
        <v>71</v>
      </c>
      <c r="J56" s="61"/>
      <c r="K56" s="61" t="s">
        <v>172</v>
      </c>
      <c r="L56" s="61" t="s">
        <v>3852</v>
      </c>
      <c r="M56" s="56"/>
      <c r="N56" s="61"/>
      <c r="P56" s="64"/>
    </row>
    <row r="57" spans="1:16" x14ac:dyDescent="0.35">
      <c r="A57" s="58">
        <v>2056</v>
      </c>
      <c r="B57" s="61" t="s">
        <v>173</v>
      </c>
      <c r="C57" s="59" t="s">
        <v>174</v>
      </c>
      <c r="D57" s="59" t="s">
        <v>175</v>
      </c>
      <c r="E57" s="58">
        <v>0</v>
      </c>
      <c r="F57" s="58">
        <v>2</v>
      </c>
      <c r="G57" s="58"/>
      <c r="H57" s="60"/>
      <c r="I57" s="61" t="s">
        <v>71</v>
      </c>
      <c r="J57" s="61"/>
      <c r="K57" s="61" t="s">
        <v>175</v>
      </c>
      <c r="L57" s="61" t="s">
        <v>3853</v>
      </c>
      <c r="M57" s="56"/>
      <c r="N57" s="61"/>
      <c r="P57" s="64"/>
    </row>
    <row r="58" spans="1:16" x14ac:dyDescent="0.35">
      <c r="A58" s="58">
        <v>2057</v>
      </c>
      <c r="B58" s="61" t="s">
        <v>176</v>
      </c>
      <c r="C58" s="59" t="s">
        <v>177</v>
      </c>
      <c r="D58" s="59" t="s">
        <v>178</v>
      </c>
      <c r="E58" s="58">
        <v>0</v>
      </c>
      <c r="F58" s="58">
        <v>2</v>
      </c>
      <c r="G58" s="58"/>
      <c r="H58" s="60"/>
      <c r="I58" s="61" t="s">
        <v>71</v>
      </c>
      <c r="J58" s="61"/>
      <c r="K58" s="61" t="s">
        <v>178</v>
      </c>
      <c r="L58" s="61" t="s">
        <v>3854</v>
      </c>
      <c r="M58" s="56"/>
      <c r="N58" s="61"/>
      <c r="P58" s="64"/>
    </row>
    <row r="59" spans="1:16" x14ac:dyDescent="0.35">
      <c r="A59" s="58">
        <v>2058</v>
      </c>
      <c r="B59" s="61" t="s">
        <v>179</v>
      </c>
      <c r="C59" s="59" t="s">
        <v>180</v>
      </c>
      <c r="D59" s="59" t="s">
        <v>181</v>
      </c>
      <c r="E59" s="58">
        <v>0</v>
      </c>
      <c r="F59" s="58">
        <v>2</v>
      </c>
      <c r="G59" s="58"/>
      <c r="H59" s="60"/>
      <c r="I59" s="61" t="s">
        <v>71</v>
      </c>
      <c r="J59" s="61"/>
      <c r="K59" s="61" t="s">
        <v>181</v>
      </c>
      <c r="L59" s="61" t="s">
        <v>3855</v>
      </c>
      <c r="M59" s="56"/>
      <c r="N59" s="61"/>
      <c r="P59" s="64"/>
    </row>
    <row r="60" spans="1:16" x14ac:dyDescent="0.35">
      <c r="A60" s="58">
        <v>2059</v>
      </c>
      <c r="B60" s="61" t="s">
        <v>182</v>
      </c>
      <c r="C60" s="59" t="s">
        <v>183</v>
      </c>
      <c r="D60" s="59" t="s">
        <v>184</v>
      </c>
      <c r="E60" s="58">
        <v>0</v>
      </c>
      <c r="F60" s="58">
        <v>2</v>
      </c>
      <c r="G60" s="58"/>
      <c r="H60" s="60"/>
      <c r="I60" s="61" t="s">
        <v>71</v>
      </c>
      <c r="J60" s="61"/>
      <c r="K60" s="61" t="s">
        <v>184</v>
      </c>
      <c r="L60" s="61" t="s">
        <v>3856</v>
      </c>
      <c r="M60" s="56"/>
      <c r="N60" s="61"/>
      <c r="P60" s="64"/>
    </row>
    <row r="61" spans="1:16" x14ac:dyDescent="0.35">
      <c r="A61" s="58">
        <v>2060</v>
      </c>
      <c r="B61" s="61" t="s">
        <v>185</v>
      </c>
      <c r="C61" s="59" t="s">
        <v>186</v>
      </c>
      <c r="D61" s="59" t="s">
        <v>187</v>
      </c>
      <c r="E61" s="58">
        <v>0</v>
      </c>
      <c r="F61" s="58">
        <v>2</v>
      </c>
      <c r="G61" s="58"/>
      <c r="H61" s="60"/>
      <c r="I61" s="61" t="s">
        <v>71</v>
      </c>
      <c r="J61" s="61"/>
      <c r="K61" s="61" t="s">
        <v>187</v>
      </c>
      <c r="L61" s="61" t="s">
        <v>3857</v>
      </c>
      <c r="M61" s="56"/>
      <c r="N61" s="61"/>
      <c r="P61" s="64"/>
    </row>
    <row r="62" spans="1:16" x14ac:dyDescent="0.35">
      <c r="A62" s="58">
        <v>2061</v>
      </c>
      <c r="B62" s="61" t="s">
        <v>188</v>
      </c>
      <c r="C62" s="59" t="s">
        <v>189</v>
      </c>
      <c r="D62" s="59" t="s">
        <v>190</v>
      </c>
      <c r="E62" s="58">
        <v>0</v>
      </c>
      <c r="F62" s="58">
        <v>2</v>
      </c>
      <c r="G62" s="58"/>
      <c r="H62" s="60"/>
      <c r="I62" s="61" t="s">
        <v>71</v>
      </c>
      <c r="J62" s="61"/>
      <c r="K62" s="61" t="s">
        <v>190</v>
      </c>
      <c r="L62" s="61" t="s">
        <v>3858</v>
      </c>
      <c r="M62" s="56"/>
      <c r="N62" s="61"/>
      <c r="P62" s="64"/>
    </row>
    <row r="63" spans="1:16" x14ac:dyDescent="0.35">
      <c r="A63" s="58">
        <v>2062</v>
      </c>
      <c r="B63" s="61" t="s">
        <v>191</v>
      </c>
      <c r="C63" s="59" t="s">
        <v>192</v>
      </c>
      <c r="D63" s="59" t="s">
        <v>193</v>
      </c>
      <c r="E63" s="58">
        <v>0</v>
      </c>
      <c r="F63" s="58">
        <v>2</v>
      </c>
      <c r="G63" s="58"/>
      <c r="H63" s="60"/>
      <c r="I63" s="61" t="s">
        <v>71</v>
      </c>
      <c r="J63" s="61"/>
      <c r="K63" s="61" t="s">
        <v>193</v>
      </c>
      <c r="L63" s="61" t="s">
        <v>3859</v>
      </c>
      <c r="M63" s="56"/>
      <c r="N63" s="61"/>
      <c r="P63" s="64"/>
    </row>
    <row r="64" spans="1:16" x14ac:dyDescent="0.35">
      <c r="A64" s="58">
        <v>2063</v>
      </c>
      <c r="B64" s="61" t="s">
        <v>194</v>
      </c>
      <c r="C64" s="59" t="s">
        <v>195</v>
      </c>
      <c r="D64" s="59" t="s">
        <v>196</v>
      </c>
      <c r="E64" s="58">
        <v>0</v>
      </c>
      <c r="F64" s="58">
        <v>2</v>
      </c>
      <c r="G64" s="58"/>
      <c r="H64" s="60"/>
      <c r="I64" s="61" t="s">
        <v>71</v>
      </c>
      <c r="J64" s="61"/>
      <c r="K64" s="61" t="s">
        <v>196</v>
      </c>
      <c r="L64" s="61"/>
      <c r="M64" s="56"/>
      <c r="N64" s="61"/>
      <c r="P64" s="64"/>
    </row>
    <row r="65" spans="1:16" s="406" customFormat="1" x14ac:dyDescent="0.35">
      <c r="A65" s="401">
        <v>2064</v>
      </c>
      <c r="B65" s="402" t="s">
        <v>197</v>
      </c>
      <c r="C65" s="78" t="s">
        <v>198</v>
      </c>
      <c r="D65" s="78" t="s">
        <v>199</v>
      </c>
      <c r="E65" s="401">
        <v>0</v>
      </c>
      <c r="F65" s="401">
        <v>20</v>
      </c>
      <c r="G65" s="401"/>
      <c r="H65" s="403"/>
      <c r="I65" s="402"/>
      <c r="J65" s="402"/>
      <c r="K65" s="402" t="s">
        <v>199</v>
      </c>
      <c r="L65" s="402"/>
      <c r="M65" s="404"/>
      <c r="N65" s="402"/>
      <c r="P65" s="405"/>
    </row>
    <row r="66" spans="1:16" x14ac:dyDescent="0.35">
      <c r="A66" s="58">
        <v>2065</v>
      </c>
      <c r="B66" s="61" t="s">
        <v>200</v>
      </c>
      <c r="C66" s="59" t="s">
        <v>201</v>
      </c>
      <c r="D66" s="59" t="s">
        <v>202</v>
      </c>
      <c r="E66" s="58">
        <v>0</v>
      </c>
      <c r="F66" s="58">
        <v>2</v>
      </c>
      <c r="G66" s="58"/>
      <c r="H66" s="60"/>
      <c r="I66" s="61" t="s">
        <v>71</v>
      </c>
      <c r="J66" s="61"/>
      <c r="K66" s="61" t="s">
        <v>202</v>
      </c>
      <c r="L66" s="61" t="s">
        <v>3806</v>
      </c>
      <c r="M66" s="56"/>
      <c r="N66" s="61"/>
      <c r="P66" s="64"/>
    </row>
    <row r="67" spans="1:16" ht="29" x14ac:dyDescent="0.35">
      <c r="A67" s="58">
        <v>2066</v>
      </c>
      <c r="B67" s="61" t="s">
        <v>200</v>
      </c>
      <c r="C67" s="59" t="s">
        <v>203</v>
      </c>
      <c r="D67" s="59" t="s">
        <v>204</v>
      </c>
      <c r="E67" s="58">
        <v>0</v>
      </c>
      <c r="F67" s="58">
        <v>10</v>
      </c>
      <c r="G67" s="58"/>
      <c r="H67" s="60"/>
      <c r="I67" s="61" t="s">
        <v>85</v>
      </c>
      <c r="J67" s="61"/>
      <c r="K67" s="61" t="s">
        <v>204</v>
      </c>
      <c r="L67" s="61" t="s">
        <v>3807</v>
      </c>
      <c r="M67" s="56"/>
      <c r="N67" s="61" t="s">
        <v>205</v>
      </c>
      <c r="P67" s="64"/>
    </row>
    <row r="68" spans="1:16" x14ac:dyDescent="0.35">
      <c r="A68" s="58">
        <v>2067</v>
      </c>
      <c r="B68" s="61" t="s">
        <v>206</v>
      </c>
      <c r="C68" s="59" t="s">
        <v>207</v>
      </c>
      <c r="D68" s="59" t="s">
        <v>208</v>
      </c>
      <c r="E68" s="58">
        <v>0</v>
      </c>
      <c r="F68" s="58">
        <v>2</v>
      </c>
      <c r="G68" s="58"/>
      <c r="H68" s="60"/>
      <c r="I68" s="61" t="s">
        <v>71</v>
      </c>
      <c r="J68" s="61"/>
      <c r="K68" s="61" t="s">
        <v>208</v>
      </c>
      <c r="L68" s="61" t="s">
        <v>3806</v>
      </c>
      <c r="M68" s="56"/>
      <c r="N68" s="61"/>
      <c r="P68" s="64"/>
    </row>
    <row r="69" spans="1:16" ht="29" x14ac:dyDescent="0.35">
      <c r="A69" s="58">
        <v>2068</v>
      </c>
      <c r="B69" s="61" t="s">
        <v>206</v>
      </c>
      <c r="C69" s="59" t="s">
        <v>209</v>
      </c>
      <c r="D69" s="59" t="s">
        <v>210</v>
      </c>
      <c r="E69" s="58">
        <v>0</v>
      </c>
      <c r="F69" s="58">
        <v>10</v>
      </c>
      <c r="G69" s="58"/>
      <c r="H69" s="60"/>
      <c r="I69" s="61" t="s">
        <v>85</v>
      </c>
      <c r="J69" s="61"/>
      <c r="K69" s="61" t="s">
        <v>210</v>
      </c>
      <c r="L69" s="61" t="s">
        <v>3807</v>
      </c>
      <c r="M69" s="56"/>
      <c r="N69" s="61" t="s">
        <v>205</v>
      </c>
      <c r="P69" s="64"/>
    </row>
    <row r="70" spans="1:16" x14ac:dyDescent="0.35">
      <c r="A70" s="58">
        <v>2069</v>
      </c>
      <c r="B70" s="61" t="s">
        <v>211</v>
      </c>
      <c r="C70" s="59" t="s">
        <v>212</v>
      </c>
      <c r="D70" s="59" t="s">
        <v>213</v>
      </c>
      <c r="E70" s="58">
        <v>0</v>
      </c>
      <c r="F70" s="58">
        <v>2</v>
      </c>
      <c r="G70" s="58"/>
      <c r="H70" s="60"/>
      <c r="I70" s="61" t="s">
        <v>71</v>
      </c>
      <c r="J70" s="61"/>
      <c r="K70" s="61" t="s">
        <v>213</v>
      </c>
      <c r="L70" s="61" t="s">
        <v>3808</v>
      </c>
      <c r="M70" s="56"/>
      <c r="N70" s="61"/>
      <c r="P70" s="64"/>
    </row>
    <row r="71" spans="1:16" ht="29" x14ac:dyDescent="0.35">
      <c r="A71" s="58">
        <v>2070</v>
      </c>
      <c r="B71" s="61" t="s">
        <v>211</v>
      </c>
      <c r="C71" s="59" t="s">
        <v>214</v>
      </c>
      <c r="D71" s="59" t="s">
        <v>215</v>
      </c>
      <c r="E71" s="58">
        <v>0</v>
      </c>
      <c r="F71" s="58">
        <v>10</v>
      </c>
      <c r="G71" s="58"/>
      <c r="H71" s="60"/>
      <c r="I71" s="61" t="s">
        <v>85</v>
      </c>
      <c r="J71" s="61"/>
      <c r="K71" s="61" t="s">
        <v>215</v>
      </c>
      <c r="L71" s="61" t="s">
        <v>3809</v>
      </c>
      <c r="M71" s="56"/>
      <c r="N71" s="61" t="s">
        <v>205</v>
      </c>
      <c r="P71" s="64"/>
    </row>
    <row r="72" spans="1:16" x14ac:dyDescent="0.35">
      <c r="A72" s="58">
        <v>2071</v>
      </c>
      <c r="B72" s="61" t="s">
        <v>216</v>
      </c>
      <c r="C72" s="59" t="s">
        <v>217</v>
      </c>
      <c r="D72" s="59" t="s">
        <v>218</v>
      </c>
      <c r="E72" s="58">
        <v>0</v>
      </c>
      <c r="F72" s="58">
        <v>2</v>
      </c>
      <c r="G72" s="58"/>
      <c r="H72" s="60"/>
      <c r="I72" s="61" t="s">
        <v>71</v>
      </c>
      <c r="J72" s="61"/>
      <c r="K72" s="61" t="s">
        <v>218</v>
      </c>
      <c r="L72" s="61" t="s">
        <v>3808</v>
      </c>
      <c r="M72" s="56"/>
      <c r="N72" s="61"/>
      <c r="P72" s="64"/>
    </row>
    <row r="73" spans="1:16" ht="29" x14ac:dyDescent="0.35">
      <c r="A73" s="58">
        <v>2072</v>
      </c>
      <c r="B73" s="61" t="s">
        <v>216</v>
      </c>
      <c r="C73" s="59" t="s">
        <v>219</v>
      </c>
      <c r="D73" s="59" t="s">
        <v>220</v>
      </c>
      <c r="E73" s="58">
        <v>0</v>
      </c>
      <c r="F73" s="58">
        <v>10</v>
      </c>
      <c r="G73" s="58"/>
      <c r="H73" s="60"/>
      <c r="I73" s="61" t="s">
        <v>85</v>
      </c>
      <c r="J73" s="61"/>
      <c r="K73" s="61" t="s">
        <v>220</v>
      </c>
      <c r="L73" s="61" t="s">
        <v>3809</v>
      </c>
      <c r="M73" s="56"/>
      <c r="N73" s="61" t="s">
        <v>205</v>
      </c>
      <c r="P73" s="64"/>
    </row>
    <row r="74" spans="1:16" x14ac:dyDescent="0.35">
      <c r="A74" s="58">
        <v>2073</v>
      </c>
      <c r="B74" s="61" t="s">
        <v>221</v>
      </c>
      <c r="C74" s="59" t="s">
        <v>222</v>
      </c>
      <c r="D74" s="59" t="s">
        <v>223</v>
      </c>
      <c r="E74" s="58">
        <v>0</v>
      </c>
      <c r="F74" s="58">
        <v>2</v>
      </c>
      <c r="G74" s="58"/>
      <c r="H74" s="60"/>
      <c r="I74" s="61" t="s">
        <v>71</v>
      </c>
      <c r="J74" s="61"/>
      <c r="K74" s="61" t="s">
        <v>223</v>
      </c>
      <c r="L74" s="61" t="s">
        <v>3810</v>
      </c>
      <c r="M74" s="56"/>
      <c r="N74" s="61"/>
      <c r="P74" s="64"/>
    </row>
    <row r="75" spans="1:16" ht="29" x14ac:dyDescent="0.35">
      <c r="A75" s="58">
        <v>2074</v>
      </c>
      <c r="B75" s="61" t="s">
        <v>221</v>
      </c>
      <c r="C75" s="59" t="s">
        <v>224</v>
      </c>
      <c r="D75" s="59" t="s">
        <v>225</v>
      </c>
      <c r="E75" s="58">
        <v>0</v>
      </c>
      <c r="F75" s="58">
        <v>10</v>
      </c>
      <c r="G75" s="58"/>
      <c r="H75" s="60"/>
      <c r="I75" s="61" t="s">
        <v>85</v>
      </c>
      <c r="J75" s="61"/>
      <c r="K75" s="61" t="s">
        <v>225</v>
      </c>
      <c r="L75" s="61" t="s">
        <v>3811</v>
      </c>
      <c r="M75" s="56"/>
      <c r="N75" s="61" t="s">
        <v>205</v>
      </c>
      <c r="P75" s="64"/>
    </row>
    <row r="76" spans="1:16" x14ac:dyDescent="0.35">
      <c r="A76" s="58">
        <v>2075</v>
      </c>
      <c r="B76" s="61" t="s">
        <v>226</v>
      </c>
      <c r="C76" s="59" t="s">
        <v>227</v>
      </c>
      <c r="D76" s="59" t="s">
        <v>228</v>
      </c>
      <c r="E76" s="58">
        <v>0</v>
      </c>
      <c r="F76" s="58">
        <v>2</v>
      </c>
      <c r="G76" s="58"/>
      <c r="H76" s="60"/>
      <c r="I76" s="61" t="s">
        <v>71</v>
      </c>
      <c r="J76" s="61"/>
      <c r="K76" s="61" t="s">
        <v>228</v>
      </c>
      <c r="L76" s="61" t="s">
        <v>3810</v>
      </c>
      <c r="M76" s="56"/>
      <c r="N76" s="61"/>
      <c r="P76" s="64"/>
    </row>
    <row r="77" spans="1:16" ht="29" x14ac:dyDescent="0.35">
      <c r="A77" s="58">
        <v>2076</v>
      </c>
      <c r="B77" s="61" t="s">
        <v>226</v>
      </c>
      <c r="C77" s="59" t="s">
        <v>229</v>
      </c>
      <c r="D77" s="59" t="s">
        <v>230</v>
      </c>
      <c r="E77" s="58">
        <v>0</v>
      </c>
      <c r="F77" s="58">
        <v>10</v>
      </c>
      <c r="G77" s="58"/>
      <c r="H77" s="60"/>
      <c r="I77" s="61" t="s">
        <v>85</v>
      </c>
      <c r="J77" s="61"/>
      <c r="K77" s="61" t="s">
        <v>230</v>
      </c>
      <c r="L77" s="61" t="s">
        <v>3811</v>
      </c>
      <c r="M77" s="56"/>
      <c r="N77" s="61" t="s">
        <v>205</v>
      </c>
      <c r="P77" s="64"/>
    </row>
    <row r="78" spans="1:16" x14ac:dyDescent="0.35">
      <c r="A78" s="58">
        <v>2077</v>
      </c>
      <c r="B78" s="61" t="s">
        <v>231</v>
      </c>
      <c r="C78" s="59" t="s">
        <v>232</v>
      </c>
      <c r="D78" s="59" t="s">
        <v>233</v>
      </c>
      <c r="E78" s="58">
        <v>0</v>
      </c>
      <c r="F78" s="58">
        <v>2</v>
      </c>
      <c r="G78" s="58"/>
      <c r="H78" s="60"/>
      <c r="I78" s="61" t="s">
        <v>71</v>
      </c>
      <c r="J78" s="61"/>
      <c r="K78" s="61" t="s">
        <v>233</v>
      </c>
      <c r="L78" s="61" t="s">
        <v>3812</v>
      </c>
      <c r="M78" s="56"/>
      <c r="N78" s="61"/>
      <c r="P78" s="64"/>
    </row>
    <row r="79" spans="1:16" ht="29" x14ac:dyDescent="0.35">
      <c r="A79" s="58">
        <v>2078</v>
      </c>
      <c r="B79" s="61" t="s">
        <v>231</v>
      </c>
      <c r="C79" s="59" t="s">
        <v>234</v>
      </c>
      <c r="D79" s="59" t="s">
        <v>235</v>
      </c>
      <c r="E79" s="58">
        <v>0</v>
      </c>
      <c r="F79" s="58">
        <v>10</v>
      </c>
      <c r="G79" s="58"/>
      <c r="H79" s="60"/>
      <c r="I79" s="61" t="s">
        <v>85</v>
      </c>
      <c r="J79" s="61"/>
      <c r="K79" s="61" t="s">
        <v>235</v>
      </c>
      <c r="L79" s="61" t="s">
        <v>3813</v>
      </c>
      <c r="M79" s="56"/>
      <c r="N79" s="61" t="s">
        <v>205</v>
      </c>
      <c r="P79" s="64"/>
    </row>
    <row r="80" spans="1:16" x14ac:dyDescent="0.35">
      <c r="A80" s="58">
        <v>2079</v>
      </c>
      <c r="B80" s="61" t="s">
        <v>236</v>
      </c>
      <c r="C80" s="59" t="s">
        <v>237</v>
      </c>
      <c r="D80" s="59" t="s">
        <v>238</v>
      </c>
      <c r="E80" s="58">
        <v>0</v>
      </c>
      <c r="F80" s="58">
        <v>2</v>
      </c>
      <c r="G80" s="58"/>
      <c r="H80" s="60"/>
      <c r="I80" s="61" t="s">
        <v>71</v>
      </c>
      <c r="J80" s="61"/>
      <c r="K80" s="61" t="s">
        <v>238</v>
      </c>
      <c r="L80" s="61" t="s">
        <v>3812</v>
      </c>
      <c r="M80" s="56"/>
      <c r="N80" s="61"/>
      <c r="P80" s="64"/>
    </row>
    <row r="81" spans="1:16" ht="29" x14ac:dyDescent="0.35">
      <c r="A81" s="58">
        <v>2080</v>
      </c>
      <c r="B81" s="61" t="s">
        <v>236</v>
      </c>
      <c r="C81" s="59" t="s">
        <v>239</v>
      </c>
      <c r="D81" s="59" t="s">
        <v>240</v>
      </c>
      <c r="E81" s="58">
        <v>0</v>
      </c>
      <c r="F81" s="58">
        <v>10</v>
      </c>
      <c r="G81" s="58"/>
      <c r="H81" s="60"/>
      <c r="I81" s="61" t="s">
        <v>85</v>
      </c>
      <c r="J81" s="61"/>
      <c r="K81" s="61" t="s">
        <v>240</v>
      </c>
      <c r="L81" s="61" t="s">
        <v>3813</v>
      </c>
      <c r="M81" s="56"/>
      <c r="N81" s="61" t="s">
        <v>205</v>
      </c>
      <c r="P81" s="64"/>
    </row>
    <row r="82" spans="1:16" x14ac:dyDescent="0.35">
      <c r="A82" s="58">
        <v>2081</v>
      </c>
      <c r="B82" s="61" t="s">
        <v>241</v>
      </c>
      <c r="C82" s="59" t="s">
        <v>242</v>
      </c>
      <c r="D82" s="59" t="s">
        <v>243</v>
      </c>
      <c r="E82" s="58">
        <v>0</v>
      </c>
      <c r="F82" s="58">
        <v>2</v>
      </c>
      <c r="G82" s="58"/>
      <c r="H82" s="60"/>
      <c r="I82" s="61" t="s">
        <v>71</v>
      </c>
      <c r="J82" s="61"/>
      <c r="K82" s="61" t="s">
        <v>243</v>
      </c>
      <c r="L82" s="61" t="s">
        <v>3814</v>
      </c>
      <c r="M82" s="56"/>
      <c r="N82" s="61"/>
      <c r="P82" s="64"/>
    </row>
    <row r="83" spans="1:16" ht="29" x14ac:dyDescent="0.35">
      <c r="A83" s="58">
        <v>2082</v>
      </c>
      <c r="B83" s="61" t="s">
        <v>241</v>
      </c>
      <c r="C83" s="59" t="s">
        <v>244</v>
      </c>
      <c r="D83" s="59" t="s">
        <v>245</v>
      </c>
      <c r="E83" s="58">
        <v>0</v>
      </c>
      <c r="F83" s="58">
        <v>10</v>
      </c>
      <c r="G83" s="58"/>
      <c r="H83" s="60"/>
      <c r="I83" s="61" t="s">
        <v>85</v>
      </c>
      <c r="J83" s="61"/>
      <c r="K83" s="61" t="s">
        <v>245</v>
      </c>
      <c r="L83" s="61" t="s">
        <v>3815</v>
      </c>
      <c r="M83" s="56"/>
      <c r="N83" s="61" t="s">
        <v>205</v>
      </c>
      <c r="P83" s="64"/>
    </row>
    <row r="84" spans="1:16" ht="29" x14ac:dyDescent="0.35">
      <c r="A84" s="58">
        <v>2083</v>
      </c>
      <c r="B84" s="61" t="s">
        <v>241</v>
      </c>
      <c r="C84" s="59" t="s">
        <v>246</v>
      </c>
      <c r="D84" s="59" t="s">
        <v>247</v>
      </c>
      <c r="E84" s="58">
        <v>0</v>
      </c>
      <c r="F84" s="58">
        <v>10</v>
      </c>
      <c r="G84" s="58"/>
      <c r="H84" s="60"/>
      <c r="I84" s="61" t="s">
        <v>85</v>
      </c>
      <c r="J84" s="61"/>
      <c r="K84" s="61" t="s">
        <v>247</v>
      </c>
      <c r="L84" s="61" t="s">
        <v>3816</v>
      </c>
      <c r="M84" s="56"/>
      <c r="N84" s="61" t="s">
        <v>205</v>
      </c>
      <c r="P84" s="64"/>
    </row>
    <row r="85" spans="1:16" x14ac:dyDescent="0.35">
      <c r="A85" s="58">
        <v>2084</v>
      </c>
      <c r="B85" s="61" t="s">
        <v>248</v>
      </c>
      <c r="C85" s="59" t="s">
        <v>249</v>
      </c>
      <c r="D85" s="59" t="s">
        <v>250</v>
      </c>
      <c r="E85" s="58">
        <v>0</v>
      </c>
      <c r="F85" s="58">
        <v>2</v>
      </c>
      <c r="G85" s="58"/>
      <c r="H85" s="60"/>
      <c r="I85" s="61" t="s">
        <v>71</v>
      </c>
      <c r="J85" s="61"/>
      <c r="K85" s="61" t="s">
        <v>250</v>
      </c>
      <c r="L85" s="61" t="s">
        <v>3814</v>
      </c>
      <c r="M85" s="56"/>
      <c r="N85" s="61"/>
      <c r="P85" s="64"/>
    </row>
    <row r="86" spans="1:16" ht="29" x14ac:dyDescent="0.35">
      <c r="A86" s="58">
        <v>2085</v>
      </c>
      <c r="B86" s="61" t="s">
        <v>248</v>
      </c>
      <c r="C86" s="59" t="s">
        <v>251</v>
      </c>
      <c r="D86" s="59" t="s">
        <v>252</v>
      </c>
      <c r="E86" s="58">
        <v>0</v>
      </c>
      <c r="F86" s="58">
        <v>10</v>
      </c>
      <c r="G86" s="58"/>
      <c r="H86" s="60"/>
      <c r="I86" s="61" t="s">
        <v>85</v>
      </c>
      <c r="J86" s="61"/>
      <c r="K86" s="61" t="s">
        <v>252</v>
      </c>
      <c r="L86" s="61" t="s">
        <v>3815</v>
      </c>
      <c r="M86" s="56"/>
      <c r="N86" s="61" t="s">
        <v>205</v>
      </c>
      <c r="P86" s="64"/>
    </row>
    <row r="87" spans="1:16" ht="29" x14ac:dyDescent="0.35">
      <c r="A87" s="58">
        <v>2086</v>
      </c>
      <c r="B87" s="61" t="s">
        <v>248</v>
      </c>
      <c r="C87" s="59" t="s">
        <v>253</v>
      </c>
      <c r="D87" s="59" t="s">
        <v>254</v>
      </c>
      <c r="E87" s="58">
        <v>0</v>
      </c>
      <c r="F87" s="58">
        <v>10</v>
      </c>
      <c r="G87" s="58"/>
      <c r="H87" s="60"/>
      <c r="I87" s="61" t="s">
        <v>85</v>
      </c>
      <c r="J87" s="61"/>
      <c r="K87" s="61" t="s">
        <v>254</v>
      </c>
      <c r="L87" s="61" t="s">
        <v>3816</v>
      </c>
      <c r="M87" s="56"/>
      <c r="N87" s="61" t="s">
        <v>205</v>
      </c>
      <c r="P87" s="64"/>
    </row>
    <row r="88" spans="1:16" x14ac:dyDescent="0.35">
      <c r="A88" s="58">
        <v>2087</v>
      </c>
      <c r="B88" s="61" t="s">
        <v>255</v>
      </c>
      <c r="C88" s="59" t="s">
        <v>256</v>
      </c>
      <c r="D88" s="59" t="s">
        <v>257</v>
      </c>
      <c r="E88" s="58">
        <v>0</v>
      </c>
      <c r="F88" s="58">
        <v>2</v>
      </c>
      <c r="G88" s="58"/>
      <c r="H88" s="60"/>
      <c r="I88" s="61" t="s">
        <v>71</v>
      </c>
      <c r="J88" s="61"/>
      <c r="K88" s="61" t="s">
        <v>257</v>
      </c>
      <c r="L88" s="61" t="s">
        <v>3817</v>
      </c>
      <c r="M88" s="56"/>
      <c r="N88" s="61"/>
      <c r="P88" s="64"/>
    </row>
    <row r="89" spans="1:16" ht="29" x14ac:dyDescent="0.35">
      <c r="A89" s="58">
        <v>2088</v>
      </c>
      <c r="B89" s="61" t="s">
        <v>255</v>
      </c>
      <c r="C89" s="59" t="s">
        <v>258</v>
      </c>
      <c r="D89" s="59" t="s">
        <v>259</v>
      </c>
      <c r="E89" s="58">
        <v>0</v>
      </c>
      <c r="F89" s="58">
        <v>10</v>
      </c>
      <c r="G89" s="58"/>
      <c r="H89" s="60"/>
      <c r="I89" s="61" t="s">
        <v>85</v>
      </c>
      <c r="J89" s="61"/>
      <c r="K89" s="61" t="s">
        <v>259</v>
      </c>
      <c r="L89" s="61" t="s">
        <v>3818</v>
      </c>
      <c r="M89" s="56"/>
      <c r="N89" s="61" t="s">
        <v>205</v>
      </c>
      <c r="P89" s="64"/>
    </row>
    <row r="90" spans="1:16" ht="29" x14ac:dyDescent="0.35">
      <c r="A90" s="58">
        <v>2089</v>
      </c>
      <c r="B90" s="61" t="s">
        <v>255</v>
      </c>
      <c r="C90" s="59" t="s">
        <v>260</v>
      </c>
      <c r="D90" s="59" t="s">
        <v>261</v>
      </c>
      <c r="E90" s="58">
        <v>0</v>
      </c>
      <c r="F90" s="58">
        <v>10</v>
      </c>
      <c r="G90" s="58"/>
      <c r="H90" s="60"/>
      <c r="I90" s="61" t="s">
        <v>85</v>
      </c>
      <c r="J90" s="61"/>
      <c r="K90" s="61" t="s">
        <v>261</v>
      </c>
      <c r="L90" s="61" t="s">
        <v>3819</v>
      </c>
      <c r="M90" s="56"/>
      <c r="N90" s="61" t="s">
        <v>205</v>
      </c>
      <c r="P90" s="64"/>
    </row>
    <row r="91" spans="1:16" x14ac:dyDescent="0.35">
      <c r="A91" s="58">
        <v>2090</v>
      </c>
      <c r="B91" s="61" t="s">
        <v>262</v>
      </c>
      <c r="C91" s="59" t="s">
        <v>263</v>
      </c>
      <c r="D91" s="59" t="s">
        <v>264</v>
      </c>
      <c r="E91" s="58">
        <v>0</v>
      </c>
      <c r="F91" s="58">
        <v>2</v>
      </c>
      <c r="G91" s="58"/>
      <c r="H91" s="60"/>
      <c r="I91" s="61" t="s">
        <v>71</v>
      </c>
      <c r="J91" s="61"/>
      <c r="K91" s="61" t="s">
        <v>264</v>
      </c>
      <c r="L91" s="61" t="s">
        <v>3817</v>
      </c>
      <c r="M91" s="56"/>
      <c r="N91" s="61"/>
      <c r="P91" s="64"/>
    </row>
    <row r="92" spans="1:16" ht="29" x14ac:dyDescent="0.35">
      <c r="A92" s="58">
        <v>2091</v>
      </c>
      <c r="B92" s="61" t="s">
        <v>262</v>
      </c>
      <c r="C92" s="59" t="s">
        <v>265</v>
      </c>
      <c r="D92" s="59" t="s">
        <v>266</v>
      </c>
      <c r="E92" s="58">
        <v>0</v>
      </c>
      <c r="F92" s="58">
        <v>10</v>
      </c>
      <c r="G92" s="58"/>
      <c r="H92" s="60"/>
      <c r="I92" s="61" t="s">
        <v>85</v>
      </c>
      <c r="J92" s="61"/>
      <c r="K92" s="61" t="s">
        <v>266</v>
      </c>
      <c r="L92" s="61" t="s">
        <v>3818</v>
      </c>
      <c r="M92" s="56"/>
      <c r="N92" s="61" t="s">
        <v>205</v>
      </c>
      <c r="P92" s="64"/>
    </row>
    <row r="93" spans="1:16" ht="29" x14ac:dyDescent="0.35">
      <c r="A93" s="58">
        <v>2092</v>
      </c>
      <c r="B93" s="61" t="s">
        <v>262</v>
      </c>
      <c r="C93" s="59" t="s">
        <v>267</v>
      </c>
      <c r="D93" s="59" t="s">
        <v>268</v>
      </c>
      <c r="E93" s="58">
        <v>0</v>
      </c>
      <c r="F93" s="58">
        <v>10</v>
      </c>
      <c r="G93" s="58"/>
      <c r="H93" s="60"/>
      <c r="I93" s="61" t="s">
        <v>85</v>
      </c>
      <c r="J93" s="61"/>
      <c r="K93" s="61" t="s">
        <v>268</v>
      </c>
      <c r="L93" s="61" t="s">
        <v>3819</v>
      </c>
      <c r="M93" s="56"/>
      <c r="N93" s="61" t="s">
        <v>205</v>
      </c>
      <c r="P93" s="64"/>
    </row>
    <row r="94" spans="1:16" x14ac:dyDescent="0.35">
      <c r="A94" s="58">
        <v>2093</v>
      </c>
      <c r="B94" s="61" t="s">
        <v>269</v>
      </c>
      <c r="C94" s="59" t="s">
        <v>270</v>
      </c>
      <c r="D94" s="59" t="s">
        <v>271</v>
      </c>
      <c r="E94" s="58">
        <v>0</v>
      </c>
      <c r="F94" s="58">
        <v>20</v>
      </c>
      <c r="G94" s="58"/>
      <c r="H94" s="60"/>
      <c r="I94" s="61"/>
      <c r="J94" s="61"/>
      <c r="K94" s="61" t="s">
        <v>271</v>
      </c>
      <c r="L94" s="61" t="s">
        <v>3820</v>
      </c>
      <c r="M94" s="56"/>
      <c r="N94" s="61"/>
      <c r="P94" s="64"/>
    </row>
    <row r="95" spans="1:16" x14ac:dyDescent="0.35">
      <c r="A95" s="58">
        <v>2094</v>
      </c>
      <c r="B95" s="61" t="s">
        <v>272</v>
      </c>
      <c r="C95" s="59" t="s">
        <v>270</v>
      </c>
      <c r="D95" s="59" t="s">
        <v>273</v>
      </c>
      <c r="E95" s="58">
        <v>0</v>
      </c>
      <c r="F95" s="58">
        <v>20</v>
      </c>
      <c r="G95" s="58"/>
      <c r="H95" s="60"/>
      <c r="I95" s="61"/>
      <c r="J95" s="61"/>
      <c r="K95" s="61" t="s">
        <v>273</v>
      </c>
      <c r="L95" s="61" t="s">
        <v>3820</v>
      </c>
      <c r="M95" s="56"/>
      <c r="N95" s="61"/>
      <c r="P95" s="64"/>
    </row>
    <row r="96" spans="1:16" s="418" customFormat="1" ht="333.5" x14ac:dyDescent="0.35">
      <c r="A96" s="412">
        <v>2095</v>
      </c>
      <c r="B96" s="413" t="s">
        <v>274</v>
      </c>
      <c r="C96" s="414" t="s">
        <v>275</v>
      </c>
      <c r="D96" s="414" t="s">
        <v>276</v>
      </c>
      <c r="E96" s="412">
        <v>0</v>
      </c>
      <c r="F96" s="412">
        <v>60</v>
      </c>
      <c r="G96" s="412"/>
      <c r="H96" s="415"/>
      <c r="I96" s="413"/>
      <c r="J96" s="413"/>
      <c r="K96" s="413" t="s">
        <v>277</v>
      </c>
      <c r="L96" s="413"/>
      <c r="M96" s="416"/>
      <c r="N96" s="413"/>
      <c r="P96" s="417"/>
    </row>
    <row r="97" spans="1:16" s="418" customFormat="1" x14ac:dyDescent="0.35">
      <c r="A97" s="412">
        <v>2096</v>
      </c>
      <c r="B97" s="413" t="s">
        <v>274</v>
      </c>
      <c r="C97" s="414" t="s">
        <v>278</v>
      </c>
      <c r="D97" s="414" t="s">
        <v>279</v>
      </c>
      <c r="E97" s="412">
        <v>0</v>
      </c>
      <c r="F97" s="412">
        <v>60</v>
      </c>
      <c r="G97" s="412"/>
      <c r="H97" s="415"/>
      <c r="I97" s="413"/>
      <c r="J97" s="413"/>
      <c r="K97" s="413"/>
      <c r="L97" s="413"/>
      <c r="M97" s="416"/>
      <c r="N97" s="413"/>
      <c r="P97" s="417"/>
    </row>
    <row r="98" spans="1:16" s="418" customFormat="1" x14ac:dyDescent="0.35">
      <c r="A98" s="412">
        <v>2097</v>
      </c>
      <c r="B98" s="413" t="s">
        <v>274</v>
      </c>
      <c r="C98" s="414" t="s">
        <v>280</v>
      </c>
      <c r="D98" s="414" t="s">
        <v>281</v>
      </c>
      <c r="E98" s="412">
        <v>0</v>
      </c>
      <c r="F98" s="412">
        <v>60</v>
      </c>
      <c r="G98" s="412"/>
      <c r="H98" s="415"/>
      <c r="I98" s="413"/>
      <c r="J98" s="413"/>
      <c r="K98" s="413"/>
      <c r="L98" s="413"/>
      <c r="M98" s="416"/>
      <c r="N98" s="413"/>
      <c r="P98" s="417"/>
    </row>
    <row r="99" spans="1:16" s="418" customFormat="1" x14ac:dyDescent="0.35">
      <c r="A99" s="412">
        <v>2098</v>
      </c>
      <c r="B99" s="413" t="s">
        <v>274</v>
      </c>
      <c r="C99" s="414" t="s">
        <v>282</v>
      </c>
      <c r="D99" s="414" t="s">
        <v>283</v>
      </c>
      <c r="E99" s="412">
        <v>0</v>
      </c>
      <c r="F99" s="412">
        <v>60</v>
      </c>
      <c r="G99" s="412"/>
      <c r="H99" s="415"/>
      <c r="I99" s="413"/>
      <c r="J99" s="413"/>
      <c r="K99" s="413"/>
      <c r="L99" s="413"/>
      <c r="M99" s="416"/>
      <c r="N99" s="413"/>
      <c r="P99" s="417"/>
    </row>
    <row r="100" spans="1:16" s="418" customFormat="1" x14ac:dyDescent="0.35">
      <c r="A100" s="412">
        <v>2099</v>
      </c>
      <c r="B100" s="413" t="s">
        <v>274</v>
      </c>
      <c r="C100" s="414" t="s">
        <v>284</v>
      </c>
      <c r="D100" s="414" t="s">
        <v>285</v>
      </c>
      <c r="E100" s="412">
        <v>0</v>
      </c>
      <c r="F100" s="412">
        <v>60</v>
      </c>
      <c r="G100" s="412"/>
      <c r="H100" s="415"/>
      <c r="I100" s="413" t="s">
        <v>56</v>
      </c>
      <c r="J100" s="413"/>
      <c r="K100" s="413" t="s">
        <v>285</v>
      </c>
      <c r="L100" s="413"/>
      <c r="M100" s="416"/>
      <c r="N100" s="413"/>
      <c r="P100" s="417"/>
    </row>
    <row r="101" spans="1:16" ht="29" x14ac:dyDescent="0.35">
      <c r="A101" s="58">
        <v>2100</v>
      </c>
      <c r="B101" s="61" t="s">
        <v>274</v>
      </c>
      <c r="C101" s="59" t="s">
        <v>286</v>
      </c>
      <c r="D101" s="59" t="s">
        <v>287</v>
      </c>
      <c r="E101" s="58">
        <v>0</v>
      </c>
      <c r="F101" s="58">
        <v>30</v>
      </c>
      <c r="G101" s="58"/>
      <c r="H101" s="60"/>
      <c r="I101" s="61" t="s">
        <v>31</v>
      </c>
      <c r="J101" s="61"/>
      <c r="K101" s="61" t="s">
        <v>287</v>
      </c>
      <c r="L101" s="61" t="s">
        <v>3821</v>
      </c>
      <c r="M101" s="56"/>
      <c r="N101" s="61"/>
      <c r="P101" s="64"/>
    </row>
    <row r="102" spans="1:16" ht="29" x14ac:dyDescent="0.35">
      <c r="A102" s="58">
        <v>2101</v>
      </c>
      <c r="B102" s="61" t="s">
        <v>274</v>
      </c>
      <c r="C102" s="59" t="s">
        <v>288</v>
      </c>
      <c r="D102" s="59" t="s">
        <v>289</v>
      </c>
      <c r="E102" s="58">
        <v>0</v>
      </c>
      <c r="F102" s="58">
        <v>20</v>
      </c>
      <c r="G102" s="58"/>
      <c r="H102" s="60"/>
      <c r="I102" s="61" t="s">
        <v>61</v>
      </c>
      <c r="J102" s="61"/>
      <c r="K102" s="61" t="s">
        <v>289</v>
      </c>
      <c r="L102" s="61" t="s">
        <v>3822</v>
      </c>
      <c r="M102" s="56"/>
      <c r="N102" s="61"/>
      <c r="P102" s="64"/>
    </row>
    <row r="103" spans="1:16" ht="29" x14ac:dyDescent="0.35">
      <c r="A103" s="58">
        <v>2102</v>
      </c>
      <c r="B103" s="61" t="s">
        <v>274</v>
      </c>
      <c r="C103" s="59" t="s">
        <v>290</v>
      </c>
      <c r="D103" s="59" t="s">
        <v>291</v>
      </c>
      <c r="E103" s="58">
        <v>0</v>
      </c>
      <c r="F103" s="58">
        <v>2</v>
      </c>
      <c r="G103" s="58"/>
      <c r="H103" s="60"/>
      <c r="I103" s="61" t="s">
        <v>61</v>
      </c>
      <c r="J103" s="61"/>
      <c r="K103" s="61" t="s">
        <v>291</v>
      </c>
      <c r="L103" s="61" t="s">
        <v>3823</v>
      </c>
      <c r="M103" s="56"/>
      <c r="N103" s="61"/>
      <c r="P103" s="64"/>
    </row>
    <row r="104" spans="1:16" ht="29" x14ac:dyDescent="0.35">
      <c r="A104" s="58">
        <v>2103</v>
      </c>
      <c r="B104" s="61" t="s">
        <v>274</v>
      </c>
      <c r="C104" s="59" t="s">
        <v>292</v>
      </c>
      <c r="D104" s="59" t="s">
        <v>293</v>
      </c>
      <c r="E104" s="58">
        <v>0</v>
      </c>
      <c r="F104" s="58">
        <v>10</v>
      </c>
      <c r="G104" s="58"/>
      <c r="H104" s="60"/>
      <c r="I104" s="61" t="s">
        <v>27</v>
      </c>
      <c r="J104" s="61"/>
      <c r="K104" s="61" t="s">
        <v>293</v>
      </c>
      <c r="L104" s="61" t="s">
        <v>3824</v>
      </c>
      <c r="M104" s="56"/>
      <c r="N104" s="61"/>
      <c r="P104" s="64"/>
    </row>
    <row r="105" spans="1:16" s="425" customFormat="1" ht="29" x14ac:dyDescent="0.35">
      <c r="A105" s="419">
        <v>2104</v>
      </c>
      <c r="B105" s="420" t="s">
        <v>274</v>
      </c>
      <c r="C105" s="421" t="s">
        <v>294</v>
      </c>
      <c r="D105" s="421" t="s">
        <v>295</v>
      </c>
      <c r="E105" s="419">
        <v>0</v>
      </c>
      <c r="F105" s="419">
        <v>4</v>
      </c>
      <c r="G105" s="419"/>
      <c r="H105" s="422"/>
      <c r="I105" s="420" t="s">
        <v>27</v>
      </c>
      <c r="J105" s="420"/>
      <c r="K105" s="420" t="s">
        <v>295</v>
      </c>
      <c r="L105" s="420"/>
      <c r="M105" s="423"/>
      <c r="N105" s="420"/>
      <c r="P105" s="424"/>
    </row>
    <row r="106" spans="1:16" x14ac:dyDescent="0.35">
      <c r="A106" s="58">
        <v>2105</v>
      </c>
      <c r="B106" s="61" t="s">
        <v>296</v>
      </c>
      <c r="C106" s="59" t="s">
        <v>297</v>
      </c>
      <c r="D106" s="59" t="s">
        <v>298</v>
      </c>
      <c r="E106" s="58">
        <v>0</v>
      </c>
      <c r="F106" s="58">
        <v>2</v>
      </c>
      <c r="G106" s="58"/>
      <c r="H106" s="60"/>
      <c r="I106" s="61" t="s">
        <v>71</v>
      </c>
      <c r="J106" s="61"/>
      <c r="K106" s="61" t="s">
        <v>298</v>
      </c>
      <c r="L106" s="61" t="s">
        <v>3825</v>
      </c>
      <c r="M106" s="56"/>
      <c r="N106" s="61"/>
      <c r="P106" s="64"/>
    </row>
    <row r="107" spans="1:16" x14ac:dyDescent="0.35">
      <c r="A107" s="58">
        <v>2106</v>
      </c>
      <c r="B107" s="61" t="s">
        <v>296</v>
      </c>
      <c r="C107" s="59" t="s">
        <v>299</v>
      </c>
      <c r="D107" s="59" t="s">
        <v>300</v>
      </c>
      <c r="E107" s="58">
        <v>0</v>
      </c>
      <c r="F107" s="58">
        <v>9</v>
      </c>
      <c r="G107" s="58"/>
      <c r="H107" s="60"/>
      <c r="I107" s="175" t="s">
        <v>27</v>
      </c>
      <c r="J107" s="61"/>
      <c r="K107" s="61" t="s">
        <v>300</v>
      </c>
      <c r="L107" s="61" t="s">
        <v>3826</v>
      </c>
      <c r="M107" s="56"/>
      <c r="N107" s="61"/>
      <c r="P107" s="64"/>
    </row>
    <row r="108" spans="1:16" x14ac:dyDescent="0.35">
      <c r="A108" s="58">
        <v>2107</v>
      </c>
      <c r="B108" s="61" t="s">
        <v>301</v>
      </c>
      <c r="C108" s="59" t="s">
        <v>302</v>
      </c>
      <c r="D108" s="59" t="s">
        <v>303</v>
      </c>
      <c r="E108" s="58">
        <v>0</v>
      </c>
      <c r="F108" s="58">
        <v>2</v>
      </c>
      <c r="G108" s="58"/>
      <c r="H108" s="60"/>
      <c r="I108" s="61" t="s">
        <v>71</v>
      </c>
      <c r="J108" s="61"/>
      <c r="K108" s="61" t="s">
        <v>303</v>
      </c>
      <c r="L108" s="61" t="s">
        <v>3825</v>
      </c>
      <c r="M108" s="56"/>
      <c r="N108" s="61"/>
      <c r="P108" s="64"/>
    </row>
    <row r="109" spans="1:16" x14ac:dyDescent="0.35">
      <c r="A109" s="58">
        <v>2108</v>
      </c>
      <c r="B109" s="61" t="s">
        <v>301</v>
      </c>
      <c r="C109" s="59" t="s">
        <v>304</v>
      </c>
      <c r="D109" s="59" t="s">
        <v>305</v>
      </c>
      <c r="E109" s="58">
        <v>0</v>
      </c>
      <c r="F109" s="58">
        <v>9</v>
      </c>
      <c r="G109" s="58"/>
      <c r="H109" s="60"/>
      <c r="I109" s="175" t="s">
        <v>27</v>
      </c>
      <c r="J109" s="61"/>
      <c r="K109" s="61" t="s">
        <v>305</v>
      </c>
      <c r="L109" s="61" t="s">
        <v>3826</v>
      </c>
      <c r="M109" s="56"/>
      <c r="N109" s="61"/>
      <c r="P109" s="64"/>
    </row>
    <row r="110" spans="1:16" x14ac:dyDescent="0.35">
      <c r="A110" s="58">
        <v>2109</v>
      </c>
      <c r="B110" s="61" t="s">
        <v>306</v>
      </c>
      <c r="C110" s="59" t="s">
        <v>307</v>
      </c>
      <c r="D110" s="59" t="s">
        <v>308</v>
      </c>
      <c r="E110" s="58">
        <v>0</v>
      </c>
      <c r="F110" s="58">
        <v>2</v>
      </c>
      <c r="G110" s="58"/>
      <c r="H110" s="60"/>
      <c r="I110" s="61" t="s">
        <v>71</v>
      </c>
      <c r="J110" s="61"/>
      <c r="K110" s="61" t="s">
        <v>308</v>
      </c>
      <c r="L110" s="61" t="s">
        <v>3825</v>
      </c>
      <c r="M110" s="56"/>
      <c r="N110" s="61"/>
      <c r="P110" s="64"/>
    </row>
    <row r="111" spans="1:16" x14ac:dyDescent="0.35">
      <c r="A111" s="58">
        <v>2110</v>
      </c>
      <c r="B111" s="61" t="s">
        <v>306</v>
      </c>
      <c r="C111" s="59" t="s">
        <v>309</v>
      </c>
      <c r="D111" s="59" t="s">
        <v>310</v>
      </c>
      <c r="E111" s="58">
        <v>0</v>
      </c>
      <c r="F111" s="58">
        <v>9</v>
      </c>
      <c r="G111" s="58"/>
      <c r="H111" s="60"/>
      <c r="I111" s="175" t="s">
        <v>27</v>
      </c>
      <c r="J111" s="61"/>
      <c r="K111" s="61" t="s">
        <v>310</v>
      </c>
      <c r="L111" s="61" t="s">
        <v>3826</v>
      </c>
      <c r="M111" s="56"/>
      <c r="N111" s="61"/>
      <c r="P111" s="64"/>
    </row>
    <row r="112" spans="1:16" x14ac:dyDescent="0.35">
      <c r="A112" s="58">
        <v>2111</v>
      </c>
      <c r="B112" s="61" t="s">
        <v>311</v>
      </c>
      <c r="C112" s="59" t="s">
        <v>312</v>
      </c>
      <c r="D112" s="59" t="s">
        <v>313</v>
      </c>
      <c r="E112" s="58">
        <v>0</v>
      </c>
      <c r="F112" s="58">
        <v>2</v>
      </c>
      <c r="G112" s="58"/>
      <c r="H112" s="60"/>
      <c r="I112" s="61" t="s">
        <v>71</v>
      </c>
      <c r="J112" s="61"/>
      <c r="K112" s="61" t="s">
        <v>313</v>
      </c>
      <c r="L112" s="61" t="s">
        <v>3825</v>
      </c>
      <c r="M112" s="56"/>
      <c r="N112" s="61"/>
      <c r="P112" s="64"/>
    </row>
    <row r="113" spans="1:16" x14ac:dyDescent="0.35">
      <c r="A113" s="58">
        <v>2112</v>
      </c>
      <c r="B113" s="61" t="s">
        <v>311</v>
      </c>
      <c r="C113" s="59" t="s">
        <v>314</v>
      </c>
      <c r="D113" s="59" t="s">
        <v>315</v>
      </c>
      <c r="E113" s="58">
        <v>0</v>
      </c>
      <c r="F113" s="58">
        <v>9</v>
      </c>
      <c r="G113" s="58"/>
      <c r="H113" s="60"/>
      <c r="I113" s="175" t="s">
        <v>27</v>
      </c>
      <c r="J113" s="61"/>
      <c r="K113" s="61" t="s">
        <v>315</v>
      </c>
      <c r="L113" s="61" t="s">
        <v>3826</v>
      </c>
      <c r="M113" s="56"/>
      <c r="N113" s="61"/>
      <c r="P113" s="64"/>
    </row>
    <row r="114" spans="1:16" x14ac:dyDescent="0.35">
      <c r="A114" s="58">
        <v>2113</v>
      </c>
      <c r="B114" s="61" t="s">
        <v>316</v>
      </c>
      <c r="C114" s="59" t="s">
        <v>317</v>
      </c>
      <c r="D114" s="59" t="s">
        <v>318</v>
      </c>
      <c r="E114" s="58">
        <v>0</v>
      </c>
      <c r="F114" s="58">
        <v>2</v>
      </c>
      <c r="G114" s="58"/>
      <c r="H114" s="60"/>
      <c r="I114" s="61" t="s">
        <v>71</v>
      </c>
      <c r="J114" s="61"/>
      <c r="K114" s="61" t="s">
        <v>318</v>
      </c>
      <c r="L114" s="61" t="s">
        <v>3827</v>
      </c>
      <c r="M114" s="56"/>
      <c r="N114" s="61"/>
      <c r="P114" s="64"/>
    </row>
    <row r="115" spans="1:16" x14ac:dyDescent="0.35">
      <c r="A115" s="58">
        <v>2114</v>
      </c>
      <c r="B115" s="61" t="s">
        <v>316</v>
      </c>
      <c r="C115" s="59" t="s">
        <v>319</v>
      </c>
      <c r="D115" s="59" t="s">
        <v>320</v>
      </c>
      <c r="E115" s="58">
        <v>0</v>
      </c>
      <c r="F115" s="58">
        <v>9</v>
      </c>
      <c r="G115" s="58"/>
      <c r="H115" s="60"/>
      <c r="I115" s="175" t="s">
        <v>27</v>
      </c>
      <c r="J115" s="61"/>
      <c r="K115" s="61" t="s">
        <v>320</v>
      </c>
      <c r="L115" s="61" t="s">
        <v>3828</v>
      </c>
      <c r="M115" s="56"/>
      <c r="N115" s="61"/>
      <c r="P115" s="64"/>
    </row>
    <row r="116" spans="1:16" x14ac:dyDescent="0.35">
      <c r="A116" s="58">
        <v>2115</v>
      </c>
      <c r="B116" s="61" t="s">
        <v>321</v>
      </c>
      <c r="C116" s="59" t="s">
        <v>322</v>
      </c>
      <c r="D116" s="59" t="s">
        <v>323</v>
      </c>
      <c r="E116" s="58">
        <v>0</v>
      </c>
      <c r="F116" s="58">
        <v>2</v>
      </c>
      <c r="G116" s="58"/>
      <c r="H116" s="60"/>
      <c r="I116" s="61" t="s">
        <v>71</v>
      </c>
      <c r="J116" s="61"/>
      <c r="K116" s="61" t="s">
        <v>323</v>
      </c>
      <c r="L116" s="61" t="s">
        <v>3827</v>
      </c>
      <c r="M116" s="56"/>
      <c r="N116" s="61"/>
      <c r="P116" s="64"/>
    </row>
    <row r="117" spans="1:16" x14ac:dyDescent="0.35">
      <c r="A117" s="58">
        <v>2116</v>
      </c>
      <c r="B117" s="61" t="s">
        <v>321</v>
      </c>
      <c r="C117" s="59" t="s">
        <v>324</v>
      </c>
      <c r="D117" s="59" t="s">
        <v>325</v>
      </c>
      <c r="E117" s="58">
        <v>0</v>
      </c>
      <c r="F117" s="58">
        <v>9</v>
      </c>
      <c r="G117" s="58"/>
      <c r="H117" s="60"/>
      <c r="I117" s="175" t="s">
        <v>27</v>
      </c>
      <c r="J117" s="61"/>
      <c r="K117" s="61" t="s">
        <v>325</v>
      </c>
      <c r="L117" s="61" t="s">
        <v>3828</v>
      </c>
      <c r="M117" s="56"/>
      <c r="N117" s="61"/>
      <c r="P117" s="64"/>
    </row>
    <row r="118" spans="1:16" x14ac:dyDescent="0.35">
      <c r="A118" s="58">
        <v>2117</v>
      </c>
      <c r="B118" s="61" t="s">
        <v>326</v>
      </c>
      <c r="C118" s="59" t="s">
        <v>327</v>
      </c>
      <c r="D118" s="59" t="s">
        <v>328</v>
      </c>
      <c r="E118" s="58">
        <v>0</v>
      </c>
      <c r="F118" s="58">
        <v>2</v>
      </c>
      <c r="G118" s="58"/>
      <c r="H118" s="60"/>
      <c r="I118" s="61" t="s">
        <v>71</v>
      </c>
      <c r="J118" s="61"/>
      <c r="K118" s="61" t="s">
        <v>328</v>
      </c>
      <c r="L118" s="61" t="s">
        <v>3827</v>
      </c>
      <c r="M118" s="56"/>
      <c r="N118" s="61"/>
      <c r="P118" s="64"/>
    </row>
    <row r="119" spans="1:16" x14ac:dyDescent="0.35">
      <c r="A119" s="58">
        <v>2118</v>
      </c>
      <c r="B119" s="61" t="s">
        <v>326</v>
      </c>
      <c r="C119" s="59" t="s">
        <v>329</v>
      </c>
      <c r="D119" s="59" t="s">
        <v>330</v>
      </c>
      <c r="E119" s="58">
        <v>0</v>
      </c>
      <c r="F119" s="58">
        <v>9</v>
      </c>
      <c r="G119" s="58"/>
      <c r="H119" s="60"/>
      <c r="I119" s="175" t="s">
        <v>27</v>
      </c>
      <c r="J119" s="61"/>
      <c r="K119" s="61" t="s">
        <v>330</v>
      </c>
      <c r="L119" s="61" t="s">
        <v>3828</v>
      </c>
      <c r="M119" s="56"/>
      <c r="N119" s="61"/>
      <c r="P119" s="64"/>
    </row>
    <row r="120" spans="1:16" x14ac:dyDescent="0.35">
      <c r="A120" s="58">
        <v>2119</v>
      </c>
      <c r="B120" s="61" t="s">
        <v>331</v>
      </c>
      <c r="C120" s="59" t="s">
        <v>332</v>
      </c>
      <c r="D120" s="59" t="s">
        <v>333</v>
      </c>
      <c r="E120" s="58">
        <v>0</v>
      </c>
      <c r="F120" s="58">
        <v>2</v>
      </c>
      <c r="G120" s="58"/>
      <c r="H120" s="60"/>
      <c r="I120" s="61" t="s">
        <v>71</v>
      </c>
      <c r="J120" s="61"/>
      <c r="K120" s="61" t="s">
        <v>333</v>
      </c>
      <c r="L120" s="61" t="s">
        <v>3827</v>
      </c>
      <c r="M120" s="56"/>
      <c r="N120" s="61"/>
      <c r="P120" s="64"/>
    </row>
    <row r="121" spans="1:16" x14ac:dyDescent="0.35">
      <c r="A121" s="58">
        <v>2120</v>
      </c>
      <c r="B121" s="61" t="s">
        <v>331</v>
      </c>
      <c r="C121" s="59" t="s">
        <v>334</v>
      </c>
      <c r="D121" s="59" t="s">
        <v>335</v>
      </c>
      <c r="E121" s="58">
        <v>0</v>
      </c>
      <c r="F121" s="58">
        <v>9</v>
      </c>
      <c r="G121" s="58"/>
      <c r="H121" s="60"/>
      <c r="I121" s="175" t="s">
        <v>27</v>
      </c>
      <c r="J121" s="61"/>
      <c r="K121" s="61" t="s">
        <v>335</v>
      </c>
      <c r="L121" s="61" t="s">
        <v>3828</v>
      </c>
      <c r="M121" s="56"/>
      <c r="N121" s="61"/>
      <c r="P121" s="64"/>
    </row>
    <row r="122" spans="1:16" x14ac:dyDescent="0.35">
      <c r="A122" s="58">
        <v>2121</v>
      </c>
      <c r="B122" s="61" t="s">
        <v>336</v>
      </c>
      <c r="C122" s="59" t="s">
        <v>337</v>
      </c>
      <c r="D122" s="59" t="s">
        <v>338</v>
      </c>
      <c r="E122" s="58">
        <v>0</v>
      </c>
      <c r="F122" s="58">
        <v>2</v>
      </c>
      <c r="G122" s="58"/>
      <c r="H122" s="60"/>
      <c r="I122" s="61" t="s">
        <v>71</v>
      </c>
      <c r="J122" s="61"/>
      <c r="K122" s="61" t="s">
        <v>338</v>
      </c>
      <c r="L122" s="61" t="s">
        <v>3829</v>
      </c>
      <c r="M122" s="56"/>
      <c r="N122" s="61"/>
      <c r="P122" s="64"/>
    </row>
    <row r="123" spans="1:16" x14ac:dyDescent="0.35">
      <c r="A123" s="58">
        <v>2122</v>
      </c>
      <c r="B123" s="61" t="s">
        <v>336</v>
      </c>
      <c r="C123" s="59" t="s">
        <v>339</v>
      </c>
      <c r="D123" s="59" t="s">
        <v>340</v>
      </c>
      <c r="E123" s="58">
        <v>0</v>
      </c>
      <c r="F123" s="58">
        <v>9</v>
      </c>
      <c r="G123" s="58"/>
      <c r="H123" s="60"/>
      <c r="I123" s="175" t="s">
        <v>27</v>
      </c>
      <c r="J123" s="61"/>
      <c r="K123" s="61" t="s">
        <v>340</v>
      </c>
      <c r="L123" s="61" t="s">
        <v>3830</v>
      </c>
      <c r="M123" s="56"/>
      <c r="N123" s="61"/>
      <c r="P123" s="64"/>
    </row>
    <row r="124" spans="1:16" x14ac:dyDescent="0.35">
      <c r="A124" s="58">
        <v>2123</v>
      </c>
      <c r="B124" s="61" t="s">
        <v>341</v>
      </c>
      <c r="C124" s="59" t="s">
        <v>342</v>
      </c>
      <c r="D124" s="59" t="s">
        <v>343</v>
      </c>
      <c r="E124" s="58">
        <v>0</v>
      </c>
      <c r="F124" s="58">
        <v>2</v>
      </c>
      <c r="G124" s="58"/>
      <c r="H124" s="60"/>
      <c r="I124" s="61" t="s">
        <v>71</v>
      </c>
      <c r="J124" s="61"/>
      <c r="K124" s="61" t="s">
        <v>343</v>
      </c>
      <c r="L124" s="61" t="s">
        <v>3829</v>
      </c>
      <c r="M124" s="56"/>
      <c r="N124" s="61"/>
      <c r="P124" s="64"/>
    </row>
    <row r="125" spans="1:16" x14ac:dyDescent="0.35">
      <c r="A125" s="58">
        <v>2124</v>
      </c>
      <c r="B125" s="61" t="s">
        <v>341</v>
      </c>
      <c r="C125" s="59" t="s">
        <v>344</v>
      </c>
      <c r="D125" s="59" t="s">
        <v>345</v>
      </c>
      <c r="E125" s="58">
        <v>0</v>
      </c>
      <c r="F125" s="58">
        <v>9</v>
      </c>
      <c r="G125" s="58"/>
      <c r="H125" s="60"/>
      <c r="I125" s="175" t="s">
        <v>27</v>
      </c>
      <c r="J125" s="61"/>
      <c r="K125" s="61" t="s">
        <v>345</v>
      </c>
      <c r="L125" s="61" t="s">
        <v>3830</v>
      </c>
      <c r="M125" s="56"/>
      <c r="N125" s="61"/>
      <c r="P125" s="64"/>
    </row>
    <row r="126" spans="1:16" x14ac:dyDescent="0.35">
      <c r="A126" s="58">
        <v>2125</v>
      </c>
      <c r="B126" s="61" t="s">
        <v>346</v>
      </c>
      <c r="C126" s="59" t="s">
        <v>347</v>
      </c>
      <c r="D126" s="59" t="s">
        <v>348</v>
      </c>
      <c r="E126" s="58">
        <v>0</v>
      </c>
      <c r="F126" s="58">
        <v>2</v>
      </c>
      <c r="G126" s="58"/>
      <c r="H126" s="60"/>
      <c r="I126" s="61" t="s">
        <v>71</v>
      </c>
      <c r="J126" s="61"/>
      <c r="K126" s="61" t="s">
        <v>348</v>
      </c>
      <c r="L126" s="61" t="s">
        <v>3829</v>
      </c>
      <c r="M126" s="56"/>
      <c r="N126" s="61"/>
      <c r="P126" s="64"/>
    </row>
    <row r="127" spans="1:16" x14ac:dyDescent="0.35">
      <c r="A127" s="58">
        <v>2126</v>
      </c>
      <c r="B127" s="61" t="s">
        <v>346</v>
      </c>
      <c r="C127" s="59" t="s">
        <v>349</v>
      </c>
      <c r="D127" s="59" t="s">
        <v>350</v>
      </c>
      <c r="E127" s="58">
        <v>0</v>
      </c>
      <c r="F127" s="58">
        <v>9</v>
      </c>
      <c r="G127" s="58"/>
      <c r="H127" s="60"/>
      <c r="I127" s="175" t="s">
        <v>27</v>
      </c>
      <c r="J127" s="61"/>
      <c r="K127" s="61" t="s">
        <v>350</v>
      </c>
      <c r="L127" s="61" t="s">
        <v>3830</v>
      </c>
      <c r="M127" s="56"/>
      <c r="N127" s="61"/>
      <c r="P127" s="64"/>
    </row>
    <row r="128" spans="1:16" x14ac:dyDescent="0.35">
      <c r="A128" s="58">
        <v>2127</v>
      </c>
      <c r="B128" s="61" t="s">
        <v>351</v>
      </c>
      <c r="C128" s="59" t="s">
        <v>352</v>
      </c>
      <c r="D128" s="59" t="s">
        <v>353</v>
      </c>
      <c r="E128" s="58">
        <v>0</v>
      </c>
      <c r="F128" s="58">
        <v>2</v>
      </c>
      <c r="G128" s="58"/>
      <c r="H128" s="60"/>
      <c r="I128" s="61" t="s">
        <v>71</v>
      </c>
      <c r="J128" s="61"/>
      <c r="K128" s="61" t="s">
        <v>353</v>
      </c>
      <c r="L128" s="61" t="s">
        <v>3829</v>
      </c>
      <c r="M128" s="56"/>
      <c r="N128" s="61"/>
      <c r="P128" s="64"/>
    </row>
    <row r="129" spans="1:16" x14ac:dyDescent="0.35">
      <c r="A129" s="58">
        <v>2128</v>
      </c>
      <c r="B129" s="61" t="s">
        <v>351</v>
      </c>
      <c r="C129" s="59" t="s">
        <v>354</v>
      </c>
      <c r="D129" s="59" t="s">
        <v>355</v>
      </c>
      <c r="E129" s="58">
        <v>0</v>
      </c>
      <c r="F129" s="58">
        <v>9</v>
      </c>
      <c r="G129" s="58"/>
      <c r="H129" s="60"/>
      <c r="I129" s="175" t="s">
        <v>27</v>
      </c>
      <c r="J129" s="61"/>
      <c r="K129" s="61" t="s">
        <v>355</v>
      </c>
      <c r="L129" s="61" t="s">
        <v>3830</v>
      </c>
      <c r="M129" s="56"/>
      <c r="N129" s="61"/>
      <c r="P129" s="64"/>
    </row>
    <row r="130" spans="1:16" ht="2.65" customHeight="1" x14ac:dyDescent="0.35">
      <c r="A130" s="80"/>
      <c r="B130" s="83"/>
      <c r="C130" s="81"/>
      <c r="D130" s="81"/>
      <c r="E130" s="80"/>
      <c r="F130" s="80"/>
      <c r="G130" s="80"/>
      <c r="H130" s="82"/>
      <c r="I130" s="83"/>
      <c r="J130" s="83"/>
      <c r="K130" s="83"/>
      <c r="L130" s="83"/>
      <c r="M130" s="84"/>
      <c r="N130" s="83"/>
      <c r="P130" s="85"/>
    </row>
    <row r="131" spans="1:16" x14ac:dyDescent="0.35">
      <c r="A131" s="171">
        <v>2501</v>
      </c>
      <c r="B131" s="175" t="s">
        <v>356</v>
      </c>
      <c r="C131" s="172" t="s">
        <v>357</v>
      </c>
      <c r="D131" s="172" t="s">
        <v>358</v>
      </c>
      <c r="E131" s="171">
        <v>1</v>
      </c>
      <c r="F131" s="173">
        <v>5</v>
      </c>
      <c r="G131" s="173"/>
      <c r="H131" s="174"/>
      <c r="I131" s="175" t="s">
        <v>27</v>
      </c>
      <c r="J131" s="175"/>
      <c r="K131" s="175" t="s">
        <v>358</v>
      </c>
      <c r="L131" s="175"/>
      <c r="M131" s="176"/>
      <c r="N131" s="175"/>
      <c r="P131" s="64"/>
    </row>
    <row r="132" spans="1:16" s="400" customFormat="1" ht="116" x14ac:dyDescent="0.35">
      <c r="A132" s="394">
        <v>2502</v>
      </c>
      <c r="B132" s="395" t="s">
        <v>359</v>
      </c>
      <c r="C132" s="396" t="s">
        <v>360</v>
      </c>
      <c r="D132" s="396" t="s">
        <v>361</v>
      </c>
      <c r="E132" s="394">
        <v>1</v>
      </c>
      <c r="F132" s="394">
        <v>30</v>
      </c>
      <c r="G132" s="394"/>
      <c r="H132" s="397"/>
      <c r="I132" s="395"/>
      <c r="J132" s="395"/>
      <c r="K132" s="395" t="s">
        <v>362</v>
      </c>
      <c r="L132" s="395"/>
      <c r="M132" s="398"/>
      <c r="N132" s="395"/>
      <c r="P132" s="399"/>
    </row>
    <row r="133" spans="1:16" s="400" customFormat="1" x14ac:dyDescent="0.35">
      <c r="A133" s="394">
        <v>2509</v>
      </c>
      <c r="B133" s="395" t="s">
        <v>363</v>
      </c>
      <c r="C133" s="396" t="s">
        <v>364</v>
      </c>
      <c r="D133" s="407" t="s">
        <v>365</v>
      </c>
      <c r="E133" s="394">
        <v>1</v>
      </c>
      <c r="F133" s="394">
        <v>2</v>
      </c>
      <c r="G133" s="394"/>
      <c r="H133" s="397"/>
      <c r="I133" s="395" t="s">
        <v>71</v>
      </c>
      <c r="J133" s="395"/>
      <c r="K133" s="395" t="s">
        <v>365</v>
      </c>
      <c r="L133" s="395"/>
      <c r="M133" s="398"/>
      <c r="N133" s="395"/>
      <c r="P133" s="399"/>
    </row>
    <row r="134" spans="1:16" s="400" customFormat="1" x14ac:dyDescent="0.35">
      <c r="A134" s="394">
        <v>2510</v>
      </c>
      <c r="B134" s="395" t="s">
        <v>363</v>
      </c>
      <c r="C134" s="396" t="s">
        <v>366</v>
      </c>
      <c r="D134" s="407" t="s">
        <v>367</v>
      </c>
      <c r="E134" s="394">
        <v>1</v>
      </c>
      <c r="F134" s="394">
        <v>30</v>
      </c>
      <c r="G134" s="394"/>
      <c r="H134" s="397"/>
      <c r="I134" s="395" t="s">
        <v>71</v>
      </c>
      <c r="J134" s="395"/>
      <c r="K134" s="395" t="s">
        <v>367</v>
      </c>
      <c r="L134" s="395"/>
      <c r="M134" s="398"/>
      <c r="N134" s="395"/>
      <c r="P134" s="399"/>
    </row>
    <row r="135" spans="1:16" s="400" customFormat="1" x14ac:dyDescent="0.35">
      <c r="A135" s="394">
        <v>2511</v>
      </c>
      <c r="B135" s="395" t="s">
        <v>363</v>
      </c>
      <c r="C135" s="396" t="s">
        <v>368</v>
      </c>
      <c r="D135" s="407" t="s">
        <v>369</v>
      </c>
      <c r="E135" s="394">
        <v>1</v>
      </c>
      <c r="F135" s="394">
        <v>20</v>
      </c>
      <c r="G135" s="394"/>
      <c r="H135" s="397"/>
      <c r="I135" s="395" t="s">
        <v>370</v>
      </c>
      <c r="J135" s="395"/>
      <c r="K135" s="395" t="s">
        <v>369</v>
      </c>
      <c r="L135" s="395"/>
      <c r="M135" s="398"/>
      <c r="N135" s="395"/>
      <c r="P135" s="399"/>
    </row>
    <row r="136" spans="1:16" s="400" customFormat="1" x14ac:dyDescent="0.35">
      <c r="A136" s="394">
        <v>2512</v>
      </c>
      <c r="B136" s="395" t="s">
        <v>363</v>
      </c>
      <c r="C136" s="396" t="s">
        <v>371</v>
      </c>
      <c r="D136" s="407" t="s">
        <v>372</v>
      </c>
      <c r="E136" s="394">
        <v>1</v>
      </c>
      <c r="F136" s="394">
        <v>10</v>
      </c>
      <c r="G136" s="394"/>
      <c r="H136" s="397"/>
      <c r="I136" s="395" t="s">
        <v>373</v>
      </c>
      <c r="J136" s="395"/>
      <c r="K136" s="395" t="s">
        <v>372</v>
      </c>
      <c r="L136" s="395"/>
      <c r="M136" s="398"/>
      <c r="N136" s="395"/>
      <c r="P136" s="399"/>
    </row>
    <row r="137" spans="1:16" s="400" customFormat="1" x14ac:dyDescent="0.35">
      <c r="A137" s="394">
        <v>2503</v>
      </c>
      <c r="B137" s="395" t="s">
        <v>374</v>
      </c>
      <c r="C137" s="396" t="s">
        <v>375</v>
      </c>
      <c r="D137" s="396" t="s">
        <v>376</v>
      </c>
      <c r="E137" s="394">
        <v>1</v>
      </c>
      <c r="F137" s="394">
        <v>18</v>
      </c>
      <c r="G137" s="394"/>
      <c r="H137" s="397"/>
      <c r="I137" s="395" t="s">
        <v>377</v>
      </c>
      <c r="J137" s="395"/>
      <c r="K137" s="395" t="s">
        <v>378</v>
      </c>
      <c r="L137" s="395"/>
      <c r="M137" s="398"/>
      <c r="N137" s="395"/>
      <c r="P137" s="399"/>
    </row>
    <row r="138" spans="1:16" x14ac:dyDescent="0.35">
      <c r="A138" s="58">
        <v>2513</v>
      </c>
      <c r="B138" s="61" t="s">
        <v>374</v>
      </c>
      <c r="C138" s="59" t="s">
        <v>379</v>
      </c>
      <c r="D138" s="79" t="s">
        <v>378</v>
      </c>
      <c r="E138" s="58">
        <v>1</v>
      </c>
      <c r="F138" s="179">
        <v>7</v>
      </c>
      <c r="G138" s="179"/>
      <c r="H138" s="60"/>
      <c r="I138" s="61" t="s">
        <v>71</v>
      </c>
      <c r="J138" s="61"/>
      <c r="K138" s="61" t="s">
        <v>378</v>
      </c>
      <c r="L138" s="61" t="s">
        <v>3831</v>
      </c>
      <c r="M138" s="56"/>
      <c r="N138" s="61"/>
      <c r="P138" s="64"/>
    </row>
    <row r="139" spans="1:16" x14ac:dyDescent="0.35">
      <c r="A139" s="58">
        <v>2514</v>
      </c>
      <c r="B139" s="61" t="s">
        <v>374</v>
      </c>
      <c r="C139" s="59" t="s">
        <v>380</v>
      </c>
      <c r="D139" s="79" t="s">
        <v>381</v>
      </c>
      <c r="E139" s="58">
        <v>1</v>
      </c>
      <c r="F139" s="58">
        <v>2</v>
      </c>
      <c r="G139" s="58"/>
      <c r="H139" s="60"/>
      <c r="I139" s="61" t="s">
        <v>71</v>
      </c>
      <c r="J139" s="61"/>
      <c r="K139" s="61" t="s">
        <v>381</v>
      </c>
      <c r="L139" s="61" t="s">
        <v>3832</v>
      </c>
      <c r="M139" s="56"/>
      <c r="N139" s="61"/>
      <c r="P139" s="64"/>
    </row>
    <row r="140" spans="1:16" x14ac:dyDescent="0.35">
      <c r="A140" s="58">
        <v>2515</v>
      </c>
      <c r="B140" s="61" t="s">
        <v>374</v>
      </c>
      <c r="C140" s="59" t="s">
        <v>382</v>
      </c>
      <c r="D140" s="79" t="s">
        <v>383</v>
      </c>
      <c r="E140" s="58">
        <v>1</v>
      </c>
      <c r="F140" s="58">
        <v>2</v>
      </c>
      <c r="G140" s="58"/>
      <c r="H140" s="60"/>
      <c r="I140" s="61" t="s">
        <v>71</v>
      </c>
      <c r="J140" s="61"/>
      <c r="K140" s="61" t="s">
        <v>383</v>
      </c>
      <c r="L140" s="61" t="s">
        <v>3833</v>
      </c>
      <c r="M140" s="56"/>
      <c r="N140" s="61"/>
      <c r="P140" s="64"/>
    </row>
    <row r="141" spans="1:16" x14ac:dyDescent="0.35">
      <c r="A141" s="58">
        <v>2516</v>
      </c>
      <c r="B141" s="61" t="s">
        <v>374</v>
      </c>
      <c r="C141" s="59" t="s">
        <v>384</v>
      </c>
      <c r="D141" s="79" t="s">
        <v>385</v>
      </c>
      <c r="E141" s="58">
        <v>1</v>
      </c>
      <c r="F141" s="58">
        <v>2</v>
      </c>
      <c r="G141" s="58"/>
      <c r="H141" s="60"/>
      <c r="I141" s="61" t="s">
        <v>71</v>
      </c>
      <c r="J141" s="61"/>
      <c r="K141" s="61" t="s">
        <v>385</v>
      </c>
      <c r="L141" s="61" t="s">
        <v>3834</v>
      </c>
      <c r="M141" s="56"/>
      <c r="N141" s="61"/>
      <c r="P141" s="64"/>
    </row>
    <row r="142" spans="1:16" x14ac:dyDescent="0.35">
      <c r="A142" s="22">
        <v>2517</v>
      </c>
      <c r="B142" s="61" t="s">
        <v>374</v>
      </c>
      <c r="C142" s="59" t="s">
        <v>386</v>
      </c>
      <c r="D142" s="79" t="s">
        <v>387</v>
      </c>
      <c r="E142" s="58">
        <v>1</v>
      </c>
      <c r="F142" s="58">
        <v>2</v>
      </c>
      <c r="G142" s="58"/>
      <c r="H142" s="60"/>
      <c r="I142" s="61" t="s">
        <v>71</v>
      </c>
      <c r="J142" s="61"/>
      <c r="K142" s="61" t="s">
        <v>387</v>
      </c>
      <c r="L142" s="61" t="s">
        <v>3835</v>
      </c>
      <c r="M142" s="56"/>
      <c r="N142" s="61"/>
      <c r="P142" s="64"/>
    </row>
    <row r="143" spans="1:16" ht="29" x14ac:dyDescent="0.35">
      <c r="A143" s="58">
        <v>2504</v>
      </c>
      <c r="B143" s="61" t="s">
        <v>388</v>
      </c>
      <c r="C143" s="59" t="s">
        <v>389</v>
      </c>
      <c r="D143" s="59" t="s">
        <v>390</v>
      </c>
      <c r="E143" s="58">
        <v>1</v>
      </c>
      <c r="F143" s="58">
        <v>10</v>
      </c>
      <c r="G143" s="58"/>
      <c r="H143" s="60"/>
      <c r="I143" s="61" t="s">
        <v>85</v>
      </c>
      <c r="J143" s="61"/>
      <c r="K143" s="61" t="s">
        <v>390</v>
      </c>
      <c r="L143" s="61"/>
      <c r="M143" s="56"/>
      <c r="N143" s="61" t="s">
        <v>134</v>
      </c>
      <c r="P143" s="64"/>
    </row>
    <row r="144" spans="1:16" x14ac:dyDescent="0.35">
      <c r="A144" s="58">
        <v>2505</v>
      </c>
      <c r="B144" s="61" t="s">
        <v>391</v>
      </c>
      <c r="C144" s="59" t="s">
        <v>392</v>
      </c>
      <c r="D144" s="59" t="s">
        <v>393</v>
      </c>
      <c r="E144" s="58">
        <v>1</v>
      </c>
      <c r="F144" s="58">
        <v>9</v>
      </c>
      <c r="G144" s="58"/>
      <c r="H144" s="60"/>
      <c r="I144" s="61" t="s">
        <v>394</v>
      </c>
      <c r="J144" s="61"/>
      <c r="K144" s="61" t="s">
        <v>393</v>
      </c>
      <c r="L144" s="61"/>
      <c r="M144" s="56"/>
      <c r="N144" s="61"/>
      <c r="P144" s="64"/>
    </row>
    <row r="145" spans="1:16" x14ac:dyDescent="0.35">
      <c r="A145" s="58">
        <v>2506</v>
      </c>
      <c r="B145" s="61" t="s">
        <v>395</v>
      </c>
      <c r="C145" s="59" t="s">
        <v>396</v>
      </c>
      <c r="D145" s="59" t="s">
        <v>397</v>
      </c>
      <c r="E145" s="58">
        <v>1</v>
      </c>
      <c r="F145" s="58">
        <v>9</v>
      </c>
      <c r="G145" s="58"/>
      <c r="H145" s="60"/>
      <c r="I145" s="61" t="s">
        <v>398</v>
      </c>
      <c r="J145" s="61"/>
      <c r="K145" s="61" t="s">
        <v>397</v>
      </c>
      <c r="L145" s="61"/>
      <c r="M145" s="56"/>
      <c r="N145" s="61"/>
      <c r="P145" s="64"/>
    </row>
    <row r="146" spans="1:16" x14ac:dyDescent="0.35">
      <c r="A146" s="58">
        <v>2507</v>
      </c>
      <c r="B146" s="61" t="s">
        <v>399</v>
      </c>
      <c r="C146" s="59" t="s">
        <v>400</v>
      </c>
      <c r="D146" s="59" t="s">
        <v>401</v>
      </c>
      <c r="E146" s="58">
        <v>1</v>
      </c>
      <c r="F146" s="58">
        <v>9</v>
      </c>
      <c r="G146" s="58"/>
      <c r="H146" s="60"/>
      <c r="I146" s="61" t="s">
        <v>398</v>
      </c>
      <c r="J146" s="61"/>
      <c r="K146" s="61" t="s">
        <v>401</v>
      </c>
      <c r="L146" s="61"/>
      <c r="M146" s="56"/>
      <c r="N146" s="61"/>
      <c r="P146" s="64"/>
    </row>
    <row r="147" spans="1:16" s="400" customFormat="1" x14ac:dyDescent="0.35">
      <c r="A147" s="394">
        <v>2508</v>
      </c>
      <c r="B147" s="395" t="s">
        <v>402</v>
      </c>
      <c r="C147" s="396" t="s">
        <v>198</v>
      </c>
      <c r="D147" s="396" t="s">
        <v>403</v>
      </c>
      <c r="E147" s="394">
        <v>1</v>
      </c>
      <c r="F147" s="394">
        <v>9</v>
      </c>
      <c r="G147" s="394"/>
      <c r="H147" s="397"/>
      <c r="I147" s="395" t="s">
        <v>27</v>
      </c>
      <c r="J147" s="395"/>
      <c r="K147" s="395" t="s">
        <v>403</v>
      </c>
      <c r="L147" s="395"/>
      <c r="M147" s="398"/>
      <c r="N147" s="395"/>
      <c r="P147" s="399"/>
    </row>
    <row r="148" spans="1:16" s="400" customFormat="1" ht="4" customHeight="1" x14ac:dyDescent="0.35">
      <c r="A148" s="394"/>
      <c r="B148" s="395"/>
      <c r="C148" s="396"/>
      <c r="D148" s="396"/>
      <c r="E148" s="394"/>
      <c r="F148" s="394"/>
      <c r="G148" s="394"/>
      <c r="H148" s="397"/>
      <c r="I148" s="395"/>
      <c r="J148" s="395"/>
      <c r="K148" s="395"/>
      <c r="L148" s="395"/>
      <c r="M148" s="398"/>
      <c r="N148" s="395"/>
      <c r="P148" s="399"/>
    </row>
    <row r="149" spans="1:16" s="400" customFormat="1" x14ac:dyDescent="0.35">
      <c r="A149" s="394">
        <v>2129</v>
      </c>
      <c r="B149" s="395" t="s">
        <v>404</v>
      </c>
      <c r="C149" s="396" t="s">
        <v>405</v>
      </c>
      <c r="D149" s="396" t="s">
        <v>406</v>
      </c>
      <c r="E149" s="394">
        <v>0</v>
      </c>
      <c r="F149" s="394">
        <v>4</v>
      </c>
      <c r="G149" s="394"/>
      <c r="H149" s="397"/>
      <c r="I149" s="395" t="s">
        <v>27</v>
      </c>
      <c r="J149" s="395"/>
      <c r="K149" s="395" t="s">
        <v>406</v>
      </c>
      <c r="L149" s="395"/>
      <c r="M149" s="398"/>
      <c r="N149" s="395"/>
      <c r="P149" s="399"/>
    </row>
    <row r="150" spans="1:16" s="400" customFormat="1" x14ac:dyDescent="0.35">
      <c r="A150" s="394">
        <v>2130</v>
      </c>
      <c r="B150" s="395" t="s">
        <v>404</v>
      </c>
      <c r="C150" s="396" t="s">
        <v>407</v>
      </c>
      <c r="D150" s="396" t="s">
        <v>408</v>
      </c>
      <c r="E150" s="394">
        <v>0</v>
      </c>
      <c r="F150" s="394">
        <v>2</v>
      </c>
      <c r="G150" s="394"/>
      <c r="H150" s="397"/>
      <c r="I150" s="395" t="s">
        <v>27</v>
      </c>
      <c r="J150" s="395"/>
      <c r="K150" s="395" t="s">
        <v>408</v>
      </c>
      <c r="L150" s="395"/>
      <c r="M150" s="398"/>
      <c r="N150" s="395"/>
      <c r="P150" s="399"/>
    </row>
    <row r="151" spans="1:16" s="400" customFormat="1" x14ac:dyDescent="0.35">
      <c r="A151" s="408">
        <v>2131</v>
      </c>
      <c r="B151" s="409" t="s">
        <v>404</v>
      </c>
      <c r="C151" s="410" t="s">
        <v>409</v>
      </c>
      <c r="D151" s="410" t="s">
        <v>410</v>
      </c>
      <c r="E151" s="408">
        <v>0</v>
      </c>
      <c r="F151" s="408">
        <v>2</v>
      </c>
      <c r="G151" s="408"/>
      <c r="H151" s="410"/>
      <c r="I151" s="409" t="s">
        <v>27</v>
      </c>
      <c r="J151" s="409"/>
      <c r="K151" s="409" t="s">
        <v>410</v>
      </c>
      <c r="L151" s="409"/>
      <c r="N151" s="409"/>
      <c r="P151" s="411"/>
    </row>
    <row r="152" spans="1:16" s="400" customFormat="1" x14ac:dyDescent="0.35">
      <c r="A152" s="408">
        <v>2132</v>
      </c>
      <c r="B152" s="409" t="s">
        <v>404</v>
      </c>
      <c r="C152" s="410" t="s">
        <v>411</v>
      </c>
      <c r="D152" s="410" t="s">
        <v>412</v>
      </c>
      <c r="E152" s="408">
        <v>0</v>
      </c>
      <c r="F152" s="408">
        <v>10</v>
      </c>
      <c r="G152" s="408"/>
      <c r="H152" s="410"/>
      <c r="I152" s="409" t="s">
        <v>85</v>
      </c>
      <c r="J152" s="409"/>
      <c r="K152" s="409" t="s">
        <v>412</v>
      </c>
      <c r="L152" s="409"/>
      <c r="N152" s="409"/>
      <c r="P152" s="411"/>
    </row>
    <row r="153" spans="1:16" s="400" customFormat="1" x14ac:dyDescent="0.35">
      <c r="A153" s="408">
        <v>2133</v>
      </c>
      <c r="B153" s="409" t="s">
        <v>404</v>
      </c>
      <c r="C153" s="410" t="s">
        <v>396</v>
      </c>
      <c r="D153" s="410" t="s">
        <v>413</v>
      </c>
      <c r="E153" s="408">
        <v>0</v>
      </c>
      <c r="F153" s="408">
        <v>13</v>
      </c>
      <c r="G153" s="408"/>
      <c r="H153" s="410"/>
      <c r="I153" s="409" t="s">
        <v>398</v>
      </c>
      <c r="J153" s="409"/>
      <c r="K153" s="409" t="s">
        <v>413</v>
      </c>
      <c r="L153" s="409"/>
      <c r="N153" s="409"/>
      <c r="P153" s="411"/>
    </row>
    <row r="154" spans="1:16" s="400" customFormat="1" x14ac:dyDescent="0.35">
      <c r="A154" s="408">
        <v>2134</v>
      </c>
      <c r="B154" s="409" t="s">
        <v>404</v>
      </c>
      <c r="C154" s="410" t="s">
        <v>414</v>
      </c>
      <c r="D154" s="410" t="s">
        <v>415</v>
      </c>
      <c r="E154" s="408">
        <v>0</v>
      </c>
      <c r="F154" s="408">
        <v>13</v>
      </c>
      <c r="G154" s="408"/>
      <c r="H154" s="410"/>
      <c r="I154" s="409" t="s">
        <v>398</v>
      </c>
      <c r="J154" s="409"/>
      <c r="K154" s="409" t="s">
        <v>415</v>
      </c>
      <c r="L154" s="409"/>
      <c r="N154" s="409"/>
      <c r="P154" s="411"/>
    </row>
    <row r="155" spans="1:16" s="400" customFormat="1" x14ac:dyDescent="0.35">
      <c r="A155" s="394">
        <v>2135</v>
      </c>
      <c r="B155" s="395" t="s">
        <v>404</v>
      </c>
      <c r="C155" s="396" t="s">
        <v>198</v>
      </c>
      <c r="D155" s="396" t="s">
        <v>416</v>
      </c>
      <c r="E155" s="394">
        <v>0</v>
      </c>
      <c r="F155" s="394">
        <v>13</v>
      </c>
      <c r="G155" s="394"/>
      <c r="H155" s="397"/>
      <c r="I155" s="395" t="s">
        <v>27</v>
      </c>
      <c r="J155" s="395"/>
      <c r="K155" s="395" t="s">
        <v>416</v>
      </c>
      <c r="L155" s="395"/>
      <c r="M155" s="398"/>
      <c r="N155" s="395"/>
      <c r="P155" s="399"/>
    </row>
    <row r="156" spans="1:16" x14ac:dyDescent="0.35">
      <c r="A156" s="58">
        <v>2136</v>
      </c>
      <c r="B156" s="61" t="s">
        <v>417</v>
      </c>
      <c r="C156" s="59" t="s">
        <v>418</v>
      </c>
      <c r="D156" s="59" t="s">
        <v>419</v>
      </c>
      <c r="E156" s="58">
        <v>0</v>
      </c>
      <c r="F156" s="58">
        <v>30</v>
      </c>
      <c r="G156" s="58"/>
      <c r="H156" s="60"/>
      <c r="I156" s="61" t="s">
        <v>420</v>
      </c>
      <c r="J156" s="61"/>
      <c r="K156" s="61" t="s">
        <v>419</v>
      </c>
      <c r="L156" s="61" t="s">
        <v>3836</v>
      </c>
      <c r="M156" s="56"/>
      <c r="N156" s="61"/>
      <c r="P156" s="33"/>
    </row>
    <row r="157" spans="1:16" x14ac:dyDescent="0.35">
      <c r="A157" s="58">
        <v>2137</v>
      </c>
      <c r="B157" s="61" t="s">
        <v>421</v>
      </c>
      <c r="C157" s="59" t="s">
        <v>422</v>
      </c>
      <c r="D157" s="59" t="s">
        <v>423</v>
      </c>
      <c r="E157" s="58">
        <v>0</v>
      </c>
      <c r="F157" s="58">
        <v>30</v>
      </c>
      <c r="G157" s="58"/>
      <c r="H157" s="60"/>
      <c r="I157" s="61" t="s">
        <v>420</v>
      </c>
      <c r="J157" s="61"/>
      <c r="K157" s="61" t="s">
        <v>423</v>
      </c>
      <c r="L157" s="61" t="s">
        <v>3836</v>
      </c>
      <c r="M157" s="56"/>
      <c r="N157" s="61"/>
      <c r="P157" s="33"/>
    </row>
    <row r="158" spans="1:16" x14ac:dyDescent="0.35">
      <c r="A158" s="58">
        <v>2138</v>
      </c>
      <c r="B158" s="61" t="s">
        <v>424</v>
      </c>
      <c r="C158" s="59" t="s">
        <v>425</v>
      </c>
      <c r="D158" s="59" t="s">
        <v>426</v>
      </c>
      <c r="E158" s="58">
        <v>0</v>
      </c>
      <c r="F158" s="58">
        <v>30</v>
      </c>
      <c r="G158" s="58"/>
      <c r="H158" s="60"/>
      <c r="I158" s="61" t="s">
        <v>420</v>
      </c>
      <c r="J158" s="61"/>
      <c r="K158" s="61" t="s">
        <v>426</v>
      </c>
      <c r="L158" s="61" t="s">
        <v>3836</v>
      </c>
      <c r="M158" s="56"/>
      <c r="N158" s="61"/>
      <c r="P158" s="33"/>
    </row>
    <row r="159" spans="1:16" s="400" customFormat="1" ht="29" x14ac:dyDescent="0.35">
      <c r="A159" s="394">
        <v>2305</v>
      </c>
      <c r="B159" s="395" t="s">
        <v>427</v>
      </c>
      <c r="C159" s="396" t="s">
        <v>428</v>
      </c>
      <c r="D159" s="407" t="s">
        <v>429</v>
      </c>
      <c r="E159" s="394">
        <v>0</v>
      </c>
      <c r="F159" s="394">
        <v>30</v>
      </c>
      <c r="G159" s="394"/>
      <c r="H159" s="397"/>
      <c r="I159" s="395" t="s">
        <v>420</v>
      </c>
      <c r="J159" s="395"/>
      <c r="K159" s="395" t="s">
        <v>429</v>
      </c>
      <c r="L159" s="395"/>
      <c r="M159" s="398"/>
      <c r="N159" s="395"/>
      <c r="P159" s="399"/>
    </row>
    <row r="160" spans="1:16" s="400" customFormat="1" x14ac:dyDescent="0.35">
      <c r="A160" s="394">
        <v>2306</v>
      </c>
      <c r="B160" s="395" t="s">
        <v>427</v>
      </c>
      <c r="C160" s="396" t="s">
        <v>430</v>
      </c>
      <c r="D160" s="407" t="s">
        <v>431</v>
      </c>
      <c r="E160" s="394">
        <v>0</v>
      </c>
      <c r="F160" s="394">
        <v>30</v>
      </c>
      <c r="G160" s="394"/>
      <c r="H160" s="397"/>
      <c r="I160" s="395" t="s">
        <v>420</v>
      </c>
      <c r="J160" s="395"/>
      <c r="K160" s="395" t="s">
        <v>431</v>
      </c>
      <c r="L160" s="395"/>
      <c r="M160" s="398"/>
      <c r="N160" s="395"/>
      <c r="P160" s="399"/>
    </row>
    <row r="161" spans="1:16" x14ac:dyDescent="0.35">
      <c r="A161" s="58">
        <v>2139</v>
      </c>
      <c r="B161" s="61" t="s">
        <v>432</v>
      </c>
      <c r="C161" s="59" t="s">
        <v>433</v>
      </c>
      <c r="D161" s="59" t="s">
        <v>434</v>
      </c>
      <c r="E161" s="58">
        <v>0</v>
      </c>
      <c r="F161" s="58">
        <v>15</v>
      </c>
      <c r="G161" s="58"/>
      <c r="H161" s="60"/>
      <c r="I161" s="61" t="s">
        <v>71</v>
      </c>
      <c r="J161" s="61"/>
      <c r="K161" s="61" t="s">
        <v>434</v>
      </c>
      <c r="L161" s="61" t="s">
        <v>3837</v>
      </c>
      <c r="M161" s="56"/>
      <c r="N161" s="61"/>
      <c r="P161" s="33"/>
    </row>
    <row r="162" spans="1:16" x14ac:dyDescent="0.35">
      <c r="A162" s="58">
        <v>2140</v>
      </c>
      <c r="B162" s="61" t="s">
        <v>435</v>
      </c>
      <c r="C162" s="59" t="s">
        <v>436</v>
      </c>
      <c r="D162" s="59" t="s">
        <v>437</v>
      </c>
      <c r="E162" s="58">
        <v>0</v>
      </c>
      <c r="F162" s="58">
        <v>15</v>
      </c>
      <c r="G162" s="58"/>
      <c r="H162" s="60"/>
      <c r="I162" s="61" t="s">
        <v>71</v>
      </c>
      <c r="J162" s="61"/>
      <c r="K162" s="61" t="s">
        <v>437</v>
      </c>
      <c r="L162" s="61" t="s">
        <v>3837</v>
      </c>
      <c r="M162" s="56"/>
      <c r="N162" s="61"/>
      <c r="P162" s="33"/>
    </row>
    <row r="163" spans="1:16" x14ac:dyDescent="0.35">
      <c r="A163" s="58">
        <v>2141</v>
      </c>
      <c r="B163" s="61" t="s">
        <v>438</v>
      </c>
      <c r="C163" s="59" t="s">
        <v>439</v>
      </c>
      <c r="D163" s="59" t="s">
        <v>440</v>
      </c>
      <c r="E163" s="58">
        <v>0</v>
      </c>
      <c r="F163" s="58">
        <v>15</v>
      </c>
      <c r="G163" s="58"/>
      <c r="H163" s="60"/>
      <c r="I163" s="61" t="s">
        <v>71</v>
      </c>
      <c r="J163" s="61"/>
      <c r="K163" s="61" t="s">
        <v>440</v>
      </c>
      <c r="L163" s="61" t="s">
        <v>3837</v>
      </c>
      <c r="M163" s="56"/>
      <c r="N163" s="61"/>
      <c r="P163" s="33"/>
    </row>
    <row r="164" spans="1:16" x14ac:dyDescent="0.35">
      <c r="A164" s="58">
        <v>2142</v>
      </c>
      <c r="B164" s="61" t="s">
        <v>441</v>
      </c>
      <c r="C164" s="59" t="s">
        <v>442</v>
      </c>
      <c r="D164" s="59" t="s">
        <v>443</v>
      </c>
      <c r="E164" s="58">
        <v>0</v>
      </c>
      <c r="F164" s="58">
        <v>1</v>
      </c>
      <c r="G164" s="58"/>
      <c r="H164" s="60"/>
      <c r="I164" s="61" t="s">
        <v>107</v>
      </c>
      <c r="J164" s="61"/>
      <c r="K164" s="61" t="s">
        <v>443</v>
      </c>
      <c r="L164" s="61" t="s">
        <v>3838</v>
      </c>
      <c r="M164" s="56"/>
      <c r="N164" s="61"/>
      <c r="P164" s="33"/>
    </row>
    <row r="165" spans="1:16" x14ac:dyDescent="0.35">
      <c r="A165" s="58">
        <v>2143</v>
      </c>
      <c r="B165" s="61" t="s">
        <v>444</v>
      </c>
      <c r="C165" s="59" t="s">
        <v>445</v>
      </c>
      <c r="D165" s="59" t="s">
        <v>446</v>
      </c>
      <c r="E165" s="58">
        <v>0</v>
      </c>
      <c r="F165" s="58">
        <v>1</v>
      </c>
      <c r="G165" s="58"/>
      <c r="H165" s="60"/>
      <c r="I165" s="61" t="s">
        <v>107</v>
      </c>
      <c r="J165" s="61"/>
      <c r="K165" s="61" t="s">
        <v>446</v>
      </c>
      <c r="L165" s="61" t="s">
        <v>3838</v>
      </c>
      <c r="M165" s="56"/>
      <c r="N165" s="61"/>
      <c r="P165" s="64"/>
    </row>
    <row r="166" spans="1:16" x14ac:dyDescent="0.35">
      <c r="A166" s="58">
        <v>2144</v>
      </c>
      <c r="B166" s="61" t="s">
        <v>447</v>
      </c>
      <c r="C166" s="59" t="s">
        <v>448</v>
      </c>
      <c r="D166" s="59" t="s">
        <v>449</v>
      </c>
      <c r="E166" s="58">
        <v>0</v>
      </c>
      <c r="F166" s="58">
        <v>1</v>
      </c>
      <c r="G166" s="58"/>
      <c r="H166" s="60"/>
      <c r="I166" s="61" t="s">
        <v>107</v>
      </c>
      <c r="J166" s="61"/>
      <c r="K166" s="61" t="s">
        <v>449</v>
      </c>
      <c r="L166" s="61" t="s">
        <v>3838</v>
      </c>
      <c r="M166" s="56"/>
      <c r="N166" s="61"/>
      <c r="P166" s="64"/>
    </row>
    <row r="167" spans="1:16" x14ac:dyDescent="0.35">
      <c r="A167" s="58">
        <v>2145</v>
      </c>
      <c r="B167" s="61" t="s">
        <v>450</v>
      </c>
      <c r="C167" s="59" t="s">
        <v>451</v>
      </c>
      <c r="D167" s="59" t="s">
        <v>452</v>
      </c>
      <c r="E167" s="58">
        <v>0</v>
      </c>
      <c r="F167" s="58">
        <v>1</v>
      </c>
      <c r="G167" s="58"/>
      <c r="H167" s="60"/>
      <c r="I167" s="61" t="s">
        <v>107</v>
      </c>
      <c r="J167" s="61"/>
      <c r="K167" s="61" t="s">
        <v>452</v>
      </c>
      <c r="L167" s="61" t="s">
        <v>3839</v>
      </c>
      <c r="M167" s="56"/>
      <c r="N167" s="61"/>
      <c r="P167" s="64"/>
    </row>
    <row r="168" spans="1:16" x14ac:dyDescent="0.35">
      <c r="A168" s="58">
        <v>2146</v>
      </c>
      <c r="B168" s="61" t="s">
        <v>453</v>
      </c>
      <c r="C168" s="59" t="s">
        <v>454</v>
      </c>
      <c r="D168" s="59" t="s">
        <v>455</v>
      </c>
      <c r="E168" s="58">
        <v>0</v>
      </c>
      <c r="F168" s="58">
        <v>1</v>
      </c>
      <c r="G168" s="58"/>
      <c r="H168" s="60"/>
      <c r="I168" s="61" t="s">
        <v>107</v>
      </c>
      <c r="J168" s="61"/>
      <c r="K168" s="61" t="s">
        <v>455</v>
      </c>
      <c r="L168" s="61" t="s">
        <v>3839</v>
      </c>
      <c r="M168" s="56"/>
      <c r="N168" s="61"/>
      <c r="P168" s="64"/>
    </row>
    <row r="169" spans="1:16" x14ac:dyDescent="0.35">
      <c r="A169" s="58">
        <v>2147</v>
      </c>
      <c r="B169" s="61" t="s">
        <v>456</v>
      </c>
      <c r="C169" s="59" t="s">
        <v>457</v>
      </c>
      <c r="D169" s="59" t="s">
        <v>458</v>
      </c>
      <c r="E169" s="58">
        <v>0</v>
      </c>
      <c r="F169" s="58">
        <v>1</v>
      </c>
      <c r="G169" s="58"/>
      <c r="H169" s="60"/>
      <c r="I169" s="61" t="s">
        <v>107</v>
      </c>
      <c r="J169" s="61"/>
      <c r="K169" s="61" t="s">
        <v>458</v>
      </c>
      <c r="L169" s="61" t="s">
        <v>3839</v>
      </c>
      <c r="M169" s="56"/>
      <c r="N169" s="61"/>
      <c r="P169" s="64"/>
    </row>
    <row r="170" spans="1:16" x14ac:dyDescent="0.35">
      <c r="A170" s="58">
        <v>2148</v>
      </c>
      <c r="B170" s="61" t="s">
        <v>459</v>
      </c>
      <c r="C170" s="59" t="s">
        <v>460</v>
      </c>
      <c r="D170" s="59" t="s">
        <v>461</v>
      </c>
      <c r="E170" s="58">
        <v>0</v>
      </c>
      <c r="F170" s="58">
        <v>13</v>
      </c>
      <c r="G170" s="58"/>
      <c r="H170" s="60"/>
      <c r="I170" s="61" t="s">
        <v>27</v>
      </c>
      <c r="J170" s="61"/>
      <c r="K170" s="61" t="s">
        <v>461</v>
      </c>
      <c r="L170" s="61" t="s">
        <v>3840</v>
      </c>
      <c r="M170" s="56"/>
      <c r="N170" s="61"/>
      <c r="P170" s="64"/>
    </row>
    <row r="171" spans="1:16" x14ac:dyDescent="0.35">
      <c r="A171" s="58">
        <v>2149</v>
      </c>
      <c r="B171" s="61" t="s">
        <v>462</v>
      </c>
      <c r="C171" s="59" t="s">
        <v>463</v>
      </c>
      <c r="D171" s="59" t="s">
        <v>464</v>
      </c>
      <c r="E171" s="58">
        <v>0</v>
      </c>
      <c r="F171" s="58">
        <v>13</v>
      </c>
      <c r="G171" s="58"/>
      <c r="H171" s="60"/>
      <c r="I171" s="61" t="s">
        <v>27</v>
      </c>
      <c r="J171" s="61"/>
      <c r="K171" s="61" t="s">
        <v>464</v>
      </c>
      <c r="L171" s="61" t="s">
        <v>3840</v>
      </c>
      <c r="M171" s="56"/>
      <c r="N171" s="61"/>
      <c r="P171" s="64"/>
    </row>
    <row r="172" spans="1:16" x14ac:dyDescent="0.35">
      <c r="A172" s="58">
        <v>2150</v>
      </c>
      <c r="B172" s="61" t="s">
        <v>465</v>
      </c>
      <c r="C172" s="59" t="s">
        <v>466</v>
      </c>
      <c r="D172" s="59" t="s">
        <v>467</v>
      </c>
      <c r="E172" s="58">
        <v>0</v>
      </c>
      <c r="F172" s="58">
        <v>13</v>
      </c>
      <c r="G172" s="58"/>
      <c r="H172" s="60"/>
      <c r="I172" s="61" t="s">
        <v>27</v>
      </c>
      <c r="J172" s="61"/>
      <c r="K172" s="61" t="s">
        <v>467</v>
      </c>
      <c r="L172" s="61" t="s">
        <v>3840</v>
      </c>
      <c r="M172" s="56"/>
      <c r="N172" s="61"/>
      <c r="P172" s="64"/>
    </row>
    <row r="173" spans="1:16" x14ac:dyDescent="0.35">
      <c r="A173" s="58">
        <v>2151</v>
      </c>
      <c r="B173" s="61" t="s">
        <v>468</v>
      </c>
      <c r="C173" s="59" t="s">
        <v>469</v>
      </c>
      <c r="D173" s="59" t="s">
        <v>470</v>
      </c>
      <c r="E173" s="58">
        <v>0</v>
      </c>
      <c r="F173" s="58">
        <v>13</v>
      </c>
      <c r="G173" s="58"/>
      <c r="H173" s="60"/>
      <c r="I173" s="61" t="s">
        <v>27</v>
      </c>
      <c r="J173" s="61"/>
      <c r="K173" s="61" t="s">
        <v>470</v>
      </c>
      <c r="L173" s="61" t="s">
        <v>3841</v>
      </c>
      <c r="M173" s="56"/>
      <c r="N173" s="61"/>
      <c r="P173" s="64"/>
    </row>
    <row r="174" spans="1:16" x14ac:dyDescent="0.35">
      <c r="A174" s="58">
        <v>2152</v>
      </c>
      <c r="B174" s="61" t="s">
        <v>471</v>
      </c>
      <c r="C174" s="59" t="s">
        <v>472</v>
      </c>
      <c r="D174" s="59" t="s">
        <v>473</v>
      </c>
      <c r="E174" s="58">
        <v>0</v>
      </c>
      <c r="F174" s="58">
        <v>13</v>
      </c>
      <c r="G174" s="58"/>
      <c r="H174" s="60"/>
      <c r="I174" s="61" t="s">
        <v>27</v>
      </c>
      <c r="J174" s="61"/>
      <c r="K174" s="61" t="s">
        <v>473</v>
      </c>
      <c r="L174" s="61" t="s">
        <v>3841</v>
      </c>
      <c r="M174" s="56"/>
      <c r="N174" s="61"/>
      <c r="P174" s="64"/>
    </row>
    <row r="175" spans="1:16" x14ac:dyDescent="0.35">
      <c r="A175" s="58">
        <v>2153</v>
      </c>
      <c r="B175" s="61" t="s">
        <v>474</v>
      </c>
      <c r="C175" s="59" t="s">
        <v>475</v>
      </c>
      <c r="D175" s="59" t="s">
        <v>476</v>
      </c>
      <c r="E175" s="58">
        <v>0</v>
      </c>
      <c r="F175" s="58">
        <v>13</v>
      </c>
      <c r="G175" s="58"/>
      <c r="H175" s="60"/>
      <c r="I175" s="61" t="s">
        <v>27</v>
      </c>
      <c r="J175" s="61"/>
      <c r="K175" s="61" t="s">
        <v>476</v>
      </c>
      <c r="L175" s="61" t="s">
        <v>3841</v>
      </c>
      <c r="M175" s="56"/>
      <c r="N175" s="61"/>
      <c r="P175" s="64"/>
    </row>
    <row r="176" spans="1:16" x14ac:dyDescent="0.35">
      <c r="A176" s="58">
        <v>2154</v>
      </c>
      <c r="B176" s="61" t="s">
        <v>477</v>
      </c>
      <c r="C176" s="59" t="s">
        <v>478</v>
      </c>
      <c r="D176" s="59" t="s">
        <v>479</v>
      </c>
      <c r="E176" s="58">
        <v>0</v>
      </c>
      <c r="F176" s="171">
        <v>20</v>
      </c>
      <c r="G176" s="171"/>
      <c r="H176" s="60"/>
      <c r="I176" s="175" t="s">
        <v>71</v>
      </c>
      <c r="J176" s="61"/>
      <c r="K176" s="61" t="s">
        <v>479</v>
      </c>
      <c r="L176" s="61"/>
      <c r="M176" s="56"/>
      <c r="N176" s="61"/>
      <c r="P176" s="64"/>
    </row>
    <row r="177" spans="1:16" x14ac:dyDescent="0.35">
      <c r="A177" s="58">
        <v>2155</v>
      </c>
      <c r="B177" s="61" t="s">
        <v>480</v>
      </c>
      <c r="C177" s="59" t="s">
        <v>481</v>
      </c>
      <c r="D177" s="59" t="s">
        <v>482</v>
      </c>
      <c r="E177" s="58">
        <v>0</v>
      </c>
      <c r="F177" s="58">
        <v>15</v>
      </c>
      <c r="G177" s="58"/>
      <c r="H177" s="60"/>
      <c r="I177" s="61" t="s">
        <v>71</v>
      </c>
      <c r="J177" s="61"/>
      <c r="K177" s="61" t="s">
        <v>482</v>
      </c>
      <c r="L177" s="61" t="s">
        <v>3842</v>
      </c>
      <c r="M177" s="56"/>
      <c r="N177" s="61"/>
      <c r="P177" s="64"/>
    </row>
    <row r="178" spans="1:16" x14ac:dyDescent="0.35">
      <c r="A178" s="58">
        <v>2156</v>
      </c>
      <c r="B178" s="61" t="s">
        <v>483</v>
      </c>
      <c r="C178" s="59" t="s">
        <v>484</v>
      </c>
      <c r="D178" s="59" t="s">
        <v>485</v>
      </c>
      <c r="E178" s="58">
        <v>0</v>
      </c>
      <c r="F178" s="58">
        <v>15</v>
      </c>
      <c r="G178" s="58"/>
      <c r="H178" s="60"/>
      <c r="I178" s="61" t="s">
        <v>71</v>
      </c>
      <c r="J178" s="61"/>
      <c r="K178" s="61" t="s">
        <v>485</v>
      </c>
      <c r="L178" s="61" t="s">
        <v>3842</v>
      </c>
      <c r="M178" s="56"/>
      <c r="N178" s="61"/>
      <c r="P178" s="64"/>
    </row>
    <row r="179" spans="1:16" x14ac:dyDescent="0.35">
      <c r="A179" s="58">
        <v>2157</v>
      </c>
      <c r="B179" s="61" t="s">
        <v>486</v>
      </c>
      <c r="C179" s="59" t="s">
        <v>487</v>
      </c>
      <c r="D179" s="59" t="s">
        <v>488</v>
      </c>
      <c r="E179" s="58">
        <v>0</v>
      </c>
      <c r="F179" s="58">
        <v>15</v>
      </c>
      <c r="G179" s="58"/>
      <c r="H179" s="60"/>
      <c r="I179" s="61" t="s">
        <v>71</v>
      </c>
      <c r="J179" s="61"/>
      <c r="K179" s="61" t="s">
        <v>488</v>
      </c>
      <c r="L179" s="61" t="s">
        <v>3842</v>
      </c>
      <c r="M179" s="56"/>
      <c r="N179" s="61"/>
      <c r="P179" s="64"/>
    </row>
    <row r="180" spans="1:16" ht="348" x14ac:dyDescent="0.35">
      <c r="A180" s="58">
        <v>2158</v>
      </c>
      <c r="B180" s="61" t="s">
        <v>489</v>
      </c>
      <c r="C180" s="59" t="s">
        <v>490</v>
      </c>
      <c r="D180" s="59" t="s">
        <v>491</v>
      </c>
      <c r="E180" s="58">
        <v>0</v>
      </c>
      <c r="F180" s="58">
        <v>55</v>
      </c>
      <c r="G180" s="58"/>
      <c r="H180" s="60"/>
      <c r="I180" s="61" t="s">
        <v>492</v>
      </c>
      <c r="J180" s="61"/>
      <c r="K180" s="61" t="s">
        <v>493</v>
      </c>
      <c r="L180" s="61"/>
      <c r="M180" s="56" t="s">
        <v>3863</v>
      </c>
      <c r="N180" s="61"/>
      <c r="P180" s="64"/>
    </row>
    <row r="181" spans="1:16" ht="348" x14ac:dyDescent="0.35">
      <c r="A181" s="58">
        <v>2159</v>
      </c>
      <c r="B181" s="61" t="s">
        <v>494</v>
      </c>
      <c r="C181" s="59" t="s">
        <v>495</v>
      </c>
      <c r="D181" s="59" t="s">
        <v>496</v>
      </c>
      <c r="E181" s="58">
        <v>0</v>
      </c>
      <c r="F181" s="58">
        <v>55</v>
      </c>
      <c r="G181" s="58"/>
      <c r="H181" s="60"/>
      <c r="I181" s="61" t="s">
        <v>492</v>
      </c>
      <c r="J181" s="61"/>
      <c r="K181" s="61" t="s">
        <v>497</v>
      </c>
      <c r="L181" s="61"/>
      <c r="M181" s="56"/>
      <c r="N181" s="61"/>
      <c r="P181" s="64"/>
    </row>
    <row r="182" spans="1:16" ht="348" x14ac:dyDescent="0.35">
      <c r="A182" s="58">
        <v>2160</v>
      </c>
      <c r="B182" s="61" t="s">
        <v>498</v>
      </c>
      <c r="C182" s="59" t="s">
        <v>499</v>
      </c>
      <c r="D182" s="59" t="s">
        <v>500</v>
      </c>
      <c r="E182" s="58">
        <v>0</v>
      </c>
      <c r="F182" s="58">
        <v>55</v>
      </c>
      <c r="G182" s="58"/>
      <c r="H182" s="60"/>
      <c r="I182" s="61" t="s">
        <v>492</v>
      </c>
      <c r="J182" s="61"/>
      <c r="K182" s="61" t="s">
        <v>501</v>
      </c>
      <c r="L182" s="61"/>
      <c r="M182" s="56"/>
      <c r="N182" s="61"/>
      <c r="P182" s="64"/>
    </row>
    <row r="183" spans="1:16" x14ac:dyDescent="0.35">
      <c r="A183" s="58">
        <v>2287</v>
      </c>
      <c r="B183" s="61" t="s">
        <v>489</v>
      </c>
      <c r="C183" s="59" t="s">
        <v>502</v>
      </c>
      <c r="D183" s="79" t="s">
        <v>503</v>
      </c>
      <c r="E183" s="58">
        <v>0</v>
      </c>
      <c r="F183" s="58">
        <v>20</v>
      </c>
      <c r="G183" s="58"/>
      <c r="H183" s="60"/>
      <c r="I183" s="61" t="s">
        <v>56</v>
      </c>
      <c r="J183" s="61"/>
      <c r="K183" s="61" t="s">
        <v>503</v>
      </c>
      <c r="L183" s="61" t="s">
        <v>3843</v>
      </c>
      <c r="M183" s="56"/>
      <c r="N183" s="61"/>
      <c r="P183" s="64"/>
    </row>
    <row r="184" spans="1:16" x14ac:dyDescent="0.35">
      <c r="A184" s="58">
        <v>2288</v>
      </c>
      <c r="B184" s="61" t="s">
        <v>489</v>
      </c>
      <c r="C184" s="59" t="s">
        <v>504</v>
      </c>
      <c r="D184" s="79" t="s">
        <v>505</v>
      </c>
      <c r="E184" s="58">
        <v>0</v>
      </c>
      <c r="F184" s="58">
        <v>12</v>
      </c>
      <c r="G184" s="58"/>
      <c r="H184" s="60"/>
      <c r="I184" s="61" t="s">
        <v>61</v>
      </c>
      <c r="J184" s="61"/>
      <c r="K184" s="61" t="s">
        <v>505</v>
      </c>
      <c r="L184" s="61" t="s">
        <v>3844</v>
      </c>
      <c r="M184" s="56"/>
      <c r="N184" s="61"/>
      <c r="P184" s="64"/>
    </row>
    <row r="185" spans="1:16" s="400" customFormat="1" x14ac:dyDescent="0.35">
      <c r="A185" s="394">
        <v>2289</v>
      </c>
      <c r="B185" s="395" t="s">
        <v>489</v>
      </c>
      <c r="C185" s="396" t="s">
        <v>506</v>
      </c>
      <c r="D185" s="407" t="s">
        <v>507</v>
      </c>
      <c r="E185" s="394">
        <v>0</v>
      </c>
      <c r="F185" s="394">
        <v>1</v>
      </c>
      <c r="G185" s="394"/>
      <c r="H185" s="397"/>
      <c r="I185" s="395" t="s">
        <v>107</v>
      </c>
      <c r="J185" s="395"/>
      <c r="K185" s="395" t="s">
        <v>507</v>
      </c>
      <c r="L185" s="395"/>
      <c r="M185" s="398"/>
      <c r="N185" s="395"/>
      <c r="P185" s="399"/>
    </row>
    <row r="186" spans="1:16" s="400" customFormat="1" x14ac:dyDescent="0.35">
      <c r="A186" s="394">
        <v>2290</v>
      </c>
      <c r="B186" s="395" t="s">
        <v>489</v>
      </c>
      <c r="C186" s="396" t="s">
        <v>508</v>
      </c>
      <c r="D186" s="407" t="s">
        <v>509</v>
      </c>
      <c r="E186" s="394">
        <v>0</v>
      </c>
      <c r="F186" s="394">
        <v>20</v>
      </c>
      <c r="G186" s="394"/>
      <c r="H186" s="397"/>
      <c r="I186" s="395"/>
      <c r="J186" s="395"/>
      <c r="K186" s="395" t="s">
        <v>509</v>
      </c>
      <c r="L186" s="395"/>
      <c r="M186" s="398"/>
      <c r="N186" s="395"/>
      <c r="P186" s="399"/>
    </row>
    <row r="187" spans="1:16" s="400" customFormat="1" x14ac:dyDescent="0.35">
      <c r="A187" s="394">
        <v>2291</v>
      </c>
      <c r="B187" s="395" t="s">
        <v>489</v>
      </c>
      <c r="C187" s="396" t="s">
        <v>510</v>
      </c>
      <c r="D187" s="407" t="s">
        <v>511</v>
      </c>
      <c r="E187" s="394">
        <v>0</v>
      </c>
      <c r="F187" s="394">
        <v>20</v>
      </c>
      <c r="G187" s="394"/>
      <c r="H187" s="397"/>
      <c r="I187" s="395"/>
      <c r="J187" s="395"/>
      <c r="K187" s="395" t="s">
        <v>511</v>
      </c>
      <c r="L187" s="395"/>
      <c r="M187" s="398"/>
      <c r="N187" s="395"/>
      <c r="P187" s="399"/>
    </row>
    <row r="188" spans="1:16" s="400" customFormat="1" x14ac:dyDescent="0.35">
      <c r="A188" s="394">
        <v>2292</v>
      </c>
      <c r="B188" s="395" t="s">
        <v>489</v>
      </c>
      <c r="C188" s="396" t="s">
        <v>512</v>
      </c>
      <c r="D188" s="407" t="s">
        <v>513</v>
      </c>
      <c r="E188" s="394">
        <v>0</v>
      </c>
      <c r="F188" s="394">
        <v>10</v>
      </c>
      <c r="G188" s="394"/>
      <c r="H188" s="397"/>
      <c r="I188" s="395"/>
      <c r="J188" s="395"/>
      <c r="K188" s="395" t="s">
        <v>513</v>
      </c>
      <c r="L188" s="395"/>
      <c r="M188" s="398"/>
      <c r="N188" s="395"/>
      <c r="P188" s="399"/>
    </row>
    <row r="189" spans="1:16" x14ac:dyDescent="0.35">
      <c r="A189" s="58">
        <v>2293</v>
      </c>
      <c r="B189" s="61" t="s">
        <v>494</v>
      </c>
      <c r="C189" s="59" t="s">
        <v>514</v>
      </c>
      <c r="D189" s="79" t="s">
        <v>515</v>
      </c>
      <c r="E189" s="58">
        <v>0</v>
      </c>
      <c r="F189" s="58">
        <v>20</v>
      </c>
      <c r="G189" s="58"/>
      <c r="H189" s="60"/>
      <c r="I189" s="61" t="s">
        <v>56</v>
      </c>
      <c r="J189" s="61"/>
      <c r="K189" s="61" t="s">
        <v>515</v>
      </c>
      <c r="L189" s="61" t="s">
        <v>3845</v>
      </c>
      <c r="M189" s="56"/>
      <c r="N189" s="61"/>
      <c r="P189" s="64"/>
    </row>
    <row r="190" spans="1:16" x14ac:dyDescent="0.35">
      <c r="A190" s="58">
        <v>2294</v>
      </c>
      <c r="B190" s="61" t="s">
        <v>494</v>
      </c>
      <c r="C190" s="59" t="s">
        <v>516</v>
      </c>
      <c r="D190" s="79" t="s">
        <v>517</v>
      </c>
      <c r="E190" s="58">
        <v>0</v>
      </c>
      <c r="F190" s="58">
        <v>12</v>
      </c>
      <c r="G190" s="58"/>
      <c r="H190" s="60"/>
      <c r="I190" s="61" t="s">
        <v>61</v>
      </c>
      <c r="J190" s="61"/>
      <c r="K190" s="61" t="s">
        <v>517</v>
      </c>
      <c r="L190" s="61" t="s">
        <v>3846</v>
      </c>
      <c r="M190" s="56"/>
      <c r="N190" s="61"/>
      <c r="P190" s="64"/>
    </row>
    <row r="191" spans="1:16" s="400" customFormat="1" x14ac:dyDescent="0.35">
      <c r="A191" s="394">
        <v>2295</v>
      </c>
      <c r="B191" s="395" t="s">
        <v>494</v>
      </c>
      <c r="C191" s="396" t="s">
        <v>518</v>
      </c>
      <c r="D191" s="407" t="s">
        <v>519</v>
      </c>
      <c r="E191" s="394">
        <v>0</v>
      </c>
      <c r="F191" s="394">
        <v>1</v>
      </c>
      <c r="G191" s="394"/>
      <c r="H191" s="397"/>
      <c r="I191" s="395" t="s">
        <v>107</v>
      </c>
      <c r="J191" s="395"/>
      <c r="K191" s="395" t="s">
        <v>519</v>
      </c>
      <c r="L191" s="395"/>
      <c r="M191" s="398"/>
      <c r="N191" s="395"/>
      <c r="P191" s="399"/>
    </row>
    <row r="192" spans="1:16" s="400" customFormat="1" x14ac:dyDescent="0.35">
      <c r="A192" s="394">
        <v>2296</v>
      </c>
      <c r="B192" s="395" t="s">
        <v>494</v>
      </c>
      <c r="C192" s="396" t="s">
        <v>520</v>
      </c>
      <c r="D192" s="407" t="s">
        <v>521</v>
      </c>
      <c r="E192" s="394">
        <v>0</v>
      </c>
      <c r="F192" s="394">
        <v>20</v>
      </c>
      <c r="G192" s="394"/>
      <c r="H192" s="397"/>
      <c r="I192" s="395"/>
      <c r="J192" s="395"/>
      <c r="K192" s="395" t="s">
        <v>521</v>
      </c>
      <c r="L192" s="395"/>
      <c r="M192" s="398"/>
      <c r="N192" s="395"/>
      <c r="P192" s="399"/>
    </row>
    <row r="193" spans="1:16" s="400" customFormat="1" x14ac:dyDescent="0.35">
      <c r="A193" s="394">
        <v>2297</v>
      </c>
      <c r="B193" s="395" t="s">
        <v>494</v>
      </c>
      <c r="C193" s="396" t="s">
        <v>522</v>
      </c>
      <c r="D193" s="407" t="s">
        <v>523</v>
      </c>
      <c r="E193" s="394">
        <v>0</v>
      </c>
      <c r="F193" s="394">
        <v>20</v>
      </c>
      <c r="G193" s="394"/>
      <c r="H193" s="397"/>
      <c r="I193" s="395"/>
      <c r="J193" s="395"/>
      <c r="K193" s="395" t="s">
        <v>523</v>
      </c>
      <c r="L193" s="395"/>
      <c r="M193" s="398"/>
      <c r="N193" s="395"/>
      <c r="P193" s="399"/>
    </row>
    <row r="194" spans="1:16" s="400" customFormat="1" x14ac:dyDescent="0.35">
      <c r="A194" s="394">
        <v>2298</v>
      </c>
      <c r="B194" s="395" t="s">
        <v>494</v>
      </c>
      <c r="C194" s="396" t="s">
        <v>524</v>
      </c>
      <c r="D194" s="407" t="s">
        <v>525</v>
      </c>
      <c r="E194" s="394">
        <v>0</v>
      </c>
      <c r="F194" s="394">
        <v>10</v>
      </c>
      <c r="G194" s="394"/>
      <c r="H194" s="397"/>
      <c r="I194" s="395"/>
      <c r="J194" s="395"/>
      <c r="K194" s="395" t="s">
        <v>525</v>
      </c>
      <c r="L194" s="395"/>
      <c r="M194" s="398"/>
      <c r="N194" s="395"/>
      <c r="P194" s="399"/>
    </row>
    <row r="195" spans="1:16" x14ac:dyDescent="0.35">
      <c r="A195" s="58">
        <v>2299</v>
      </c>
      <c r="B195" s="61" t="s">
        <v>498</v>
      </c>
      <c r="C195" s="59" t="s">
        <v>526</v>
      </c>
      <c r="D195" s="79" t="s">
        <v>527</v>
      </c>
      <c r="E195" s="58">
        <v>0</v>
      </c>
      <c r="F195" s="58">
        <v>20</v>
      </c>
      <c r="G195" s="58"/>
      <c r="H195" s="60"/>
      <c r="I195" s="61" t="s">
        <v>56</v>
      </c>
      <c r="J195" s="61"/>
      <c r="K195" s="61" t="s">
        <v>527</v>
      </c>
      <c r="L195" s="61" t="s">
        <v>3847</v>
      </c>
      <c r="M195" s="56"/>
      <c r="N195" s="61"/>
      <c r="P195" s="64"/>
    </row>
    <row r="196" spans="1:16" x14ac:dyDescent="0.35">
      <c r="A196" s="58">
        <v>2300</v>
      </c>
      <c r="B196" s="61" t="s">
        <v>498</v>
      </c>
      <c r="C196" s="59" t="s">
        <v>528</v>
      </c>
      <c r="D196" s="79" t="s">
        <v>529</v>
      </c>
      <c r="E196" s="58">
        <v>0</v>
      </c>
      <c r="F196" s="58">
        <v>12</v>
      </c>
      <c r="G196" s="58"/>
      <c r="H196" s="60"/>
      <c r="I196" s="61" t="s">
        <v>61</v>
      </c>
      <c r="J196" s="61"/>
      <c r="K196" s="61" t="s">
        <v>529</v>
      </c>
      <c r="L196" s="61" t="s">
        <v>3848</v>
      </c>
      <c r="M196" s="56"/>
      <c r="N196" s="61"/>
      <c r="P196" s="64"/>
    </row>
    <row r="197" spans="1:16" s="400" customFormat="1" x14ac:dyDescent="0.35">
      <c r="A197" s="394">
        <v>2301</v>
      </c>
      <c r="B197" s="395" t="s">
        <v>498</v>
      </c>
      <c r="C197" s="396" t="s">
        <v>530</v>
      </c>
      <c r="D197" s="407" t="s">
        <v>531</v>
      </c>
      <c r="E197" s="394">
        <v>0</v>
      </c>
      <c r="F197" s="394">
        <v>1</v>
      </c>
      <c r="G197" s="394"/>
      <c r="H197" s="397"/>
      <c r="I197" s="395" t="s">
        <v>107</v>
      </c>
      <c r="J197" s="395"/>
      <c r="K197" s="395" t="s">
        <v>531</v>
      </c>
      <c r="L197" s="395"/>
      <c r="M197" s="398"/>
      <c r="N197" s="395"/>
      <c r="P197" s="399"/>
    </row>
    <row r="198" spans="1:16" s="400" customFormat="1" x14ac:dyDescent="0.35">
      <c r="A198" s="394">
        <v>2302</v>
      </c>
      <c r="B198" s="395" t="s">
        <v>498</v>
      </c>
      <c r="C198" s="396" t="s">
        <v>532</v>
      </c>
      <c r="D198" s="407" t="s">
        <v>533</v>
      </c>
      <c r="E198" s="394">
        <v>0</v>
      </c>
      <c r="F198" s="394">
        <v>20</v>
      </c>
      <c r="G198" s="394"/>
      <c r="H198" s="397"/>
      <c r="I198" s="395"/>
      <c r="J198" s="395"/>
      <c r="K198" s="395" t="s">
        <v>533</v>
      </c>
      <c r="L198" s="395"/>
      <c r="M198" s="398"/>
      <c r="N198" s="395"/>
      <c r="P198" s="399"/>
    </row>
    <row r="199" spans="1:16" s="400" customFormat="1" x14ac:dyDescent="0.35">
      <c r="A199" s="394">
        <v>2303</v>
      </c>
      <c r="B199" s="395" t="s">
        <v>498</v>
      </c>
      <c r="C199" s="396" t="s">
        <v>534</v>
      </c>
      <c r="D199" s="407" t="s">
        <v>535</v>
      </c>
      <c r="E199" s="394">
        <v>0</v>
      </c>
      <c r="F199" s="394">
        <v>20</v>
      </c>
      <c r="G199" s="394"/>
      <c r="H199" s="397"/>
      <c r="I199" s="395"/>
      <c r="J199" s="395"/>
      <c r="K199" s="395" t="s">
        <v>535</v>
      </c>
      <c r="L199" s="395"/>
      <c r="M199" s="398"/>
      <c r="N199" s="395"/>
      <c r="P199" s="399"/>
    </row>
    <row r="200" spans="1:16" s="400" customFormat="1" x14ac:dyDescent="0.35">
      <c r="A200" s="394">
        <v>2304</v>
      </c>
      <c r="B200" s="395" t="s">
        <v>498</v>
      </c>
      <c r="C200" s="396" t="s">
        <v>536</v>
      </c>
      <c r="D200" s="407" t="s">
        <v>537</v>
      </c>
      <c r="E200" s="394">
        <v>0</v>
      </c>
      <c r="F200" s="394">
        <v>10</v>
      </c>
      <c r="G200" s="394"/>
      <c r="H200" s="397"/>
      <c r="I200" s="395"/>
      <c r="J200" s="395"/>
      <c r="K200" s="395" t="s">
        <v>537</v>
      </c>
      <c r="L200" s="395"/>
      <c r="M200" s="398"/>
      <c r="N200" s="395"/>
      <c r="P200" s="399"/>
    </row>
    <row r="201" spans="1:16" x14ac:dyDescent="0.35">
      <c r="A201" s="58">
        <v>2161</v>
      </c>
      <c r="B201" s="61" t="s">
        <v>538</v>
      </c>
      <c r="C201" s="59" t="s">
        <v>539</v>
      </c>
      <c r="D201" s="59" t="s">
        <v>540</v>
      </c>
      <c r="E201" s="58">
        <v>0</v>
      </c>
      <c r="F201" s="58">
        <v>2</v>
      </c>
      <c r="G201" s="58"/>
      <c r="H201" s="60"/>
      <c r="I201" s="61" t="s">
        <v>71</v>
      </c>
      <c r="J201" s="61"/>
      <c r="K201" s="61" t="s">
        <v>540</v>
      </c>
      <c r="L201" s="61" t="s">
        <v>3849</v>
      </c>
      <c r="M201" s="56"/>
      <c r="N201" s="61"/>
      <c r="P201" s="64"/>
    </row>
    <row r="202" spans="1:16" x14ac:dyDescent="0.35">
      <c r="A202" s="58">
        <v>2162</v>
      </c>
      <c r="B202" s="61" t="s">
        <v>541</v>
      </c>
      <c r="C202" s="59" t="s">
        <v>542</v>
      </c>
      <c r="D202" s="59" t="s">
        <v>543</v>
      </c>
      <c r="E202" s="58">
        <v>0</v>
      </c>
      <c r="F202" s="58">
        <v>2</v>
      </c>
      <c r="G202" s="58"/>
      <c r="H202" s="60"/>
      <c r="I202" s="61" t="s">
        <v>71</v>
      </c>
      <c r="J202" s="61"/>
      <c r="K202" s="61" t="s">
        <v>543</v>
      </c>
      <c r="L202" s="61" t="s">
        <v>3849</v>
      </c>
      <c r="M202" s="56"/>
      <c r="N202" s="61"/>
      <c r="P202" s="64"/>
    </row>
    <row r="203" spans="1:16" x14ac:dyDescent="0.35">
      <c r="A203" s="58">
        <v>2163</v>
      </c>
      <c r="B203" s="61" t="s">
        <v>544</v>
      </c>
      <c r="C203" s="59" t="s">
        <v>545</v>
      </c>
      <c r="D203" s="59" t="s">
        <v>546</v>
      </c>
      <c r="E203" s="58">
        <v>0</v>
      </c>
      <c r="F203" s="58">
        <v>2</v>
      </c>
      <c r="G203" s="58"/>
      <c r="H203" s="60"/>
      <c r="I203" s="61" t="s">
        <v>71</v>
      </c>
      <c r="J203" s="61"/>
      <c r="K203" s="61" t="s">
        <v>546</v>
      </c>
      <c r="L203" s="61" t="s">
        <v>3849</v>
      </c>
      <c r="M203" s="56"/>
      <c r="N203" s="61"/>
      <c r="P203" s="64"/>
    </row>
    <row r="204" spans="1:16" x14ac:dyDescent="0.35">
      <c r="A204" s="58">
        <v>2164</v>
      </c>
      <c r="B204" s="61" t="s">
        <v>547</v>
      </c>
      <c r="C204" s="59" t="s">
        <v>548</v>
      </c>
      <c r="D204" s="59" t="s">
        <v>549</v>
      </c>
      <c r="E204" s="58">
        <v>0</v>
      </c>
      <c r="F204" s="58">
        <v>20</v>
      </c>
      <c r="G204" s="58"/>
      <c r="H204" s="60"/>
      <c r="I204" s="61" t="s">
        <v>71</v>
      </c>
      <c r="J204" s="61"/>
      <c r="K204" s="61" t="s">
        <v>549</v>
      </c>
      <c r="L204" s="61"/>
      <c r="M204" s="56"/>
      <c r="N204" s="61"/>
      <c r="P204" s="64"/>
    </row>
    <row r="205" spans="1:16" x14ac:dyDescent="0.35">
      <c r="A205" s="58">
        <v>2165</v>
      </c>
      <c r="B205" s="61" t="s">
        <v>550</v>
      </c>
      <c r="C205" s="59" t="s">
        <v>551</v>
      </c>
      <c r="D205" s="59" t="s">
        <v>552</v>
      </c>
      <c r="E205" s="58">
        <v>0</v>
      </c>
      <c r="F205" s="58">
        <v>20</v>
      </c>
      <c r="G205" s="58"/>
      <c r="H205" s="60"/>
      <c r="I205" s="61" t="s">
        <v>71</v>
      </c>
      <c r="J205" s="61"/>
      <c r="K205" s="61" t="s">
        <v>552</v>
      </c>
      <c r="L205" s="61"/>
      <c r="M205" s="56"/>
      <c r="N205" s="61"/>
      <c r="P205" s="64"/>
    </row>
    <row r="206" spans="1:16" x14ac:dyDescent="0.35">
      <c r="A206" s="58">
        <v>2166</v>
      </c>
      <c r="B206" s="61" t="s">
        <v>553</v>
      </c>
      <c r="C206" s="59" t="s">
        <v>554</v>
      </c>
      <c r="D206" s="59" t="s">
        <v>555</v>
      </c>
      <c r="E206" s="58">
        <v>0</v>
      </c>
      <c r="F206" s="58">
        <v>20</v>
      </c>
      <c r="G206" s="58"/>
      <c r="H206" s="60"/>
      <c r="I206" s="61" t="s">
        <v>71</v>
      </c>
      <c r="J206" s="61"/>
      <c r="K206" s="61" t="s">
        <v>555</v>
      </c>
      <c r="L206" s="61"/>
      <c r="M206" s="56"/>
      <c r="N206" s="61"/>
      <c r="P206" s="64"/>
    </row>
    <row r="207" spans="1:16" x14ac:dyDescent="0.35">
      <c r="A207" s="58">
        <v>2307</v>
      </c>
      <c r="B207" s="61" t="s">
        <v>556</v>
      </c>
      <c r="C207" s="59" t="s">
        <v>557</v>
      </c>
      <c r="D207" s="79" t="s">
        <v>558</v>
      </c>
      <c r="E207" s="58">
        <v>0</v>
      </c>
      <c r="F207" s="58">
        <v>30</v>
      </c>
      <c r="G207" s="58"/>
      <c r="H207" s="60"/>
      <c r="I207" s="61" t="s">
        <v>420</v>
      </c>
      <c r="J207" s="61"/>
      <c r="K207" s="61" t="s">
        <v>558</v>
      </c>
      <c r="L207" s="61"/>
      <c r="M207" s="56"/>
      <c r="N207" s="61"/>
      <c r="P207" s="64"/>
    </row>
    <row r="208" spans="1:16" x14ac:dyDescent="0.35">
      <c r="A208" s="58">
        <v>2308</v>
      </c>
      <c r="B208" s="61" t="s">
        <v>556</v>
      </c>
      <c r="C208" s="59" t="s">
        <v>559</v>
      </c>
      <c r="D208" s="79" t="s">
        <v>560</v>
      </c>
      <c r="E208" s="58">
        <v>0</v>
      </c>
      <c r="F208" s="58">
        <v>30</v>
      </c>
      <c r="G208" s="58"/>
      <c r="H208" s="60"/>
      <c r="I208" s="61" t="s">
        <v>420</v>
      </c>
      <c r="J208" s="61"/>
      <c r="K208" s="61" t="s">
        <v>560</v>
      </c>
      <c r="L208" s="61"/>
      <c r="M208" s="56"/>
      <c r="N208" s="61"/>
      <c r="P208" s="64"/>
    </row>
    <row r="209" spans="1:16" x14ac:dyDescent="0.35">
      <c r="A209" s="58">
        <v>2167</v>
      </c>
      <c r="B209" s="61" t="s">
        <v>561</v>
      </c>
      <c r="C209" s="59" t="s">
        <v>562</v>
      </c>
      <c r="D209" s="59" t="s">
        <v>563</v>
      </c>
      <c r="E209" s="58">
        <v>0</v>
      </c>
      <c r="F209" s="58">
        <v>33</v>
      </c>
      <c r="G209" s="58"/>
      <c r="H209" s="60"/>
      <c r="I209" s="61" t="s">
        <v>564</v>
      </c>
      <c r="J209" s="61"/>
      <c r="K209" s="61" t="s">
        <v>563</v>
      </c>
      <c r="L209" s="61"/>
      <c r="M209" s="56"/>
      <c r="N209" s="61"/>
      <c r="P209" s="64"/>
    </row>
    <row r="210" spans="1:16" x14ac:dyDescent="0.35">
      <c r="A210" s="58">
        <v>2168</v>
      </c>
      <c r="B210" s="61" t="s">
        <v>565</v>
      </c>
      <c r="C210" s="59" t="s">
        <v>566</v>
      </c>
      <c r="D210" s="59" t="s">
        <v>567</v>
      </c>
      <c r="E210" s="58">
        <v>0</v>
      </c>
      <c r="F210" s="58">
        <v>33</v>
      </c>
      <c r="G210" s="58"/>
      <c r="H210" s="60"/>
      <c r="I210" s="61" t="s">
        <v>564</v>
      </c>
      <c r="J210" s="61"/>
      <c r="K210" s="61" t="s">
        <v>567</v>
      </c>
      <c r="L210" s="61"/>
      <c r="M210" s="56"/>
      <c r="N210" s="61"/>
      <c r="P210" s="64"/>
    </row>
    <row r="211" spans="1:16" x14ac:dyDescent="0.35">
      <c r="A211" s="58">
        <v>2169</v>
      </c>
      <c r="B211" s="61" t="s">
        <v>568</v>
      </c>
      <c r="C211" s="59" t="s">
        <v>569</v>
      </c>
      <c r="D211" s="59" t="s">
        <v>570</v>
      </c>
      <c r="E211" s="58">
        <v>0</v>
      </c>
      <c r="F211" s="58">
        <v>33</v>
      </c>
      <c r="G211" s="58"/>
      <c r="H211" s="60"/>
      <c r="I211" s="61" t="s">
        <v>564</v>
      </c>
      <c r="J211" s="61"/>
      <c r="K211" s="61" t="s">
        <v>570</v>
      </c>
      <c r="L211" s="61"/>
      <c r="M211" s="56"/>
      <c r="N211" s="61"/>
      <c r="P211" s="64"/>
    </row>
    <row r="212" spans="1:16" x14ac:dyDescent="0.35">
      <c r="A212" s="58">
        <v>2170</v>
      </c>
      <c r="B212" s="61" t="s">
        <v>571</v>
      </c>
      <c r="C212" s="59" t="s">
        <v>572</v>
      </c>
      <c r="D212" s="59" t="s">
        <v>573</v>
      </c>
      <c r="E212" s="58">
        <v>0</v>
      </c>
      <c r="F212" s="58">
        <v>20</v>
      </c>
      <c r="G212" s="58"/>
      <c r="H212" s="60"/>
      <c r="I212" s="61" t="s">
        <v>71</v>
      </c>
      <c r="J212" s="61"/>
      <c r="K212" s="61" t="s">
        <v>573</v>
      </c>
      <c r="L212" s="61"/>
      <c r="M212" s="56"/>
      <c r="N212" s="61"/>
      <c r="P212" s="64"/>
    </row>
    <row r="213" spans="1:16" x14ac:dyDescent="0.35">
      <c r="A213" s="58">
        <v>2171</v>
      </c>
      <c r="B213" s="61" t="s">
        <v>574</v>
      </c>
      <c r="C213" s="59" t="s">
        <v>575</v>
      </c>
      <c r="D213" s="59" t="s">
        <v>576</v>
      </c>
      <c r="E213" s="58">
        <v>0</v>
      </c>
      <c r="F213" s="58">
        <v>20</v>
      </c>
      <c r="G213" s="58"/>
      <c r="H213" s="60"/>
      <c r="I213" s="61" t="s">
        <v>71</v>
      </c>
      <c r="J213" s="61"/>
      <c r="K213" s="61" t="s">
        <v>576</v>
      </c>
      <c r="L213" s="61"/>
      <c r="M213" s="56"/>
      <c r="N213" s="61"/>
      <c r="P213" s="64"/>
    </row>
    <row r="214" spans="1:16" x14ac:dyDescent="0.35">
      <c r="A214" s="58">
        <v>2172</v>
      </c>
      <c r="B214" s="61" t="s">
        <v>577</v>
      </c>
      <c r="C214" s="59" t="s">
        <v>578</v>
      </c>
      <c r="D214" s="59" t="s">
        <v>579</v>
      </c>
      <c r="E214" s="58">
        <v>0</v>
      </c>
      <c r="F214" s="58">
        <v>20</v>
      </c>
      <c r="G214" s="58"/>
      <c r="H214" s="60"/>
      <c r="I214" s="61" t="s">
        <v>71</v>
      </c>
      <c r="J214" s="61"/>
      <c r="K214" s="61" t="s">
        <v>579</v>
      </c>
      <c r="L214" s="61"/>
      <c r="M214" s="56"/>
      <c r="N214" s="61"/>
      <c r="P214" s="64"/>
    </row>
    <row r="215" spans="1:16" x14ac:dyDescent="0.35">
      <c r="A215" s="58">
        <v>2173</v>
      </c>
      <c r="B215" s="61" t="s">
        <v>580</v>
      </c>
      <c r="C215" s="59" t="s">
        <v>581</v>
      </c>
      <c r="D215" s="59" t="s">
        <v>582</v>
      </c>
      <c r="E215" s="58">
        <v>0</v>
      </c>
      <c r="F215" s="58">
        <v>20</v>
      </c>
      <c r="G215" s="58"/>
      <c r="H215" s="60"/>
      <c r="I215" s="61" t="s">
        <v>564</v>
      </c>
      <c r="J215" s="61"/>
      <c r="K215" s="61" t="s">
        <v>582</v>
      </c>
      <c r="L215" s="61"/>
      <c r="M215" s="56"/>
      <c r="N215" s="61"/>
      <c r="P215" s="64"/>
    </row>
    <row r="216" spans="1:16" x14ac:dyDescent="0.35">
      <c r="A216" s="58">
        <v>2174</v>
      </c>
      <c r="B216" s="61" t="s">
        <v>583</v>
      </c>
      <c r="C216" s="59" t="s">
        <v>584</v>
      </c>
      <c r="D216" s="59" t="s">
        <v>585</v>
      </c>
      <c r="E216" s="58">
        <v>0</v>
      </c>
      <c r="F216" s="58">
        <v>20</v>
      </c>
      <c r="G216" s="58"/>
      <c r="H216" s="60"/>
      <c r="I216" s="61" t="s">
        <v>564</v>
      </c>
      <c r="J216" s="61"/>
      <c r="K216" s="61" t="s">
        <v>585</v>
      </c>
      <c r="L216" s="61"/>
      <c r="M216" s="56"/>
      <c r="N216" s="61"/>
      <c r="P216" s="64"/>
    </row>
    <row r="217" spans="1:16" x14ac:dyDescent="0.35">
      <c r="A217" s="58">
        <v>2175</v>
      </c>
      <c r="B217" s="61" t="s">
        <v>586</v>
      </c>
      <c r="C217" s="59" t="s">
        <v>587</v>
      </c>
      <c r="D217" s="59" t="s">
        <v>588</v>
      </c>
      <c r="E217" s="58">
        <v>0</v>
      </c>
      <c r="F217" s="58">
        <v>20</v>
      </c>
      <c r="G217" s="58"/>
      <c r="H217" s="60"/>
      <c r="I217" s="61" t="s">
        <v>564</v>
      </c>
      <c r="J217" s="61"/>
      <c r="K217" s="61" t="s">
        <v>588</v>
      </c>
      <c r="L217" s="61"/>
      <c r="M217" s="56"/>
      <c r="N217" s="61"/>
      <c r="P217" s="64"/>
    </row>
    <row r="218" spans="1:16" x14ac:dyDescent="0.35">
      <c r="A218" s="58">
        <v>2176</v>
      </c>
      <c r="B218" s="61" t="s">
        <v>589</v>
      </c>
      <c r="C218" s="59" t="s">
        <v>590</v>
      </c>
      <c r="D218" s="59" t="s">
        <v>591</v>
      </c>
      <c r="E218" s="58">
        <v>0</v>
      </c>
      <c r="F218" s="58">
        <v>25</v>
      </c>
      <c r="G218" s="58"/>
      <c r="H218" s="60"/>
      <c r="I218" s="61" t="s">
        <v>564</v>
      </c>
      <c r="J218" s="61"/>
      <c r="K218" s="61" t="s">
        <v>591</v>
      </c>
      <c r="L218" s="61"/>
      <c r="M218" s="56"/>
      <c r="N218" s="61"/>
      <c r="P218" s="64"/>
    </row>
    <row r="219" spans="1:16" x14ac:dyDescent="0.35">
      <c r="A219" s="58">
        <v>2177</v>
      </c>
      <c r="B219" s="61" t="s">
        <v>592</v>
      </c>
      <c r="C219" s="59" t="s">
        <v>593</v>
      </c>
      <c r="D219" s="59" t="s">
        <v>594</v>
      </c>
      <c r="E219" s="58">
        <v>0</v>
      </c>
      <c r="F219" s="58">
        <v>25</v>
      </c>
      <c r="G219" s="58"/>
      <c r="H219" s="60"/>
      <c r="I219" s="61" t="s">
        <v>564</v>
      </c>
      <c r="J219" s="61"/>
      <c r="K219" s="61" t="s">
        <v>594</v>
      </c>
      <c r="L219" s="61"/>
      <c r="M219" s="56"/>
      <c r="N219" s="61"/>
      <c r="P219" s="64"/>
    </row>
    <row r="220" spans="1:16" x14ac:dyDescent="0.35">
      <c r="A220" s="58">
        <v>2178</v>
      </c>
      <c r="B220" s="61" t="s">
        <v>595</v>
      </c>
      <c r="C220" s="59" t="s">
        <v>596</v>
      </c>
      <c r="D220" s="59" t="s">
        <v>597</v>
      </c>
      <c r="E220" s="58">
        <v>0</v>
      </c>
      <c r="F220" s="58">
        <v>25</v>
      </c>
      <c r="G220" s="58"/>
      <c r="H220" s="60"/>
      <c r="I220" s="61" t="s">
        <v>564</v>
      </c>
      <c r="J220" s="61"/>
      <c r="K220" s="61" t="s">
        <v>597</v>
      </c>
      <c r="L220" s="61"/>
      <c r="M220" s="56"/>
      <c r="N220" s="61"/>
      <c r="P220" s="64"/>
    </row>
    <row r="221" spans="1:16" ht="29" x14ac:dyDescent="0.35">
      <c r="A221" s="58">
        <v>2179</v>
      </c>
      <c r="B221" s="61" t="s">
        <v>598</v>
      </c>
      <c r="C221" s="59" t="s">
        <v>599</v>
      </c>
      <c r="D221" s="59" t="s">
        <v>600</v>
      </c>
      <c r="E221" s="58">
        <v>0</v>
      </c>
      <c r="F221" s="58">
        <v>60</v>
      </c>
      <c r="G221" s="58"/>
      <c r="H221" s="60"/>
      <c r="I221" s="61" t="s">
        <v>564</v>
      </c>
      <c r="J221" s="61"/>
      <c r="K221" s="61" t="s">
        <v>600</v>
      </c>
      <c r="L221" s="61"/>
      <c r="M221" s="56"/>
      <c r="N221" s="61" t="s">
        <v>601</v>
      </c>
      <c r="P221" s="64"/>
    </row>
    <row r="222" spans="1:16" s="4" customFormat="1" ht="29" x14ac:dyDescent="0.3">
      <c r="A222" s="73">
        <v>2180</v>
      </c>
      <c r="B222" s="75" t="s">
        <v>602</v>
      </c>
      <c r="C222" s="74" t="s">
        <v>603</v>
      </c>
      <c r="D222" s="77" t="s">
        <v>604</v>
      </c>
      <c r="E222" s="58">
        <v>0</v>
      </c>
      <c r="F222" s="58">
        <v>60</v>
      </c>
      <c r="G222" s="22"/>
      <c r="H222" s="74"/>
      <c r="I222" s="75" t="s">
        <v>564</v>
      </c>
      <c r="J222" s="75"/>
      <c r="K222" s="75" t="s">
        <v>604</v>
      </c>
      <c r="L222" s="75"/>
      <c r="M222" s="74"/>
      <c r="N222" s="75" t="s">
        <v>601</v>
      </c>
      <c r="P222" s="33"/>
    </row>
    <row r="223" spans="1:16" s="4" customFormat="1" ht="29" x14ac:dyDescent="0.3">
      <c r="A223" s="73">
        <v>2181</v>
      </c>
      <c r="B223" s="75" t="s">
        <v>605</v>
      </c>
      <c r="C223" s="74" t="s">
        <v>606</v>
      </c>
      <c r="D223" s="77" t="s">
        <v>607</v>
      </c>
      <c r="E223" s="58">
        <v>0</v>
      </c>
      <c r="F223" s="58">
        <v>60</v>
      </c>
      <c r="G223" s="22"/>
      <c r="H223" s="74"/>
      <c r="I223" s="75" t="s">
        <v>564</v>
      </c>
      <c r="J223" s="75"/>
      <c r="K223" s="75" t="s">
        <v>607</v>
      </c>
      <c r="L223" s="75"/>
      <c r="M223" s="74"/>
      <c r="N223" s="75" t="s">
        <v>601</v>
      </c>
      <c r="P223" s="33"/>
    </row>
    <row r="224" spans="1:16" s="4" customFormat="1" x14ac:dyDescent="0.3">
      <c r="A224" s="73">
        <v>2182</v>
      </c>
      <c r="B224" s="75" t="s">
        <v>608</v>
      </c>
      <c r="C224" s="74" t="s">
        <v>609</v>
      </c>
      <c r="D224" s="77" t="s">
        <v>610</v>
      </c>
      <c r="E224" s="58">
        <v>0</v>
      </c>
      <c r="F224" s="58">
        <v>2</v>
      </c>
      <c r="G224" s="22"/>
      <c r="H224" s="74" t="s">
        <v>611</v>
      </c>
      <c r="I224" s="75" t="s">
        <v>612</v>
      </c>
      <c r="J224" s="75"/>
      <c r="K224" s="75" t="s">
        <v>610</v>
      </c>
      <c r="L224" s="75"/>
      <c r="M224" s="74"/>
      <c r="N224" s="75"/>
      <c r="P224" s="33"/>
    </row>
    <row r="225" spans="1:16" s="4" customFormat="1" x14ac:dyDescent="0.3">
      <c r="A225" s="73">
        <v>2183</v>
      </c>
      <c r="B225" s="75" t="s">
        <v>613</v>
      </c>
      <c r="C225" s="74" t="s">
        <v>614</v>
      </c>
      <c r="D225" s="77" t="s">
        <v>615</v>
      </c>
      <c r="E225" s="58">
        <v>0</v>
      </c>
      <c r="F225" s="58">
        <v>9</v>
      </c>
      <c r="G225" s="22"/>
      <c r="H225" s="74"/>
      <c r="I225" s="75" t="s">
        <v>71</v>
      </c>
      <c r="J225" s="75"/>
      <c r="K225" s="75" t="s">
        <v>615</v>
      </c>
      <c r="L225" s="75"/>
      <c r="M225" s="74"/>
      <c r="N225" s="75"/>
      <c r="P225" s="33"/>
    </row>
    <row r="226" spans="1:16" s="4" customFormat="1" x14ac:dyDescent="0.3">
      <c r="A226" s="73">
        <v>2184</v>
      </c>
      <c r="B226" s="75" t="s">
        <v>613</v>
      </c>
      <c r="C226" s="74" t="s">
        <v>616</v>
      </c>
      <c r="D226" s="77" t="s">
        <v>617</v>
      </c>
      <c r="E226" s="58">
        <v>0</v>
      </c>
      <c r="F226" s="58">
        <v>1</v>
      </c>
      <c r="G226" s="22"/>
      <c r="H226" s="74"/>
      <c r="I226" s="75" t="s">
        <v>618</v>
      </c>
      <c r="J226" s="75" t="s">
        <v>618</v>
      </c>
      <c r="K226" s="75" t="s">
        <v>617</v>
      </c>
      <c r="L226" s="75"/>
      <c r="M226" s="74"/>
      <c r="N226" s="75"/>
      <c r="P226" s="33"/>
    </row>
    <row r="227" spans="1:16" s="4" customFormat="1" x14ac:dyDescent="0.3">
      <c r="A227" s="73">
        <v>2185</v>
      </c>
      <c r="B227" s="75" t="s">
        <v>619</v>
      </c>
      <c r="C227" s="74" t="s">
        <v>620</v>
      </c>
      <c r="D227" s="77" t="s">
        <v>621</v>
      </c>
      <c r="E227" s="58">
        <v>0</v>
      </c>
      <c r="F227" s="58">
        <v>9</v>
      </c>
      <c r="G227" s="22"/>
      <c r="H227" s="74"/>
      <c r="I227" s="75" t="s">
        <v>71</v>
      </c>
      <c r="J227" s="75"/>
      <c r="K227" s="75" t="s">
        <v>621</v>
      </c>
      <c r="L227" s="75"/>
      <c r="M227" s="74"/>
      <c r="N227" s="75"/>
      <c r="P227" s="33"/>
    </row>
    <row r="228" spans="1:16" x14ac:dyDescent="0.35">
      <c r="A228" s="58">
        <v>2186</v>
      </c>
      <c r="B228" s="61" t="s">
        <v>619</v>
      </c>
      <c r="C228" s="59" t="s">
        <v>622</v>
      </c>
      <c r="D228" s="78" t="s">
        <v>623</v>
      </c>
      <c r="E228" s="58">
        <v>0</v>
      </c>
      <c r="F228" s="58">
        <v>1</v>
      </c>
      <c r="G228" s="58"/>
      <c r="H228" s="60"/>
      <c r="I228" s="61" t="s">
        <v>618</v>
      </c>
      <c r="J228" s="61" t="s">
        <v>618</v>
      </c>
      <c r="K228" s="61" t="s">
        <v>623</v>
      </c>
      <c r="L228" s="61"/>
      <c r="M228" s="56"/>
      <c r="N228" s="61"/>
      <c r="P228" s="64"/>
    </row>
    <row r="229" spans="1:16" s="4" customFormat="1" x14ac:dyDescent="0.3">
      <c r="A229" s="58">
        <v>2187</v>
      </c>
      <c r="B229" s="61" t="s">
        <v>624</v>
      </c>
      <c r="C229" s="61" t="s">
        <v>625</v>
      </c>
      <c r="D229" s="77" t="s">
        <v>626</v>
      </c>
      <c r="E229" s="58">
        <v>0</v>
      </c>
      <c r="F229" s="58">
        <v>9</v>
      </c>
      <c r="G229" s="22"/>
      <c r="H229" s="74"/>
      <c r="I229" s="75" t="s">
        <v>71</v>
      </c>
      <c r="J229" s="75"/>
      <c r="K229" s="75" t="s">
        <v>626</v>
      </c>
      <c r="L229" s="75"/>
      <c r="M229" s="74"/>
      <c r="N229" s="75"/>
      <c r="P229" s="33"/>
    </row>
    <row r="230" spans="1:16" s="4" customFormat="1" x14ac:dyDescent="0.3">
      <c r="A230" s="58">
        <v>2188</v>
      </c>
      <c r="B230" s="61" t="s">
        <v>624</v>
      </c>
      <c r="C230" s="61" t="s">
        <v>627</v>
      </c>
      <c r="D230" s="77" t="s">
        <v>628</v>
      </c>
      <c r="E230" s="58">
        <v>0</v>
      </c>
      <c r="F230" s="58">
        <v>1</v>
      </c>
      <c r="G230" s="22"/>
      <c r="H230" s="74"/>
      <c r="I230" s="75" t="s">
        <v>618</v>
      </c>
      <c r="J230" s="75" t="s">
        <v>618</v>
      </c>
      <c r="K230" s="75" t="s">
        <v>628</v>
      </c>
      <c r="L230" s="75"/>
      <c r="M230" s="74"/>
      <c r="N230" s="75"/>
      <c r="P230" s="33"/>
    </row>
    <row r="231" spans="1:16" s="4" customFormat="1" x14ac:dyDescent="0.3">
      <c r="A231" s="58">
        <v>2189</v>
      </c>
      <c r="B231" s="61" t="s">
        <v>629</v>
      </c>
      <c r="C231" s="61" t="s">
        <v>630</v>
      </c>
      <c r="D231" s="77" t="s">
        <v>631</v>
      </c>
      <c r="E231" s="58">
        <v>0</v>
      </c>
      <c r="F231" s="58">
        <v>9</v>
      </c>
      <c r="G231" s="22"/>
      <c r="H231" s="74"/>
      <c r="I231" s="75" t="s">
        <v>71</v>
      </c>
      <c r="J231" s="75"/>
      <c r="K231" s="75" t="s">
        <v>631</v>
      </c>
      <c r="L231" s="75"/>
      <c r="M231" s="74"/>
      <c r="N231" s="75"/>
      <c r="P231" s="33"/>
    </row>
    <row r="232" spans="1:16" s="4" customFormat="1" x14ac:dyDescent="0.3">
      <c r="A232" s="58">
        <v>2190</v>
      </c>
      <c r="B232" s="61" t="s">
        <v>629</v>
      </c>
      <c r="C232" s="61" t="s">
        <v>632</v>
      </c>
      <c r="D232" s="77" t="s">
        <v>633</v>
      </c>
      <c r="E232" s="58">
        <v>0</v>
      </c>
      <c r="F232" s="58">
        <v>1</v>
      </c>
      <c r="G232" s="22"/>
      <c r="H232" s="74"/>
      <c r="I232" s="75" t="s">
        <v>618</v>
      </c>
      <c r="J232" s="75" t="s">
        <v>618</v>
      </c>
      <c r="K232" s="75" t="s">
        <v>633</v>
      </c>
      <c r="L232" s="75"/>
      <c r="M232" s="74"/>
      <c r="N232" s="75"/>
      <c r="P232" s="33"/>
    </row>
    <row r="233" spans="1:16" s="4" customFormat="1" x14ac:dyDescent="0.3">
      <c r="A233" s="58">
        <v>2191</v>
      </c>
      <c r="B233" s="61" t="s">
        <v>634</v>
      </c>
      <c r="C233" s="61" t="s">
        <v>635</v>
      </c>
      <c r="D233" s="77" t="s">
        <v>636</v>
      </c>
      <c r="E233" s="58">
        <v>0</v>
      </c>
      <c r="F233" s="58">
        <v>9</v>
      </c>
      <c r="G233" s="22"/>
      <c r="H233" s="74"/>
      <c r="I233" s="75" t="s">
        <v>71</v>
      </c>
      <c r="J233" s="75"/>
      <c r="K233" s="75" t="s">
        <v>636</v>
      </c>
      <c r="L233" s="75"/>
      <c r="M233" s="74"/>
      <c r="N233" s="75"/>
      <c r="P233" s="33"/>
    </row>
    <row r="234" spans="1:16" s="4" customFormat="1" x14ac:dyDescent="0.3">
      <c r="A234" s="58">
        <v>2192</v>
      </c>
      <c r="B234" s="61" t="s">
        <v>634</v>
      </c>
      <c r="C234" s="61" t="s">
        <v>637</v>
      </c>
      <c r="D234" s="77" t="s">
        <v>638</v>
      </c>
      <c r="E234" s="58">
        <v>0</v>
      </c>
      <c r="F234" s="58">
        <v>1</v>
      </c>
      <c r="G234" s="22"/>
      <c r="H234" s="74"/>
      <c r="I234" s="75" t="s">
        <v>618</v>
      </c>
      <c r="J234" s="75" t="s">
        <v>618</v>
      </c>
      <c r="K234" s="75" t="s">
        <v>638</v>
      </c>
      <c r="L234" s="75"/>
      <c r="M234" s="74"/>
      <c r="N234" s="75"/>
      <c r="P234" s="33"/>
    </row>
    <row r="235" spans="1:16" x14ac:dyDescent="0.35">
      <c r="A235" s="58">
        <v>2193</v>
      </c>
      <c r="B235" s="61" t="s">
        <v>639</v>
      </c>
      <c r="C235" s="59" t="s">
        <v>640</v>
      </c>
      <c r="D235" s="59" t="s">
        <v>641</v>
      </c>
      <c r="E235" s="58">
        <v>0</v>
      </c>
      <c r="F235" s="58">
        <v>9</v>
      </c>
      <c r="G235" s="58"/>
      <c r="H235" s="60"/>
      <c r="I235" s="61" t="s">
        <v>71</v>
      </c>
      <c r="J235" s="61"/>
      <c r="K235" s="61" t="s">
        <v>641</v>
      </c>
      <c r="L235" s="61"/>
      <c r="M235" s="56"/>
      <c r="N235" s="61"/>
      <c r="P235" s="64"/>
    </row>
    <row r="236" spans="1:16" s="4" customFormat="1" x14ac:dyDescent="0.3">
      <c r="A236" s="73">
        <v>2194</v>
      </c>
      <c r="B236" s="75" t="s">
        <v>639</v>
      </c>
      <c r="C236" s="74" t="s">
        <v>642</v>
      </c>
      <c r="D236" s="77" t="s">
        <v>643</v>
      </c>
      <c r="E236" s="58">
        <v>0</v>
      </c>
      <c r="F236" s="58">
        <v>1</v>
      </c>
      <c r="G236" s="22"/>
      <c r="H236" s="74"/>
      <c r="I236" s="75" t="s">
        <v>618</v>
      </c>
      <c r="J236" s="75" t="s">
        <v>618</v>
      </c>
      <c r="K236" s="75" t="s">
        <v>643</v>
      </c>
      <c r="L236" s="75"/>
      <c r="M236" s="74"/>
      <c r="N236" s="75"/>
      <c r="P236" s="33"/>
    </row>
    <row r="237" spans="1:16" s="4" customFormat="1" x14ac:dyDescent="0.3">
      <c r="A237" s="73">
        <v>2195</v>
      </c>
      <c r="B237" s="75" t="s">
        <v>644</v>
      </c>
      <c r="C237" s="74" t="s">
        <v>645</v>
      </c>
      <c r="D237" s="77" t="s">
        <v>646</v>
      </c>
      <c r="E237" s="58">
        <v>0</v>
      </c>
      <c r="F237" s="58">
        <v>9</v>
      </c>
      <c r="G237" s="22"/>
      <c r="H237" s="74"/>
      <c r="I237" s="75" t="s">
        <v>71</v>
      </c>
      <c r="J237" s="75"/>
      <c r="K237" s="75" t="s">
        <v>646</v>
      </c>
      <c r="L237" s="75"/>
      <c r="M237" s="74"/>
      <c r="N237" s="75"/>
      <c r="P237" s="33"/>
    </row>
    <row r="238" spans="1:16" s="4" customFormat="1" x14ac:dyDescent="0.3">
      <c r="A238" s="73">
        <v>2196</v>
      </c>
      <c r="B238" s="75" t="s">
        <v>644</v>
      </c>
      <c r="C238" s="74" t="s">
        <v>647</v>
      </c>
      <c r="D238" s="77" t="s">
        <v>648</v>
      </c>
      <c r="E238" s="58">
        <v>0</v>
      </c>
      <c r="F238" s="58">
        <v>1</v>
      </c>
      <c r="G238" s="22"/>
      <c r="H238" s="74"/>
      <c r="I238" s="75" t="s">
        <v>618</v>
      </c>
      <c r="J238" s="75" t="s">
        <v>618</v>
      </c>
      <c r="K238" s="75" t="s">
        <v>648</v>
      </c>
      <c r="L238" s="75"/>
      <c r="M238" s="74"/>
      <c r="N238" s="75"/>
      <c r="P238" s="33"/>
    </row>
    <row r="239" spans="1:16" s="4" customFormat="1" x14ac:dyDescent="0.3">
      <c r="A239" s="73">
        <v>2197</v>
      </c>
      <c r="B239" s="75" t="s">
        <v>649</v>
      </c>
      <c r="C239" s="74" t="s">
        <v>650</v>
      </c>
      <c r="D239" s="77" t="s">
        <v>651</v>
      </c>
      <c r="E239" s="58">
        <v>0</v>
      </c>
      <c r="F239" s="58">
        <v>9</v>
      </c>
      <c r="G239" s="22"/>
      <c r="H239" s="74"/>
      <c r="I239" s="75" t="s">
        <v>71</v>
      </c>
      <c r="J239" s="75"/>
      <c r="K239" s="75" t="s">
        <v>651</v>
      </c>
      <c r="L239" s="75"/>
      <c r="M239" s="74"/>
      <c r="N239" s="75"/>
      <c r="P239" s="33"/>
    </row>
    <row r="240" spans="1:16" s="4" customFormat="1" x14ac:dyDescent="0.3">
      <c r="A240" s="73">
        <v>2198</v>
      </c>
      <c r="B240" s="75" t="s">
        <v>649</v>
      </c>
      <c r="C240" s="74" t="s">
        <v>652</v>
      </c>
      <c r="D240" s="77" t="s">
        <v>653</v>
      </c>
      <c r="E240" s="58">
        <v>0</v>
      </c>
      <c r="F240" s="58">
        <v>1</v>
      </c>
      <c r="G240" s="22"/>
      <c r="H240" s="74"/>
      <c r="I240" s="75" t="s">
        <v>618</v>
      </c>
      <c r="J240" s="75" t="s">
        <v>618</v>
      </c>
      <c r="K240" s="75" t="s">
        <v>653</v>
      </c>
      <c r="L240" s="75"/>
      <c r="M240" s="74"/>
      <c r="N240" s="75"/>
      <c r="P240" s="33"/>
    </row>
    <row r="241" spans="1:16" s="4" customFormat="1" x14ac:dyDescent="0.3">
      <c r="A241" s="73">
        <v>2199</v>
      </c>
      <c r="B241" s="75" t="s">
        <v>654</v>
      </c>
      <c r="C241" s="74" t="s">
        <v>655</v>
      </c>
      <c r="D241" s="77" t="s">
        <v>656</v>
      </c>
      <c r="E241" s="58">
        <v>0</v>
      </c>
      <c r="F241" s="58">
        <v>9</v>
      </c>
      <c r="G241" s="22"/>
      <c r="H241" s="74"/>
      <c r="I241" s="75" t="s">
        <v>71</v>
      </c>
      <c r="J241" s="75"/>
      <c r="K241" s="75" t="s">
        <v>656</v>
      </c>
      <c r="L241" s="75"/>
      <c r="M241" s="74"/>
      <c r="N241" s="75"/>
      <c r="P241" s="33"/>
    </row>
    <row r="242" spans="1:16" x14ac:dyDescent="0.35">
      <c r="A242" s="58">
        <v>2200</v>
      </c>
      <c r="B242" s="61" t="s">
        <v>654</v>
      </c>
      <c r="C242" s="59" t="s">
        <v>657</v>
      </c>
      <c r="D242" s="59" t="s">
        <v>658</v>
      </c>
      <c r="E242" s="58">
        <v>0</v>
      </c>
      <c r="F242" s="58">
        <v>1</v>
      </c>
      <c r="G242" s="58"/>
      <c r="H242" s="60"/>
      <c r="I242" s="61" t="s">
        <v>618</v>
      </c>
      <c r="J242" s="61" t="s">
        <v>618</v>
      </c>
      <c r="K242" s="61" t="s">
        <v>658</v>
      </c>
      <c r="L242" s="61"/>
      <c r="M242" s="56"/>
      <c r="N242" s="61"/>
      <c r="P242" s="64"/>
    </row>
    <row r="243" spans="1:16" x14ac:dyDescent="0.35">
      <c r="A243" s="58">
        <v>2201</v>
      </c>
      <c r="B243" s="61" t="s">
        <v>659</v>
      </c>
      <c r="C243" s="59" t="s">
        <v>660</v>
      </c>
      <c r="D243" s="59" t="s">
        <v>661</v>
      </c>
      <c r="E243" s="58">
        <v>0</v>
      </c>
      <c r="F243" s="58">
        <v>9</v>
      </c>
      <c r="G243" s="58"/>
      <c r="H243" s="60"/>
      <c r="I243" s="61" t="s">
        <v>71</v>
      </c>
      <c r="J243" s="61"/>
      <c r="K243" s="61" t="s">
        <v>662</v>
      </c>
      <c r="L243" s="61"/>
      <c r="M243" s="56"/>
      <c r="N243" s="61"/>
      <c r="P243" s="64"/>
    </row>
    <row r="244" spans="1:16" x14ac:dyDescent="0.35">
      <c r="A244" s="58">
        <v>2202</v>
      </c>
      <c r="B244" s="61" t="s">
        <v>659</v>
      </c>
      <c r="C244" s="59" t="s">
        <v>663</v>
      </c>
      <c r="D244" s="59" t="s">
        <v>664</v>
      </c>
      <c r="E244" s="58">
        <v>0</v>
      </c>
      <c r="F244" s="58">
        <v>1</v>
      </c>
      <c r="G244" s="58"/>
      <c r="H244" s="60"/>
      <c r="I244" s="61" t="s">
        <v>618</v>
      </c>
      <c r="J244" s="61" t="s">
        <v>618</v>
      </c>
      <c r="K244" s="61" t="s">
        <v>665</v>
      </c>
      <c r="L244" s="61"/>
      <c r="M244" s="56"/>
      <c r="N244" s="61"/>
      <c r="P244" s="64"/>
    </row>
    <row r="245" spans="1:16" x14ac:dyDescent="0.35">
      <c r="A245" s="58">
        <v>2203</v>
      </c>
      <c r="B245" s="61" t="s">
        <v>666</v>
      </c>
      <c r="C245" s="59" t="s">
        <v>667</v>
      </c>
      <c r="D245" s="59" t="s">
        <v>668</v>
      </c>
      <c r="E245" s="58">
        <v>0</v>
      </c>
      <c r="F245" s="58">
        <v>9</v>
      </c>
      <c r="G245" s="58"/>
      <c r="H245" s="60"/>
      <c r="I245" s="61" t="s">
        <v>71</v>
      </c>
      <c r="J245" s="61"/>
      <c r="K245" s="61" t="s">
        <v>669</v>
      </c>
      <c r="L245" s="61"/>
      <c r="M245" s="56"/>
      <c r="N245" s="61"/>
      <c r="P245" s="64"/>
    </row>
    <row r="246" spans="1:16" x14ac:dyDescent="0.35">
      <c r="A246" s="58">
        <v>2204</v>
      </c>
      <c r="B246" s="61" t="s">
        <v>666</v>
      </c>
      <c r="C246" s="59" t="s">
        <v>670</v>
      </c>
      <c r="D246" s="59" t="s">
        <v>671</v>
      </c>
      <c r="E246" s="58">
        <v>0</v>
      </c>
      <c r="F246" s="58">
        <v>1</v>
      </c>
      <c r="G246" s="58"/>
      <c r="H246" s="60"/>
      <c r="I246" s="61" t="s">
        <v>618</v>
      </c>
      <c r="J246" s="61" t="s">
        <v>618</v>
      </c>
      <c r="K246" s="61" t="s">
        <v>672</v>
      </c>
      <c r="L246" s="61"/>
      <c r="M246" s="56"/>
      <c r="N246" s="61"/>
      <c r="P246" s="64"/>
    </row>
    <row r="247" spans="1:16" x14ac:dyDescent="0.35">
      <c r="A247" s="58">
        <v>2205</v>
      </c>
      <c r="B247" s="61" t="s">
        <v>673</v>
      </c>
      <c r="C247" s="59" t="s">
        <v>674</v>
      </c>
      <c r="D247" s="59" t="s">
        <v>675</v>
      </c>
      <c r="E247" s="58">
        <v>0</v>
      </c>
      <c r="F247" s="58">
        <v>9</v>
      </c>
      <c r="G247" s="58"/>
      <c r="H247" s="60"/>
      <c r="I247" s="61" t="s">
        <v>71</v>
      </c>
      <c r="J247" s="61"/>
      <c r="K247" s="61" t="s">
        <v>676</v>
      </c>
      <c r="L247" s="61"/>
      <c r="M247" s="56"/>
      <c r="N247" s="61"/>
      <c r="P247" s="64"/>
    </row>
    <row r="248" spans="1:16" x14ac:dyDescent="0.35">
      <c r="A248" s="58">
        <v>2206</v>
      </c>
      <c r="B248" s="61" t="s">
        <v>673</v>
      </c>
      <c r="C248" s="59" t="s">
        <v>677</v>
      </c>
      <c r="D248" s="59" t="s">
        <v>678</v>
      </c>
      <c r="E248" s="58">
        <v>0</v>
      </c>
      <c r="F248" s="58">
        <v>1</v>
      </c>
      <c r="G248" s="58"/>
      <c r="H248" s="60"/>
      <c r="I248" s="61" t="s">
        <v>618</v>
      </c>
      <c r="J248" s="61" t="s">
        <v>618</v>
      </c>
      <c r="K248" s="61" t="s">
        <v>679</v>
      </c>
      <c r="L248" s="61"/>
      <c r="M248" s="56"/>
      <c r="N248" s="61"/>
      <c r="P248" s="64"/>
    </row>
    <row r="249" spans="1:16" x14ac:dyDescent="0.35">
      <c r="A249" s="58">
        <v>2207</v>
      </c>
      <c r="B249" s="61" t="s">
        <v>680</v>
      </c>
      <c r="C249" s="59" t="s">
        <v>681</v>
      </c>
      <c r="D249" s="59" t="s">
        <v>682</v>
      </c>
      <c r="E249" s="58">
        <v>0</v>
      </c>
      <c r="F249" s="58">
        <v>9</v>
      </c>
      <c r="G249" s="58"/>
      <c r="H249" s="60"/>
      <c r="I249" s="61" t="s">
        <v>71</v>
      </c>
      <c r="J249" s="61"/>
      <c r="K249" s="61" t="s">
        <v>683</v>
      </c>
      <c r="L249" s="61"/>
      <c r="M249" s="56"/>
      <c r="N249" s="61"/>
      <c r="P249" s="64"/>
    </row>
    <row r="250" spans="1:16" x14ac:dyDescent="0.35">
      <c r="A250" s="58">
        <v>2208</v>
      </c>
      <c r="B250" s="61" t="s">
        <v>680</v>
      </c>
      <c r="C250" s="59" t="s">
        <v>684</v>
      </c>
      <c r="D250" s="59" t="s">
        <v>685</v>
      </c>
      <c r="E250" s="58">
        <v>0</v>
      </c>
      <c r="F250" s="58">
        <v>1</v>
      </c>
      <c r="G250" s="58"/>
      <c r="H250" s="60"/>
      <c r="I250" s="61" t="s">
        <v>618</v>
      </c>
      <c r="J250" s="61" t="s">
        <v>618</v>
      </c>
      <c r="K250" s="61" t="s">
        <v>686</v>
      </c>
      <c r="L250" s="61"/>
      <c r="M250" s="56"/>
      <c r="N250" s="61"/>
      <c r="P250" s="64"/>
    </row>
    <row r="251" spans="1:16" x14ac:dyDescent="0.35">
      <c r="A251" s="58">
        <v>2209</v>
      </c>
      <c r="B251" s="61" t="s">
        <v>687</v>
      </c>
      <c r="C251" s="59" t="s">
        <v>688</v>
      </c>
      <c r="D251" s="59" t="s">
        <v>689</v>
      </c>
      <c r="E251" s="58">
        <v>0</v>
      </c>
      <c r="F251" s="58">
        <v>9</v>
      </c>
      <c r="G251" s="58"/>
      <c r="H251" s="60"/>
      <c r="I251" s="61" t="s">
        <v>71</v>
      </c>
      <c r="J251" s="61"/>
      <c r="K251" s="61" t="s">
        <v>690</v>
      </c>
      <c r="L251" s="61"/>
      <c r="M251" s="56"/>
      <c r="N251" s="61"/>
      <c r="P251" s="64"/>
    </row>
    <row r="252" spans="1:16" x14ac:dyDescent="0.35">
      <c r="A252" s="58">
        <v>2210</v>
      </c>
      <c r="B252" s="61" t="s">
        <v>687</v>
      </c>
      <c r="C252" s="59" t="s">
        <v>684</v>
      </c>
      <c r="D252" s="59" t="s">
        <v>691</v>
      </c>
      <c r="E252" s="58">
        <v>0</v>
      </c>
      <c r="F252" s="58">
        <v>1</v>
      </c>
      <c r="G252" s="58"/>
      <c r="H252" s="60"/>
      <c r="I252" s="61" t="s">
        <v>618</v>
      </c>
      <c r="J252" s="61" t="s">
        <v>618</v>
      </c>
      <c r="K252" s="61" t="s">
        <v>692</v>
      </c>
      <c r="L252" s="61"/>
      <c r="M252" s="56"/>
      <c r="N252" s="61"/>
      <c r="P252" s="64"/>
    </row>
    <row r="253" spans="1:16" x14ac:dyDescent="0.35">
      <c r="A253" s="58">
        <v>2211</v>
      </c>
      <c r="B253" s="61" t="s">
        <v>693</v>
      </c>
      <c r="C253" s="59" t="s">
        <v>694</v>
      </c>
      <c r="D253" s="59" t="s">
        <v>695</v>
      </c>
      <c r="E253" s="58">
        <v>0</v>
      </c>
      <c r="F253" s="58">
        <v>9</v>
      </c>
      <c r="G253" s="58"/>
      <c r="H253" s="60"/>
      <c r="I253" s="61" t="s">
        <v>71</v>
      </c>
      <c r="J253" s="61"/>
      <c r="K253" s="61" t="s">
        <v>696</v>
      </c>
      <c r="L253" s="61"/>
      <c r="M253" s="56"/>
      <c r="N253" s="61"/>
      <c r="P253" s="64"/>
    </row>
    <row r="254" spans="1:16" x14ac:dyDescent="0.35">
      <c r="A254" s="58">
        <v>2212</v>
      </c>
      <c r="B254" s="61" t="s">
        <v>693</v>
      </c>
      <c r="C254" s="59" t="s">
        <v>697</v>
      </c>
      <c r="D254" s="59" t="s">
        <v>698</v>
      </c>
      <c r="E254" s="58">
        <v>0</v>
      </c>
      <c r="F254" s="58">
        <v>1</v>
      </c>
      <c r="G254" s="58"/>
      <c r="H254" s="60"/>
      <c r="I254" s="61" t="s">
        <v>618</v>
      </c>
      <c r="J254" s="61" t="s">
        <v>618</v>
      </c>
      <c r="K254" s="61" t="s">
        <v>699</v>
      </c>
      <c r="L254" s="61"/>
      <c r="M254" s="56"/>
      <c r="N254" s="61"/>
      <c r="P254" s="64"/>
    </row>
    <row r="255" spans="1:16" x14ac:dyDescent="0.35">
      <c r="A255" s="58">
        <v>2213</v>
      </c>
      <c r="B255" s="61" t="s">
        <v>700</v>
      </c>
      <c r="C255" s="59" t="s">
        <v>701</v>
      </c>
      <c r="D255" s="59" t="s">
        <v>702</v>
      </c>
      <c r="E255" s="58">
        <v>0</v>
      </c>
      <c r="F255" s="58">
        <v>9</v>
      </c>
      <c r="G255" s="58"/>
      <c r="H255" s="60"/>
      <c r="I255" s="61" t="s">
        <v>71</v>
      </c>
      <c r="J255" s="61"/>
      <c r="K255" s="61" t="s">
        <v>703</v>
      </c>
      <c r="L255" s="61"/>
      <c r="M255" s="56"/>
      <c r="N255" s="61"/>
      <c r="P255" s="64"/>
    </row>
    <row r="256" spans="1:16" x14ac:dyDescent="0.35">
      <c r="A256" s="58">
        <v>2214</v>
      </c>
      <c r="B256" s="61" t="s">
        <v>700</v>
      </c>
      <c r="C256" s="59" t="s">
        <v>704</v>
      </c>
      <c r="D256" s="59" t="s">
        <v>705</v>
      </c>
      <c r="E256" s="58">
        <v>0</v>
      </c>
      <c r="F256" s="58">
        <v>1</v>
      </c>
      <c r="G256" s="58"/>
      <c r="H256" s="60"/>
      <c r="I256" s="61" t="s">
        <v>618</v>
      </c>
      <c r="J256" s="61" t="s">
        <v>618</v>
      </c>
      <c r="K256" s="61" t="s">
        <v>706</v>
      </c>
      <c r="L256" s="61"/>
      <c r="M256" s="56"/>
      <c r="N256" s="61"/>
      <c r="P256" s="64"/>
    </row>
    <row r="257" spans="1:16" x14ac:dyDescent="0.35">
      <c r="A257" s="58">
        <v>2215</v>
      </c>
      <c r="B257" s="61" t="s">
        <v>707</v>
      </c>
      <c r="C257" s="59" t="s">
        <v>708</v>
      </c>
      <c r="D257" s="59" t="s">
        <v>709</v>
      </c>
      <c r="E257" s="58">
        <v>0</v>
      </c>
      <c r="F257" s="58">
        <v>9</v>
      </c>
      <c r="G257" s="58"/>
      <c r="H257" s="60"/>
      <c r="I257" s="61" t="s">
        <v>71</v>
      </c>
      <c r="J257" s="61"/>
      <c r="K257" s="61" t="s">
        <v>710</v>
      </c>
      <c r="L257" s="61"/>
      <c r="M257" s="56"/>
      <c r="N257" s="61"/>
      <c r="P257" s="64"/>
    </row>
    <row r="258" spans="1:16" x14ac:dyDescent="0.35">
      <c r="A258" s="58">
        <v>2216</v>
      </c>
      <c r="B258" s="61" t="s">
        <v>707</v>
      </c>
      <c r="C258" s="59" t="s">
        <v>711</v>
      </c>
      <c r="D258" s="59" t="s">
        <v>712</v>
      </c>
      <c r="E258" s="58">
        <v>0</v>
      </c>
      <c r="F258" s="58">
        <v>1</v>
      </c>
      <c r="G258" s="58"/>
      <c r="H258" s="60"/>
      <c r="I258" s="61" t="s">
        <v>618</v>
      </c>
      <c r="J258" s="61" t="s">
        <v>618</v>
      </c>
      <c r="K258" s="61" t="s">
        <v>713</v>
      </c>
      <c r="L258" s="61"/>
      <c r="M258" s="56"/>
      <c r="N258" s="61"/>
      <c r="P258" s="64"/>
    </row>
    <row r="259" spans="1:16" x14ac:dyDescent="0.35">
      <c r="A259" s="58">
        <v>2217</v>
      </c>
      <c r="B259" s="61" t="s">
        <v>714</v>
      </c>
      <c r="C259" s="59" t="s">
        <v>715</v>
      </c>
      <c r="D259" s="59" t="s">
        <v>716</v>
      </c>
      <c r="E259" s="58">
        <v>0</v>
      </c>
      <c r="F259" s="58">
        <v>9</v>
      </c>
      <c r="G259" s="58"/>
      <c r="H259" s="60"/>
      <c r="I259" s="61" t="s">
        <v>71</v>
      </c>
      <c r="J259" s="61"/>
      <c r="K259" s="61" t="s">
        <v>717</v>
      </c>
      <c r="L259" s="61"/>
      <c r="M259" s="56"/>
      <c r="N259" s="61"/>
      <c r="P259" s="64"/>
    </row>
    <row r="260" spans="1:16" x14ac:dyDescent="0.35">
      <c r="A260" s="58">
        <v>2218</v>
      </c>
      <c r="B260" s="61" t="s">
        <v>714</v>
      </c>
      <c r="C260" s="59" t="s">
        <v>718</v>
      </c>
      <c r="D260" s="59" t="s">
        <v>719</v>
      </c>
      <c r="E260" s="58">
        <v>0</v>
      </c>
      <c r="F260" s="58">
        <v>1</v>
      </c>
      <c r="G260" s="58"/>
      <c r="H260" s="60"/>
      <c r="I260" s="61" t="s">
        <v>618</v>
      </c>
      <c r="J260" s="61" t="s">
        <v>618</v>
      </c>
      <c r="K260" s="61" t="s">
        <v>720</v>
      </c>
      <c r="L260" s="61"/>
      <c r="M260" s="56"/>
      <c r="N260" s="61"/>
      <c r="P260" s="64"/>
    </row>
    <row r="261" spans="1:16" x14ac:dyDescent="0.35">
      <c r="A261" s="58">
        <v>2219</v>
      </c>
      <c r="B261" s="61" t="s">
        <v>721</v>
      </c>
      <c r="C261" s="59" t="s">
        <v>722</v>
      </c>
      <c r="D261" s="59" t="s">
        <v>723</v>
      </c>
      <c r="E261" s="58">
        <v>0</v>
      </c>
      <c r="F261" s="58">
        <v>9</v>
      </c>
      <c r="G261" s="58"/>
      <c r="H261" s="60"/>
      <c r="I261" s="61" t="s">
        <v>71</v>
      </c>
      <c r="J261" s="61"/>
      <c r="K261" s="61" t="s">
        <v>723</v>
      </c>
      <c r="L261" s="61"/>
      <c r="M261" s="56"/>
      <c r="N261" s="61"/>
      <c r="P261" s="64"/>
    </row>
    <row r="262" spans="1:16" x14ac:dyDescent="0.35">
      <c r="A262" s="58">
        <v>2220</v>
      </c>
      <c r="B262" s="61" t="s">
        <v>724</v>
      </c>
      <c r="C262" s="59" t="s">
        <v>725</v>
      </c>
      <c r="D262" s="59" t="s">
        <v>726</v>
      </c>
      <c r="E262" s="58">
        <v>0</v>
      </c>
      <c r="F262" s="58">
        <v>9</v>
      </c>
      <c r="G262" s="58"/>
      <c r="H262" s="60"/>
      <c r="I262" s="61" t="s">
        <v>71</v>
      </c>
      <c r="J262" s="61"/>
      <c r="K262" s="61" t="s">
        <v>726</v>
      </c>
      <c r="L262" s="61"/>
      <c r="M262" s="56"/>
      <c r="N262" s="61"/>
      <c r="P262" s="64"/>
    </row>
    <row r="263" spans="1:16" x14ac:dyDescent="0.35">
      <c r="A263" s="58">
        <v>2221</v>
      </c>
      <c r="B263" s="61" t="s">
        <v>727</v>
      </c>
      <c r="C263" s="59" t="s">
        <v>728</v>
      </c>
      <c r="D263" s="59" t="s">
        <v>729</v>
      </c>
      <c r="E263" s="58">
        <v>0</v>
      </c>
      <c r="F263" s="58">
        <v>9</v>
      </c>
      <c r="G263" s="58"/>
      <c r="H263" s="60"/>
      <c r="I263" s="61" t="s">
        <v>71</v>
      </c>
      <c r="J263" s="61"/>
      <c r="K263" s="61" t="s">
        <v>729</v>
      </c>
      <c r="L263" s="61"/>
      <c r="M263" s="56"/>
      <c r="N263" s="61"/>
      <c r="P263" s="64"/>
    </row>
    <row r="264" spans="1:16" x14ac:dyDescent="0.35">
      <c r="A264" s="58">
        <v>2222</v>
      </c>
      <c r="B264" s="61" t="s">
        <v>730</v>
      </c>
      <c r="C264" s="59" t="s">
        <v>731</v>
      </c>
      <c r="D264" s="59" t="s">
        <v>732</v>
      </c>
      <c r="E264" s="58">
        <v>0</v>
      </c>
      <c r="F264" s="58">
        <v>7</v>
      </c>
      <c r="G264" s="58"/>
      <c r="H264" s="60"/>
      <c r="I264" s="61" t="s">
        <v>71</v>
      </c>
      <c r="J264" s="61"/>
      <c r="K264" s="61" t="s">
        <v>732</v>
      </c>
      <c r="L264" s="61"/>
      <c r="M264" s="56"/>
      <c r="N264" s="61"/>
      <c r="P264" s="64"/>
    </row>
    <row r="265" spans="1:16" x14ac:dyDescent="0.35">
      <c r="A265" s="58">
        <v>2223</v>
      </c>
      <c r="B265" s="61" t="s">
        <v>733</v>
      </c>
      <c r="C265" s="59" t="s">
        <v>734</v>
      </c>
      <c r="D265" s="59" t="s">
        <v>735</v>
      </c>
      <c r="E265" s="58">
        <v>0</v>
      </c>
      <c r="F265" s="58">
        <v>7</v>
      </c>
      <c r="G265" s="58"/>
      <c r="H265" s="60"/>
      <c r="I265" s="61" t="s">
        <v>71</v>
      </c>
      <c r="J265" s="61"/>
      <c r="K265" s="61" t="s">
        <v>735</v>
      </c>
      <c r="L265" s="61"/>
      <c r="M265" s="56"/>
      <c r="N265" s="61"/>
      <c r="P265" s="64"/>
    </row>
    <row r="266" spans="1:16" x14ac:dyDescent="0.35">
      <c r="A266" s="58">
        <v>2224</v>
      </c>
      <c r="B266" s="61" t="s">
        <v>736</v>
      </c>
      <c r="C266" s="59" t="s">
        <v>737</v>
      </c>
      <c r="D266" s="59" t="s">
        <v>738</v>
      </c>
      <c r="E266" s="58">
        <v>0</v>
      </c>
      <c r="F266" s="58">
        <v>7</v>
      </c>
      <c r="G266" s="58"/>
      <c r="H266" s="60"/>
      <c r="I266" s="61" t="s">
        <v>71</v>
      </c>
      <c r="J266" s="61"/>
      <c r="K266" s="61" t="s">
        <v>738</v>
      </c>
      <c r="L266" s="61"/>
      <c r="M266" s="56"/>
      <c r="N266" s="61"/>
      <c r="P266" s="64"/>
    </row>
    <row r="267" spans="1:16" x14ac:dyDescent="0.35">
      <c r="A267" s="58">
        <v>2225</v>
      </c>
      <c r="B267" s="61" t="s">
        <v>739</v>
      </c>
      <c r="C267" s="59" t="s">
        <v>740</v>
      </c>
      <c r="D267" s="59" t="s">
        <v>741</v>
      </c>
      <c r="E267" s="58">
        <v>0</v>
      </c>
      <c r="F267" s="58">
        <v>7</v>
      </c>
      <c r="G267" s="58"/>
      <c r="H267" s="60"/>
      <c r="I267" s="61" t="s">
        <v>27</v>
      </c>
      <c r="J267" s="61"/>
      <c r="K267" s="61" t="s">
        <v>741</v>
      </c>
      <c r="L267" s="61"/>
      <c r="M267" s="56"/>
      <c r="N267" s="61"/>
      <c r="P267" s="64"/>
    </row>
    <row r="268" spans="1:16" x14ac:dyDescent="0.35">
      <c r="A268" s="58">
        <v>2226</v>
      </c>
      <c r="B268" s="61" t="s">
        <v>742</v>
      </c>
      <c r="C268" s="59" t="s">
        <v>743</v>
      </c>
      <c r="D268" s="59" t="s">
        <v>744</v>
      </c>
      <c r="E268" s="58">
        <v>0</v>
      </c>
      <c r="F268" s="58">
        <v>7</v>
      </c>
      <c r="G268" s="58"/>
      <c r="H268" s="60"/>
      <c r="I268" s="61" t="s">
        <v>71</v>
      </c>
      <c r="J268" s="61"/>
      <c r="K268" s="61" t="s">
        <v>744</v>
      </c>
      <c r="L268" s="61"/>
      <c r="M268" s="56"/>
      <c r="N268" s="61"/>
      <c r="P268" s="64"/>
    </row>
    <row r="269" spans="1:16" x14ac:dyDescent="0.35">
      <c r="A269" s="58">
        <v>2227</v>
      </c>
      <c r="B269" s="61" t="s">
        <v>742</v>
      </c>
      <c r="C269" s="59" t="s">
        <v>745</v>
      </c>
      <c r="D269" s="59" t="s">
        <v>746</v>
      </c>
      <c r="E269" s="58">
        <v>0</v>
      </c>
      <c r="F269" s="58">
        <v>1</v>
      </c>
      <c r="G269" s="58"/>
      <c r="H269" s="60"/>
      <c r="I269" s="61" t="s">
        <v>71</v>
      </c>
      <c r="J269" s="61"/>
      <c r="K269" s="61" t="s">
        <v>746</v>
      </c>
      <c r="L269" s="61"/>
      <c r="M269" s="56"/>
      <c r="N269" s="61"/>
      <c r="P269" s="64"/>
    </row>
    <row r="270" spans="1:16" x14ac:dyDescent="0.35">
      <c r="A270" s="58">
        <v>2228</v>
      </c>
      <c r="B270" s="61" t="s">
        <v>747</v>
      </c>
      <c r="C270" s="59" t="s">
        <v>748</v>
      </c>
      <c r="D270" s="59" t="s">
        <v>749</v>
      </c>
      <c r="E270" s="58">
        <v>0</v>
      </c>
      <c r="F270" s="58">
        <v>7</v>
      </c>
      <c r="G270" s="58"/>
      <c r="H270" s="60"/>
      <c r="I270" s="61" t="s">
        <v>71</v>
      </c>
      <c r="J270" s="61"/>
      <c r="K270" s="61" t="s">
        <v>749</v>
      </c>
      <c r="L270" s="61"/>
      <c r="M270" s="56"/>
      <c r="N270" s="61"/>
      <c r="P270" s="64"/>
    </row>
    <row r="271" spans="1:16" x14ac:dyDescent="0.35">
      <c r="A271" s="58">
        <v>2229</v>
      </c>
      <c r="B271" s="61" t="s">
        <v>747</v>
      </c>
      <c r="C271" s="59" t="s">
        <v>750</v>
      </c>
      <c r="D271" s="59" t="s">
        <v>751</v>
      </c>
      <c r="E271" s="58">
        <v>0</v>
      </c>
      <c r="F271" s="58">
        <v>1</v>
      </c>
      <c r="G271" s="58"/>
      <c r="H271" s="60"/>
      <c r="I271" s="61" t="s">
        <v>71</v>
      </c>
      <c r="J271" s="61"/>
      <c r="K271" s="61" t="s">
        <v>751</v>
      </c>
      <c r="L271" s="61"/>
      <c r="M271" s="56"/>
      <c r="N271" s="61"/>
      <c r="P271" s="64"/>
    </row>
    <row r="272" spans="1:16" x14ac:dyDescent="0.35">
      <c r="A272" s="58">
        <v>2230</v>
      </c>
      <c r="B272" s="61" t="s">
        <v>752</v>
      </c>
      <c r="C272" s="59" t="s">
        <v>753</v>
      </c>
      <c r="D272" s="59" t="s">
        <v>754</v>
      </c>
      <c r="E272" s="58">
        <v>0</v>
      </c>
      <c r="F272" s="58">
        <v>7</v>
      </c>
      <c r="G272" s="58"/>
      <c r="H272" s="60"/>
      <c r="I272" s="61" t="s">
        <v>71</v>
      </c>
      <c r="J272" s="61"/>
      <c r="K272" s="61" t="s">
        <v>754</v>
      </c>
      <c r="L272" s="61"/>
      <c r="M272" s="56"/>
      <c r="N272" s="61"/>
      <c r="P272" s="64"/>
    </row>
    <row r="273" spans="1:16" x14ac:dyDescent="0.35">
      <c r="A273" s="58">
        <v>2231</v>
      </c>
      <c r="B273" s="61" t="s">
        <v>752</v>
      </c>
      <c r="C273" s="59" t="s">
        <v>755</v>
      </c>
      <c r="D273" s="59" t="s">
        <v>756</v>
      </c>
      <c r="E273" s="58">
        <v>0</v>
      </c>
      <c r="F273" s="58">
        <v>1</v>
      </c>
      <c r="G273" s="58"/>
      <c r="H273" s="60"/>
      <c r="I273" s="61" t="s">
        <v>71</v>
      </c>
      <c r="J273" s="61"/>
      <c r="K273" s="61" t="s">
        <v>756</v>
      </c>
      <c r="L273" s="61"/>
      <c r="M273" s="56"/>
      <c r="N273" s="61"/>
      <c r="P273" s="64"/>
    </row>
    <row r="274" spans="1:16" x14ac:dyDescent="0.35">
      <c r="A274" s="58">
        <v>2232</v>
      </c>
      <c r="B274" s="61" t="s">
        <v>757</v>
      </c>
      <c r="C274" s="59" t="s">
        <v>758</v>
      </c>
      <c r="D274" s="59" t="s">
        <v>759</v>
      </c>
      <c r="E274" s="58">
        <v>0</v>
      </c>
      <c r="F274" s="58">
        <v>20</v>
      </c>
      <c r="G274" s="58"/>
      <c r="H274" s="60"/>
      <c r="I274" s="61" t="s">
        <v>71</v>
      </c>
      <c r="J274" s="61"/>
      <c r="K274" s="61" t="s">
        <v>759</v>
      </c>
      <c r="L274" s="61"/>
      <c r="M274" s="56"/>
      <c r="N274" s="61"/>
      <c r="P274" s="64"/>
    </row>
    <row r="275" spans="1:16" x14ac:dyDescent="0.35">
      <c r="A275" s="58">
        <v>2233</v>
      </c>
      <c r="B275" s="61" t="s">
        <v>760</v>
      </c>
      <c r="C275" s="59" t="s">
        <v>761</v>
      </c>
      <c r="D275" s="59" t="s">
        <v>762</v>
      </c>
      <c r="E275" s="58">
        <v>0</v>
      </c>
      <c r="F275" s="58">
        <v>7</v>
      </c>
      <c r="G275" s="58"/>
      <c r="H275" s="60"/>
      <c r="I275" s="61" t="s">
        <v>71</v>
      </c>
      <c r="J275" s="61"/>
      <c r="K275" s="61" t="s">
        <v>762</v>
      </c>
      <c r="L275" s="61"/>
      <c r="M275" s="56"/>
      <c r="N275" s="61"/>
      <c r="P275" s="64"/>
    </row>
    <row r="276" spans="1:16" ht="29" x14ac:dyDescent="0.35">
      <c r="A276" s="58">
        <v>2234</v>
      </c>
      <c r="B276" s="61" t="s">
        <v>760</v>
      </c>
      <c r="C276" s="59" t="s">
        <v>763</v>
      </c>
      <c r="D276" s="59" t="s">
        <v>764</v>
      </c>
      <c r="E276" s="58">
        <v>0</v>
      </c>
      <c r="F276" s="58">
        <v>10</v>
      </c>
      <c r="G276" s="58"/>
      <c r="H276" s="60"/>
      <c r="I276" s="61" t="s">
        <v>85</v>
      </c>
      <c r="J276" s="61"/>
      <c r="K276" s="61" t="s">
        <v>764</v>
      </c>
      <c r="L276" s="61"/>
      <c r="M276" s="56"/>
      <c r="N276" s="61" t="s">
        <v>205</v>
      </c>
      <c r="P276" s="64"/>
    </row>
    <row r="277" spans="1:16" x14ac:dyDescent="0.35">
      <c r="A277" s="58">
        <v>2235</v>
      </c>
      <c r="B277" s="61" t="s">
        <v>765</v>
      </c>
      <c r="C277" s="59" t="s">
        <v>766</v>
      </c>
      <c r="D277" s="59" t="s">
        <v>767</v>
      </c>
      <c r="E277" s="58">
        <v>0</v>
      </c>
      <c r="F277" s="58">
        <v>7</v>
      </c>
      <c r="G277" s="58"/>
      <c r="H277" s="60"/>
      <c r="I277" s="61" t="s">
        <v>71</v>
      </c>
      <c r="J277" s="61"/>
      <c r="K277" s="61" t="s">
        <v>767</v>
      </c>
      <c r="L277" s="61"/>
      <c r="M277" s="56"/>
      <c r="N277" s="61"/>
      <c r="P277" s="64"/>
    </row>
    <row r="278" spans="1:16" ht="29" x14ac:dyDescent="0.35">
      <c r="A278" s="58">
        <v>2236</v>
      </c>
      <c r="B278" s="61" t="s">
        <v>765</v>
      </c>
      <c r="C278" s="59" t="s">
        <v>768</v>
      </c>
      <c r="D278" s="59" t="s">
        <v>769</v>
      </c>
      <c r="E278" s="58">
        <v>0</v>
      </c>
      <c r="F278" s="58">
        <v>10</v>
      </c>
      <c r="G278" s="58"/>
      <c r="H278" s="60"/>
      <c r="I278" s="61" t="s">
        <v>85</v>
      </c>
      <c r="J278" s="61"/>
      <c r="K278" s="61" t="s">
        <v>769</v>
      </c>
      <c r="L278" s="61"/>
      <c r="M278" s="56"/>
      <c r="N278" s="61" t="s">
        <v>205</v>
      </c>
      <c r="P278" s="64"/>
    </row>
    <row r="279" spans="1:16" x14ac:dyDescent="0.35">
      <c r="A279" s="58">
        <v>2237</v>
      </c>
      <c r="B279" s="61" t="s">
        <v>770</v>
      </c>
      <c r="C279" s="59" t="s">
        <v>771</v>
      </c>
      <c r="D279" s="59" t="s">
        <v>772</v>
      </c>
      <c r="E279" s="58">
        <v>0</v>
      </c>
      <c r="F279" s="58">
        <v>7</v>
      </c>
      <c r="G279" s="58"/>
      <c r="H279" s="60"/>
      <c r="I279" s="61" t="s">
        <v>71</v>
      </c>
      <c r="J279" s="61"/>
      <c r="K279" s="61" t="s">
        <v>772</v>
      </c>
      <c r="L279" s="61"/>
      <c r="M279" s="56"/>
      <c r="N279" s="61"/>
      <c r="P279" s="64"/>
    </row>
    <row r="280" spans="1:16" ht="29" x14ac:dyDescent="0.35">
      <c r="A280" s="58">
        <v>2238</v>
      </c>
      <c r="B280" s="61" t="s">
        <v>770</v>
      </c>
      <c r="C280" s="59" t="s">
        <v>773</v>
      </c>
      <c r="D280" s="59" t="s">
        <v>774</v>
      </c>
      <c r="E280" s="58">
        <v>0</v>
      </c>
      <c r="F280" s="58">
        <v>10</v>
      </c>
      <c r="G280" s="58"/>
      <c r="H280" s="60"/>
      <c r="I280" s="61" t="s">
        <v>85</v>
      </c>
      <c r="J280" s="61"/>
      <c r="K280" s="61" t="s">
        <v>774</v>
      </c>
      <c r="L280" s="61"/>
      <c r="M280" s="56"/>
      <c r="N280" s="61" t="s">
        <v>205</v>
      </c>
      <c r="P280" s="64"/>
    </row>
    <row r="281" spans="1:16" x14ac:dyDescent="0.35">
      <c r="A281" s="58">
        <v>2239</v>
      </c>
      <c r="B281" s="61" t="s">
        <v>775</v>
      </c>
      <c r="C281" s="59" t="s">
        <v>776</v>
      </c>
      <c r="D281" s="59" t="s">
        <v>777</v>
      </c>
      <c r="E281" s="58">
        <v>0</v>
      </c>
      <c r="F281" s="58">
        <v>7</v>
      </c>
      <c r="G281" s="58"/>
      <c r="H281" s="60"/>
      <c r="I281" s="61" t="s">
        <v>71</v>
      </c>
      <c r="J281" s="61"/>
      <c r="K281" s="61" t="s">
        <v>777</v>
      </c>
      <c r="L281" s="61"/>
      <c r="M281" s="56"/>
      <c r="N281" s="61"/>
      <c r="P281" s="64"/>
    </row>
    <row r="282" spans="1:16" ht="29" x14ac:dyDescent="0.35">
      <c r="A282" s="58">
        <v>2240</v>
      </c>
      <c r="B282" s="61" t="s">
        <v>775</v>
      </c>
      <c r="C282" s="59" t="s">
        <v>778</v>
      </c>
      <c r="D282" s="59" t="s">
        <v>779</v>
      </c>
      <c r="E282" s="58">
        <v>0</v>
      </c>
      <c r="F282" s="58">
        <v>10</v>
      </c>
      <c r="G282" s="58"/>
      <c r="H282" s="60"/>
      <c r="I282" s="61" t="s">
        <v>85</v>
      </c>
      <c r="J282" s="61"/>
      <c r="K282" s="61" t="s">
        <v>779</v>
      </c>
      <c r="L282" s="61"/>
      <c r="M282" s="56"/>
      <c r="N282" s="61" t="s">
        <v>205</v>
      </c>
      <c r="P282" s="64"/>
    </row>
    <row r="283" spans="1:16" x14ac:dyDescent="0.35">
      <c r="A283" s="58">
        <v>2241</v>
      </c>
      <c r="B283" s="61" t="s">
        <v>780</v>
      </c>
      <c r="C283" s="59" t="s">
        <v>781</v>
      </c>
      <c r="D283" s="59" t="s">
        <v>782</v>
      </c>
      <c r="E283" s="58">
        <v>0</v>
      </c>
      <c r="F283" s="58">
        <v>7</v>
      </c>
      <c r="G283" s="58"/>
      <c r="H283" s="60"/>
      <c r="I283" s="61" t="s">
        <v>71</v>
      </c>
      <c r="J283" s="61"/>
      <c r="K283" s="61" t="s">
        <v>782</v>
      </c>
      <c r="L283" s="61"/>
      <c r="M283" s="56"/>
      <c r="N283" s="61"/>
      <c r="P283" s="64"/>
    </row>
    <row r="284" spans="1:16" ht="29" x14ac:dyDescent="0.35">
      <c r="A284" s="58">
        <v>2242</v>
      </c>
      <c r="B284" s="61" t="s">
        <v>780</v>
      </c>
      <c r="C284" s="59" t="s">
        <v>783</v>
      </c>
      <c r="D284" s="59" t="s">
        <v>784</v>
      </c>
      <c r="E284" s="58">
        <v>0</v>
      </c>
      <c r="F284" s="58">
        <v>10</v>
      </c>
      <c r="G284" s="58"/>
      <c r="H284" s="60"/>
      <c r="I284" s="61" t="s">
        <v>85</v>
      </c>
      <c r="J284" s="61"/>
      <c r="K284" s="61" t="s">
        <v>784</v>
      </c>
      <c r="L284" s="61"/>
      <c r="M284" s="56"/>
      <c r="N284" s="61" t="s">
        <v>205</v>
      </c>
      <c r="P284" s="64"/>
    </row>
    <row r="285" spans="1:16" x14ac:dyDescent="0.35">
      <c r="A285" s="58">
        <v>2243</v>
      </c>
      <c r="B285" s="61" t="s">
        <v>785</v>
      </c>
      <c r="C285" s="59" t="s">
        <v>786</v>
      </c>
      <c r="D285" s="59" t="s">
        <v>787</v>
      </c>
      <c r="E285" s="58">
        <v>0</v>
      </c>
      <c r="F285" s="58">
        <v>7</v>
      </c>
      <c r="G285" s="58"/>
      <c r="H285" s="60"/>
      <c r="I285" s="61" t="s">
        <v>71</v>
      </c>
      <c r="J285" s="61"/>
      <c r="K285" s="61" t="s">
        <v>787</v>
      </c>
      <c r="L285" s="61"/>
      <c r="M285" s="56"/>
      <c r="N285" s="61"/>
      <c r="P285" s="64"/>
    </row>
    <row r="286" spans="1:16" ht="29" x14ac:dyDescent="0.35">
      <c r="A286" s="58">
        <v>2244</v>
      </c>
      <c r="B286" s="61" t="s">
        <v>785</v>
      </c>
      <c r="C286" s="59" t="s">
        <v>788</v>
      </c>
      <c r="D286" s="59" t="s">
        <v>789</v>
      </c>
      <c r="E286" s="58">
        <v>0</v>
      </c>
      <c r="F286" s="58">
        <v>10</v>
      </c>
      <c r="G286" s="58"/>
      <c r="H286" s="60"/>
      <c r="I286" s="61" t="s">
        <v>85</v>
      </c>
      <c r="J286" s="61"/>
      <c r="K286" s="61" t="s">
        <v>789</v>
      </c>
      <c r="L286" s="61"/>
      <c r="M286" s="56"/>
      <c r="N286" s="61" t="s">
        <v>205</v>
      </c>
      <c r="P286" s="64"/>
    </row>
    <row r="287" spans="1:16" x14ac:dyDescent="0.35">
      <c r="A287" s="58">
        <v>2245</v>
      </c>
      <c r="B287" s="61" t="s">
        <v>790</v>
      </c>
      <c r="C287" s="59" t="s">
        <v>791</v>
      </c>
      <c r="D287" s="59" t="s">
        <v>792</v>
      </c>
      <c r="E287" s="58">
        <v>0</v>
      </c>
      <c r="F287" s="58">
        <v>20</v>
      </c>
      <c r="G287" s="58"/>
      <c r="H287" s="60"/>
      <c r="I287" s="61"/>
      <c r="J287" s="61"/>
      <c r="K287" s="61" t="s">
        <v>792</v>
      </c>
      <c r="L287" s="61"/>
      <c r="M287" s="56"/>
      <c r="N287" s="61"/>
      <c r="P287" s="64"/>
    </row>
    <row r="288" spans="1:16" x14ac:dyDescent="0.35">
      <c r="A288" s="58">
        <v>2246</v>
      </c>
      <c r="B288" s="61" t="s">
        <v>790</v>
      </c>
      <c r="C288" s="59" t="s">
        <v>793</v>
      </c>
      <c r="D288" s="59" t="s">
        <v>794</v>
      </c>
      <c r="E288" s="58">
        <v>0</v>
      </c>
      <c r="F288" s="58">
        <v>20</v>
      </c>
      <c r="G288" s="58"/>
      <c r="H288" s="60"/>
      <c r="I288" s="61"/>
      <c r="J288" s="61"/>
      <c r="K288" s="61" t="s">
        <v>794</v>
      </c>
      <c r="L288" s="61"/>
      <c r="M288" s="56"/>
      <c r="N288" s="61"/>
      <c r="P288" s="64"/>
    </row>
    <row r="289" spans="1:16" x14ac:dyDescent="0.35">
      <c r="A289" s="58">
        <v>2247</v>
      </c>
      <c r="B289" s="61" t="s">
        <v>790</v>
      </c>
      <c r="C289" s="59" t="s">
        <v>795</v>
      </c>
      <c r="D289" s="59" t="s">
        <v>796</v>
      </c>
      <c r="E289" s="58">
        <v>0</v>
      </c>
      <c r="F289" s="58">
        <v>20</v>
      </c>
      <c r="G289" s="58"/>
      <c r="H289" s="60"/>
      <c r="I289" s="61"/>
      <c r="J289" s="61"/>
      <c r="K289" s="61" t="s">
        <v>796</v>
      </c>
      <c r="L289" s="61"/>
      <c r="M289" s="56"/>
      <c r="N289" s="61"/>
      <c r="P289" s="64"/>
    </row>
    <row r="290" spans="1:16" x14ac:dyDescent="0.35">
      <c r="A290" s="58">
        <v>2248</v>
      </c>
      <c r="B290" s="61" t="s">
        <v>790</v>
      </c>
      <c r="C290" s="59" t="s">
        <v>797</v>
      </c>
      <c r="D290" s="59" t="s">
        <v>798</v>
      </c>
      <c r="E290" s="58">
        <v>0</v>
      </c>
      <c r="F290" s="58">
        <v>20</v>
      </c>
      <c r="G290" s="58"/>
      <c r="H290" s="60"/>
      <c r="I290" s="61"/>
      <c r="J290" s="61"/>
      <c r="K290" s="61" t="s">
        <v>798</v>
      </c>
      <c r="L290" s="61"/>
      <c r="M290" s="56"/>
      <c r="N290" s="61"/>
      <c r="P290" s="64"/>
    </row>
    <row r="291" spans="1:16" x14ac:dyDescent="0.35">
      <c r="A291" s="58">
        <v>2249</v>
      </c>
      <c r="B291" s="61" t="s">
        <v>799</v>
      </c>
      <c r="C291" s="59" t="s">
        <v>800</v>
      </c>
      <c r="D291" s="59" t="s">
        <v>801</v>
      </c>
      <c r="E291" s="58">
        <v>0</v>
      </c>
      <c r="F291" s="171">
        <v>20</v>
      </c>
      <c r="G291" s="171"/>
      <c r="H291" s="60"/>
      <c r="I291" s="175" t="s">
        <v>71</v>
      </c>
      <c r="J291" s="61"/>
      <c r="K291" s="61" t="s">
        <v>801</v>
      </c>
      <c r="L291" s="61"/>
      <c r="M291" s="56"/>
      <c r="N291" s="61"/>
      <c r="P291" s="64"/>
    </row>
    <row r="292" spans="1:16" x14ac:dyDescent="0.35">
      <c r="A292" s="58">
        <v>2250</v>
      </c>
      <c r="B292" s="61" t="s">
        <v>799</v>
      </c>
      <c r="C292" s="59" t="s">
        <v>802</v>
      </c>
      <c r="D292" s="59" t="s">
        <v>803</v>
      </c>
      <c r="E292" s="58">
        <v>0</v>
      </c>
      <c r="F292" s="58">
        <v>3</v>
      </c>
      <c r="G292" s="58"/>
      <c r="H292" s="60"/>
      <c r="I292" s="61" t="s">
        <v>27</v>
      </c>
      <c r="J292" s="61"/>
      <c r="K292" s="61" t="s">
        <v>803</v>
      </c>
      <c r="L292" s="61"/>
      <c r="M292" s="56"/>
      <c r="N292" s="61"/>
      <c r="P292" s="64"/>
    </row>
    <row r="293" spans="1:16" x14ac:dyDescent="0.35">
      <c r="A293" s="58">
        <v>2251</v>
      </c>
      <c r="B293" s="61" t="s">
        <v>799</v>
      </c>
      <c r="C293" s="59" t="s">
        <v>804</v>
      </c>
      <c r="D293" s="59" t="s">
        <v>805</v>
      </c>
      <c r="E293" s="58">
        <v>0</v>
      </c>
      <c r="F293" s="58">
        <v>15</v>
      </c>
      <c r="G293" s="58"/>
      <c r="H293" s="60"/>
      <c r="I293" s="61" t="s">
        <v>71</v>
      </c>
      <c r="J293" s="61"/>
      <c r="K293" s="61" t="s">
        <v>805</v>
      </c>
      <c r="L293" s="61"/>
      <c r="M293" s="56"/>
      <c r="N293" s="61"/>
      <c r="P293" s="64"/>
    </row>
    <row r="294" spans="1:16" x14ac:dyDescent="0.35">
      <c r="A294" s="58">
        <v>2252</v>
      </c>
      <c r="B294" s="61" t="s">
        <v>799</v>
      </c>
      <c r="C294" s="59" t="s">
        <v>806</v>
      </c>
      <c r="D294" s="59" t="s">
        <v>807</v>
      </c>
      <c r="E294" s="58">
        <v>0</v>
      </c>
      <c r="F294" s="58">
        <v>35</v>
      </c>
      <c r="G294" s="58"/>
      <c r="H294" s="60"/>
      <c r="I294" s="61" t="s">
        <v>56</v>
      </c>
      <c r="J294" s="61"/>
      <c r="K294" s="61" t="s">
        <v>807</v>
      </c>
      <c r="L294" s="61"/>
      <c r="M294" s="56"/>
      <c r="N294" s="61"/>
      <c r="P294" s="64"/>
    </row>
    <row r="295" spans="1:16" x14ac:dyDescent="0.35">
      <c r="A295" s="58">
        <v>2253</v>
      </c>
      <c r="B295" s="61" t="s">
        <v>799</v>
      </c>
      <c r="C295" s="59" t="s">
        <v>808</v>
      </c>
      <c r="D295" s="59" t="s">
        <v>809</v>
      </c>
      <c r="E295" s="58">
        <v>0</v>
      </c>
      <c r="F295" s="58">
        <v>20</v>
      </c>
      <c r="G295" s="58"/>
      <c r="H295" s="60"/>
      <c r="I295" s="61" t="s">
        <v>61</v>
      </c>
      <c r="J295" s="61"/>
      <c r="K295" s="61" t="s">
        <v>809</v>
      </c>
      <c r="L295" s="61"/>
      <c r="M295" s="56"/>
      <c r="N295" s="61"/>
      <c r="P295" s="64"/>
    </row>
    <row r="296" spans="1:16" x14ac:dyDescent="0.35">
      <c r="A296" s="58">
        <v>2254</v>
      </c>
      <c r="B296" s="61" t="s">
        <v>810</v>
      </c>
      <c r="C296" s="59" t="s">
        <v>811</v>
      </c>
      <c r="D296" s="59" t="s">
        <v>812</v>
      </c>
      <c r="E296" s="58">
        <v>0</v>
      </c>
      <c r="F296" s="171">
        <v>20</v>
      </c>
      <c r="G296" s="171"/>
      <c r="H296" s="60"/>
      <c r="I296" s="175" t="s">
        <v>71</v>
      </c>
      <c r="J296" s="61"/>
      <c r="K296" s="61" t="s">
        <v>812</v>
      </c>
      <c r="L296" s="61"/>
      <c r="M296" s="56"/>
      <c r="N296" s="61"/>
      <c r="P296" s="64"/>
    </row>
    <row r="297" spans="1:16" x14ac:dyDescent="0.35">
      <c r="A297" s="58">
        <v>2255</v>
      </c>
      <c r="B297" s="61" t="s">
        <v>810</v>
      </c>
      <c r="C297" s="59" t="s">
        <v>813</v>
      </c>
      <c r="D297" s="59" t="s">
        <v>814</v>
      </c>
      <c r="E297" s="58">
        <v>0</v>
      </c>
      <c r="F297" s="58">
        <v>3</v>
      </c>
      <c r="G297" s="58"/>
      <c r="H297" s="60"/>
      <c r="I297" s="61" t="s">
        <v>71</v>
      </c>
      <c r="J297" s="61"/>
      <c r="K297" s="61" t="s">
        <v>814</v>
      </c>
      <c r="L297" s="61"/>
      <c r="M297" s="56"/>
      <c r="N297" s="61"/>
      <c r="P297" s="64"/>
    </row>
    <row r="298" spans="1:16" x14ac:dyDescent="0.35">
      <c r="A298" s="58">
        <v>2256</v>
      </c>
      <c r="B298" s="61" t="s">
        <v>810</v>
      </c>
      <c r="C298" s="59" t="s">
        <v>815</v>
      </c>
      <c r="D298" s="59" t="s">
        <v>816</v>
      </c>
      <c r="E298" s="58">
        <v>0</v>
      </c>
      <c r="F298" s="58">
        <v>17</v>
      </c>
      <c r="G298" s="58"/>
      <c r="H298" s="60"/>
      <c r="I298" s="61" t="s">
        <v>71</v>
      </c>
      <c r="J298" s="61"/>
      <c r="K298" s="61" t="s">
        <v>816</v>
      </c>
      <c r="L298" s="61"/>
      <c r="M298" s="56"/>
      <c r="N298" s="61"/>
      <c r="P298" s="64"/>
    </row>
    <row r="299" spans="1:16" x14ac:dyDescent="0.35">
      <c r="A299" s="58">
        <v>2257</v>
      </c>
      <c r="B299" s="61" t="s">
        <v>810</v>
      </c>
      <c r="C299" s="59" t="s">
        <v>817</v>
      </c>
      <c r="D299" s="59" t="s">
        <v>818</v>
      </c>
      <c r="E299" s="58">
        <v>0</v>
      </c>
      <c r="F299" s="58">
        <v>35</v>
      </c>
      <c r="G299" s="58"/>
      <c r="H299" s="60"/>
      <c r="I299" s="61" t="s">
        <v>56</v>
      </c>
      <c r="J299" s="61"/>
      <c r="K299" s="61" t="s">
        <v>818</v>
      </c>
      <c r="L299" s="61"/>
      <c r="M299" s="56"/>
      <c r="N299" s="61"/>
      <c r="P299" s="64"/>
    </row>
    <row r="300" spans="1:16" x14ac:dyDescent="0.35">
      <c r="A300" s="58">
        <v>2258</v>
      </c>
      <c r="B300" s="61" t="s">
        <v>810</v>
      </c>
      <c r="C300" s="59" t="s">
        <v>819</v>
      </c>
      <c r="D300" s="59" t="s">
        <v>820</v>
      </c>
      <c r="E300" s="58">
        <v>0</v>
      </c>
      <c r="F300" s="58">
        <v>20</v>
      </c>
      <c r="G300" s="58"/>
      <c r="H300" s="60"/>
      <c r="I300" s="61" t="s">
        <v>61</v>
      </c>
      <c r="J300" s="61"/>
      <c r="K300" s="61" t="s">
        <v>820</v>
      </c>
      <c r="L300" s="61"/>
      <c r="M300" s="56"/>
      <c r="N300" s="61"/>
      <c r="P300" s="64"/>
    </row>
    <row r="301" spans="1:16" x14ac:dyDescent="0.35">
      <c r="A301" s="58">
        <v>2259</v>
      </c>
      <c r="B301" s="61" t="s">
        <v>821</v>
      </c>
      <c r="C301" s="59" t="s">
        <v>822</v>
      </c>
      <c r="D301" s="59" t="s">
        <v>823</v>
      </c>
      <c r="E301" s="58">
        <v>0</v>
      </c>
      <c r="F301" s="58">
        <v>3</v>
      </c>
      <c r="G301" s="58"/>
      <c r="H301" s="60"/>
      <c r="I301" s="61" t="s">
        <v>71</v>
      </c>
      <c r="J301" s="61"/>
      <c r="K301" s="61" t="s">
        <v>823</v>
      </c>
      <c r="L301" s="61"/>
      <c r="M301" s="56"/>
      <c r="N301" s="61"/>
      <c r="P301" s="64"/>
    </row>
    <row r="302" spans="1:16" x14ac:dyDescent="0.35">
      <c r="A302" s="58">
        <v>2260</v>
      </c>
      <c r="B302" s="61" t="s">
        <v>821</v>
      </c>
      <c r="C302" s="59" t="s">
        <v>824</v>
      </c>
      <c r="D302" s="59" t="s">
        <v>825</v>
      </c>
      <c r="E302" s="58">
        <v>0</v>
      </c>
      <c r="F302" s="171">
        <v>20</v>
      </c>
      <c r="G302" s="171"/>
      <c r="H302" s="60"/>
      <c r="I302" s="175" t="s">
        <v>71</v>
      </c>
      <c r="J302" s="61"/>
      <c r="K302" s="61" t="s">
        <v>825</v>
      </c>
      <c r="L302" s="61"/>
      <c r="M302" s="56"/>
      <c r="N302" s="61"/>
      <c r="P302" s="64"/>
    </row>
    <row r="303" spans="1:16" x14ac:dyDescent="0.35">
      <c r="A303" s="58">
        <v>2261</v>
      </c>
      <c r="B303" s="61" t="s">
        <v>821</v>
      </c>
      <c r="C303" s="59" t="s">
        <v>826</v>
      </c>
      <c r="D303" s="59" t="s">
        <v>827</v>
      </c>
      <c r="E303" s="58">
        <v>0</v>
      </c>
      <c r="F303" s="58">
        <v>3</v>
      </c>
      <c r="G303" s="58"/>
      <c r="H303" s="60"/>
      <c r="I303" s="61" t="s">
        <v>71</v>
      </c>
      <c r="J303" s="61"/>
      <c r="K303" s="61" t="s">
        <v>827</v>
      </c>
      <c r="L303" s="61"/>
      <c r="M303" s="56"/>
      <c r="N303" s="61"/>
      <c r="P303" s="64"/>
    </row>
    <row r="304" spans="1:16" x14ac:dyDescent="0.35">
      <c r="A304" s="58">
        <v>2262</v>
      </c>
      <c r="B304" s="61" t="s">
        <v>821</v>
      </c>
      <c r="C304" s="59" t="s">
        <v>828</v>
      </c>
      <c r="D304" s="59" t="s">
        <v>829</v>
      </c>
      <c r="E304" s="58">
        <v>0</v>
      </c>
      <c r="F304" s="58">
        <v>17</v>
      </c>
      <c r="G304" s="58"/>
      <c r="H304" s="60"/>
      <c r="I304" s="61" t="s">
        <v>71</v>
      </c>
      <c r="J304" s="61"/>
      <c r="K304" s="61" t="s">
        <v>829</v>
      </c>
      <c r="L304" s="61"/>
      <c r="M304" s="56"/>
      <c r="N304" s="61"/>
      <c r="P304" s="64"/>
    </row>
    <row r="305" spans="1:16" x14ac:dyDescent="0.35">
      <c r="A305" s="58">
        <v>2263</v>
      </c>
      <c r="B305" s="61" t="s">
        <v>821</v>
      </c>
      <c r="C305" s="59" t="s">
        <v>830</v>
      </c>
      <c r="D305" s="59" t="s">
        <v>831</v>
      </c>
      <c r="E305" s="58">
        <v>0</v>
      </c>
      <c r="F305" s="58">
        <v>35</v>
      </c>
      <c r="G305" s="58"/>
      <c r="H305" s="60"/>
      <c r="I305" s="61" t="s">
        <v>56</v>
      </c>
      <c r="J305" s="61"/>
      <c r="K305" s="61" t="s">
        <v>831</v>
      </c>
      <c r="L305" s="61"/>
      <c r="M305" s="56"/>
      <c r="N305" s="61"/>
      <c r="P305" s="64"/>
    </row>
    <row r="306" spans="1:16" x14ac:dyDescent="0.35">
      <c r="A306" s="58">
        <v>2264</v>
      </c>
      <c r="B306" s="61" t="s">
        <v>821</v>
      </c>
      <c r="C306" s="59" t="s">
        <v>832</v>
      </c>
      <c r="D306" s="59" t="s">
        <v>833</v>
      </c>
      <c r="E306" s="58">
        <v>0</v>
      </c>
      <c r="F306" s="58">
        <v>20</v>
      </c>
      <c r="G306" s="58"/>
      <c r="H306" s="60"/>
      <c r="I306" s="61" t="s">
        <v>61</v>
      </c>
      <c r="J306" s="61"/>
      <c r="K306" s="61" t="s">
        <v>833</v>
      </c>
      <c r="L306" s="61"/>
      <c r="M306" s="56"/>
      <c r="N306" s="61"/>
      <c r="P306" s="64"/>
    </row>
    <row r="307" spans="1:16" x14ac:dyDescent="0.35">
      <c r="A307" s="58">
        <v>2265</v>
      </c>
      <c r="B307" s="61" t="s">
        <v>834</v>
      </c>
      <c r="C307" s="59" t="s">
        <v>835</v>
      </c>
      <c r="D307" s="59" t="s">
        <v>836</v>
      </c>
      <c r="E307" s="58">
        <v>0</v>
      </c>
      <c r="F307" s="58">
        <v>3</v>
      </c>
      <c r="G307" s="58"/>
      <c r="H307" s="60"/>
      <c r="I307" s="61" t="s">
        <v>71</v>
      </c>
      <c r="J307" s="61"/>
      <c r="K307" s="61" t="s">
        <v>836</v>
      </c>
      <c r="L307" s="61"/>
      <c r="M307" s="56"/>
      <c r="N307" s="61"/>
      <c r="P307" s="64"/>
    </row>
    <row r="308" spans="1:16" x14ac:dyDescent="0.35">
      <c r="A308" s="58">
        <v>2266</v>
      </c>
      <c r="B308" s="61" t="s">
        <v>834</v>
      </c>
      <c r="C308" s="59" t="s">
        <v>837</v>
      </c>
      <c r="D308" s="59" t="s">
        <v>838</v>
      </c>
      <c r="E308" s="58">
        <v>0</v>
      </c>
      <c r="F308" s="171">
        <v>20</v>
      </c>
      <c r="G308" s="171"/>
      <c r="H308" s="60"/>
      <c r="I308" s="175" t="s">
        <v>71</v>
      </c>
      <c r="J308" s="61"/>
      <c r="K308" s="61" t="s">
        <v>838</v>
      </c>
      <c r="L308" s="61"/>
      <c r="M308" s="56"/>
      <c r="N308" s="61"/>
      <c r="P308" s="64"/>
    </row>
    <row r="309" spans="1:16" x14ac:dyDescent="0.35">
      <c r="A309" s="58">
        <v>2267</v>
      </c>
      <c r="B309" s="61" t="s">
        <v>834</v>
      </c>
      <c r="C309" s="59" t="s">
        <v>839</v>
      </c>
      <c r="D309" s="59" t="s">
        <v>840</v>
      </c>
      <c r="E309" s="58">
        <v>0</v>
      </c>
      <c r="F309" s="58">
        <v>3</v>
      </c>
      <c r="G309" s="58"/>
      <c r="H309" s="60"/>
      <c r="I309" s="61" t="s">
        <v>841</v>
      </c>
      <c r="J309" s="61"/>
      <c r="K309" s="61" t="s">
        <v>840</v>
      </c>
      <c r="L309" s="61"/>
      <c r="M309" s="56"/>
      <c r="N309" s="61"/>
      <c r="P309" s="64"/>
    </row>
    <row r="310" spans="1:16" x14ac:dyDescent="0.35">
      <c r="A310" s="58">
        <v>2268</v>
      </c>
      <c r="B310" s="61" t="s">
        <v>834</v>
      </c>
      <c r="C310" s="59" t="s">
        <v>842</v>
      </c>
      <c r="D310" s="59" t="s">
        <v>843</v>
      </c>
      <c r="E310" s="58">
        <v>0</v>
      </c>
      <c r="F310" s="58">
        <v>17</v>
      </c>
      <c r="G310" s="58"/>
      <c r="H310" s="60"/>
      <c r="I310" s="61" t="s">
        <v>71</v>
      </c>
      <c r="J310" s="61"/>
      <c r="K310" s="61" t="s">
        <v>843</v>
      </c>
      <c r="L310" s="61"/>
      <c r="M310" s="56"/>
      <c r="N310" s="61"/>
      <c r="P310" s="64"/>
    </row>
    <row r="311" spans="1:16" x14ac:dyDescent="0.35">
      <c r="A311" s="58">
        <v>2269</v>
      </c>
      <c r="B311" s="61" t="s">
        <v>834</v>
      </c>
      <c r="C311" s="59" t="s">
        <v>844</v>
      </c>
      <c r="D311" s="59" t="s">
        <v>845</v>
      </c>
      <c r="E311" s="58">
        <v>0</v>
      </c>
      <c r="F311" s="58">
        <v>35</v>
      </c>
      <c r="G311" s="58"/>
      <c r="H311" s="60"/>
      <c r="I311" s="61" t="s">
        <v>56</v>
      </c>
      <c r="J311" s="61"/>
      <c r="K311" s="61" t="s">
        <v>845</v>
      </c>
      <c r="L311" s="61"/>
      <c r="M311" s="56"/>
      <c r="N311" s="61"/>
      <c r="P311" s="64"/>
    </row>
    <row r="312" spans="1:16" x14ac:dyDescent="0.35">
      <c r="A312" s="58">
        <v>2270</v>
      </c>
      <c r="B312" s="61" t="s">
        <v>834</v>
      </c>
      <c r="C312" s="59" t="s">
        <v>846</v>
      </c>
      <c r="D312" s="59" t="s">
        <v>847</v>
      </c>
      <c r="E312" s="58">
        <v>0</v>
      </c>
      <c r="F312" s="58">
        <v>20</v>
      </c>
      <c r="G312" s="58"/>
      <c r="H312" s="60"/>
      <c r="I312" s="61" t="s">
        <v>61</v>
      </c>
      <c r="J312" s="61"/>
      <c r="K312" s="61" t="s">
        <v>847</v>
      </c>
      <c r="L312" s="61"/>
      <c r="M312" s="56"/>
      <c r="N312" s="61"/>
      <c r="P312" s="64"/>
    </row>
    <row r="313" spans="1:16" x14ac:dyDescent="0.35">
      <c r="A313" s="58">
        <v>2271</v>
      </c>
      <c r="B313" s="61" t="s">
        <v>848</v>
      </c>
      <c r="C313" s="59" t="s">
        <v>849</v>
      </c>
      <c r="D313" s="59" t="s">
        <v>850</v>
      </c>
      <c r="E313" s="58">
        <v>0</v>
      </c>
      <c r="F313" s="58">
        <v>60</v>
      </c>
      <c r="G313" s="58"/>
      <c r="H313" s="60"/>
      <c r="I313" s="61" t="s">
        <v>420</v>
      </c>
      <c r="J313" s="61"/>
      <c r="K313" s="61" t="s">
        <v>850</v>
      </c>
      <c r="L313" s="61"/>
      <c r="M313" s="56"/>
      <c r="N313" s="61"/>
      <c r="P313" s="64"/>
    </row>
    <row r="314" spans="1:16" x14ac:dyDescent="0.35">
      <c r="A314" s="58">
        <v>2272</v>
      </c>
      <c r="B314" s="61" t="s">
        <v>848</v>
      </c>
      <c r="C314" s="59" t="s">
        <v>851</v>
      </c>
      <c r="D314" s="59" t="s">
        <v>852</v>
      </c>
      <c r="E314" s="58">
        <v>0</v>
      </c>
      <c r="F314" s="58">
        <v>60</v>
      </c>
      <c r="G314" s="58"/>
      <c r="H314" s="60"/>
      <c r="I314" s="61" t="s">
        <v>420</v>
      </c>
      <c r="J314" s="61"/>
      <c r="K314" s="61" t="s">
        <v>852</v>
      </c>
      <c r="L314" s="61"/>
      <c r="M314" s="56"/>
      <c r="N314" s="61"/>
      <c r="P314" s="64"/>
    </row>
    <row r="315" spans="1:16" x14ac:dyDescent="0.35">
      <c r="A315" s="58">
        <v>2273</v>
      </c>
      <c r="B315" s="61" t="s">
        <v>848</v>
      </c>
      <c r="C315" s="59" t="s">
        <v>853</v>
      </c>
      <c r="D315" s="59" t="s">
        <v>854</v>
      </c>
      <c r="E315" s="58">
        <v>0</v>
      </c>
      <c r="F315" s="58">
        <v>60</v>
      </c>
      <c r="G315" s="58"/>
      <c r="H315" s="60"/>
      <c r="I315" s="61" t="s">
        <v>420</v>
      </c>
      <c r="J315" s="61"/>
      <c r="K315" s="61" t="s">
        <v>854</v>
      </c>
      <c r="L315" s="61"/>
      <c r="M315" s="56"/>
      <c r="N315" s="61"/>
      <c r="P315" s="64"/>
    </row>
    <row r="316" spans="1:16" x14ac:dyDescent="0.35">
      <c r="A316" s="58">
        <v>2274</v>
      </c>
      <c r="B316" s="61" t="s">
        <v>848</v>
      </c>
      <c r="C316" s="59" t="s">
        <v>855</v>
      </c>
      <c r="D316" s="59" t="s">
        <v>856</v>
      </c>
      <c r="E316" s="58">
        <v>0</v>
      </c>
      <c r="F316" s="58">
        <v>60</v>
      </c>
      <c r="G316" s="58"/>
      <c r="H316" s="60"/>
      <c r="I316" s="61" t="s">
        <v>420</v>
      </c>
      <c r="J316" s="61"/>
      <c r="K316" s="61" t="s">
        <v>856</v>
      </c>
      <c r="L316" s="61"/>
      <c r="M316" s="56"/>
      <c r="N316" s="61"/>
      <c r="P316" s="64"/>
    </row>
    <row r="317" spans="1:16" ht="58" x14ac:dyDescent="0.35">
      <c r="A317" s="58">
        <v>2275</v>
      </c>
      <c r="B317" s="61" t="s">
        <v>857</v>
      </c>
      <c r="C317" s="59" t="s">
        <v>858</v>
      </c>
      <c r="D317" s="59" t="s">
        <v>859</v>
      </c>
      <c r="E317" s="58">
        <v>0</v>
      </c>
      <c r="F317" s="58">
        <v>2</v>
      </c>
      <c r="G317" s="58"/>
      <c r="H317" s="60"/>
      <c r="I317" s="61" t="s">
        <v>71</v>
      </c>
      <c r="J317" s="61" t="s">
        <v>860</v>
      </c>
      <c r="K317" s="61" t="s">
        <v>859</v>
      </c>
      <c r="L317" s="61"/>
      <c r="M317" s="56"/>
      <c r="N317" s="61"/>
      <c r="P317" s="64"/>
    </row>
    <row r="318" spans="1:16" x14ac:dyDescent="0.35">
      <c r="A318" s="58">
        <v>2276</v>
      </c>
      <c r="B318" s="61" t="s">
        <v>857</v>
      </c>
      <c r="C318" s="59" t="s">
        <v>861</v>
      </c>
      <c r="D318" s="59" t="s">
        <v>862</v>
      </c>
      <c r="E318" s="58">
        <v>0</v>
      </c>
      <c r="F318" s="58">
        <v>30</v>
      </c>
      <c r="G318" s="58"/>
      <c r="H318" s="60"/>
      <c r="I318" s="61" t="s">
        <v>71</v>
      </c>
      <c r="J318" s="61"/>
      <c r="K318" s="61" t="s">
        <v>862</v>
      </c>
      <c r="L318" s="61"/>
      <c r="M318" s="56"/>
      <c r="N318" s="61"/>
      <c r="P318" s="64"/>
    </row>
    <row r="319" spans="1:16" x14ac:dyDescent="0.35">
      <c r="A319" s="58">
        <v>2277</v>
      </c>
      <c r="B319" s="61" t="s">
        <v>857</v>
      </c>
      <c r="C319" s="59" t="s">
        <v>863</v>
      </c>
      <c r="D319" s="59" t="s">
        <v>864</v>
      </c>
      <c r="E319" s="58">
        <v>0</v>
      </c>
      <c r="F319" s="58">
        <v>30</v>
      </c>
      <c r="G319" s="58"/>
      <c r="H319" s="60"/>
      <c r="I319" s="61" t="s">
        <v>71</v>
      </c>
      <c r="J319" s="61"/>
      <c r="K319" s="61" t="s">
        <v>864</v>
      </c>
      <c r="L319" s="61"/>
      <c r="M319" s="56"/>
      <c r="N319" s="61"/>
      <c r="P319" s="64"/>
    </row>
    <row r="320" spans="1:16" ht="58" x14ac:dyDescent="0.35">
      <c r="A320" s="58">
        <v>2278</v>
      </c>
      <c r="B320" s="61" t="s">
        <v>865</v>
      </c>
      <c r="C320" s="59" t="s">
        <v>866</v>
      </c>
      <c r="D320" s="59" t="s">
        <v>867</v>
      </c>
      <c r="E320" s="58">
        <v>0</v>
      </c>
      <c r="F320" s="58">
        <v>2</v>
      </c>
      <c r="G320" s="58"/>
      <c r="H320" s="60"/>
      <c r="I320" s="61" t="s">
        <v>71</v>
      </c>
      <c r="J320" s="61" t="s">
        <v>860</v>
      </c>
      <c r="K320" s="61" t="s">
        <v>867</v>
      </c>
      <c r="L320" s="61"/>
      <c r="M320" s="56"/>
      <c r="N320" s="61"/>
      <c r="P320" s="64"/>
    </row>
    <row r="321" spans="1:16" x14ac:dyDescent="0.35">
      <c r="A321" s="58">
        <v>2279</v>
      </c>
      <c r="B321" s="61" t="s">
        <v>865</v>
      </c>
      <c r="C321" s="59" t="s">
        <v>868</v>
      </c>
      <c r="D321" s="59" t="s">
        <v>869</v>
      </c>
      <c r="E321" s="58">
        <v>0</v>
      </c>
      <c r="F321" s="58">
        <v>30</v>
      </c>
      <c r="G321" s="58"/>
      <c r="H321" s="60"/>
      <c r="I321" s="61" t="s">
        <v>71</v>
      </c>
      <c r="J321" s="61"/>
      <c r="K321" s="61" t="s">
        <v>869</v>
      </c>
      <c r="L321" s="61"/>
      <c r="M321" s="56"/>
      <c r="N321" s="61"/>
      <c r="P321" s="64"/>
    </row>
    <row r="322" spans="1:16" x14ac:dyDescent="0.35">
      <c r="A322" s="58">
        <v>2280</v>
      </c>
      <c r="B322" s="61" t="s">
        <v>865</v>
      </c>
      <c r="C322" s="59" t="s">
        <v>870</v>
      </c>
      <c r="D322" s="59" t="s">
        <v>871</v>
      </c>
      <c r="E322" s="58">
        <v>0</v>
      </c>
      <c r="F322" s="58">
        <v>30</v>
      </c>
      <c r="G322" s="58"/>
      <c r="H322" s="60"/>
      <c r="I322" s="61" t="s">
        <v>71</v>
      </c>
      <c r="J322" s="61"/>
      <c r="K322" s="61" t="s">
        <v>871</v>
      </c>
      <c r="L322" s="61"/>
      <c r="M322" s="56"/>
      <c r="N322" s="61"/>
      <c r="P322" s="64"/>
    </row>
    <row r="323" spans="1:16" ht="58" x14ac:dyDescent="0.35">
      <c r="A323" s="58">
        <v>2281</v>
      </c>
      <c r="B323" s="61" t="s">
        <v>872</v>
      </c>
      <c r="C323" s="59" t="s">
        <v>873</v>
      </c>
      <c r="D323" s="59" t="s">
        <v>874</v>
      </c>
      <c r="E323" s="58">
        <v>0</v>
      </c>
      <c r="F323" s="58">
        <v>2</v>
      </c>
      <c r="G323" s="58"/>
      <c r="H323" s="60"/>
      <c r="I323" s="61" t="s">
        <v>71</v>
      </c>
      <c r="J323" s="61" t="s">
        <v>860</v>
      </c>
      <c r="K323" s="61" t="s">
        <v>874</v>
      </c>
      <c r="L323" s="61"/>
      <c r="M323" s="56"/>
      <c r="N323" s="61"/>
      <c r="P323" s="64"/>
    </row>
    <row r="324" spans="1:16" x14ac:dyDescent="0.35">
      <c r="A324" s="58">
        <v>2282</v>
      </c>
      <c r="B324" s="61" t="s">
        <v>872</v>
      </c>
      <c r="C324" s="59" t="s">
        <v>875</v>
      </c>
      <c r="D324" s="59" t="s">
        <v>876</v>
      </c>
      <c r="E324" s="58">
        <v>0</v>
      </c>
      <c r="F324" s="58">
        <v>30</v>
      </c>
      <c r="G324" s="58"/>
      <c r="H324" s="60"/>
      <c r="I324" s="61" t="s">
        <v>71</v>
      </c>
      <c r="J324" s="61"/>
      <c r="K324" s="61" t="s">
        <v>876</v>
      </c>
      <c r="L324" s="61"/>
      <c r="M324" s="56"/>
      <c r="N324" s="61"/>
      <c r="P324" s="64"/>
    </row>
    <row r="325" spans="1:16" x14ac:dyDescent="0.35">
      <c r="A325" s="58">
        <v>2283</v>
      </c>
      <c r="B325" s="61" t="s">
        <v>872</v>
      </c>
      <c r="C325" s="59" t="s">
        <v>877</v>
      </c>
      <c r="D325" s="59" t="s">
        <v>878</v>
      </c>
      <c r="E325" s="58">
        <v>0</v>
      </c>
      <c r="F325" s="58">
        <v>30</v>
      </c>
      <c r="G325" s="58"/>
      <c r="H325" s="60"/>
      <c r="I325" s="61" t="s">
        <v>71</v>
      </c>
      <c r="J325" s="61"/>
      <c r="K325" s="61" t="s">
        <v>878</v>
      </c>
      <c r="L325" s="61"/>
      <c r="M325" s="56"/>
      <c r="N325" s="61"/>
      <c r="P325" s="64"/>
    </row>
    <row r="326" spans="1:16" ht="58" x14ac:dyDescent="0.35">
      <c r="A326" s="58">
        <v>2284</v>
      </c>
      <c r="B326" s="61" t="s">
        <v>879</v>
      </c>
      <c r="C326" s="59" t="s">
        <v>880</v>
      </c>
      <c r="D326" s="59" t="s">
        <v>881</v>
      </c>
      <c r="E326" s="58">
        <v>0</v>
      </c>
      <c r="F326" s="58">
        <v>2</v>
      </c>
      <c r="G326" s="58"/>
      <c r="H326" s="60"/>
      <c r="I326" s="61" t="s">
        <v>71</v>
      </c>
      <c r="J326" s="61" t="s">
        <v>860</v>
      </c>
      <c r="K326" s="61" t="s">
        <v>881</v>
      </c>
      <c r="L326" s="61"/>
      <c r="M326" s="56"/>
      <c r="N326" s="61"/>
      <c r="P326" s="64"/>
    </row>
    <row r="327" spans="1:16" x14ac:dyDescent="0.35">
      <c r="A327" s="58">
        <v>2285</v>
      </c>
      <c r="B327" s="61" t="s">
        <v>879</v>
      </c>
      <c r="C327" s="59" t="s">
        <v>882</v>
      </c>
      <c r="D327" s="59" t="s">
        <v>883</v>
      </c>
      <c r="E327" s="58">
        <v>0</v>
      </c>
      <c r="F327" s="58">
        <v>30</v>
      </c>
      <c r="G327" s="58"/>
      <c r="H327" s="60"/>
      <c r="I327" s="61" t="s">
        <v>71</v>
      </c>
      <c r="J327" s="61"/>
      <c r="K327" s="61" t="s">
        <v>883</v>
      </c>
      <c r="L327" s="61"/>
      <c r="M327" s="56"/>
      <c r="N327" s="61"/>
      <c r="P327" s="64"/>
    </row>
    <row r="328" spans="1:16" x14ac:dyDescent="0.35">
      <c r="A328" s="58">
        <v>2286</v>
      </c>
      <c r="B328" s="61" t="s">
        <v>879</v>
      </c>
      <c r="C328" s="59" t="s">
        <v>884</v>
      </c>
      <c r="D328" s="59" t="s">
        <v>885</v>
      </c>
      <c r="E328" s="58">
        <v>0</v>
      </c>
      <c r="F328" s="58">
        <v>30</v>
      </c>
      <c r="G328" s="58"/>
      <c r="H328" s="60"/>
      <c r="I328" s="61" t="s">
        <v>71</v>
      </c>
      <c r="J328" s="61"/>
      <c r="K328" s="61" t="s">
        <v>885</v>
      </c>
      <c r="L328" s="61"/>
      <c r="M328" s="56"/>
      <c r="N328" s="61"/>
      <c r="P328" s="64"/>
    </row>
    <row r="329" spans="1:16" x14ac:dyDescent="0.35">
      <c r="A329" s="58">
        <v>2309</v>
      </c>
      <c r="B329" s="61" t="s">
        <v>886</v>
      </c>
      <c r="C329" s="59" t="s">
        <v>887</v>
      </c>
      <c r="D329" s="59" t="s">
        <v>888</v>
      </c>
      <c r="E329" s="58">
        <v>0</v>
      </c>
      <c r="F329" s="58">
        <v>20</v>
      </c>
      <c r="G329" s="58"/>
      <c r="H329" s="60"/>
      <c r="I329" s="61"/>
      <c r="J329" s="61"/>
      <c r="K329" s="61" t="s">
        <v>888</v>
      </c>
      <c r="L329" s="61"/>
      <c r="M329" s="56"/>
      <c r="N329" s="61"/>
      <c r="P329" s="64"/>
    </row>
    <row r="330" spans="1:16" x14ac:dyDescent="0.35">
      <c r="A330" s="171">
        <v>2310</v>
      </c>
      <c r="B330" s="175" t="s">
        <v>889</v>
      </c>
      <c r="C330" s="172" t="s">
        <v>890</v>
      </c>
      <c r="D330" s="172" t="s">
        <v>891</v>
      </c>
      <c r="E330" s="171">
        <v>0</v>
      </c>
      <c r="F330" s="171">
        <v>10</v>
      </c>
      <c r="G330" s="171"/>
      <c r="H330" s="174"/>
      <c r="I330" s="175"/>
      <c r="J330" s="175"/>
      <c r="K330" s="175" t="s">
        <v>891</v>
      </c>
      <c r="L330" s="175"/>
      <c r="M330" s="300" t="s">
        <v>892</v>
      </c>
      <c r="N330" s="175"/>
      <c r="P330" s="299"/>
    </row>
    <row r="331" spans="1:16" ht="4" customHeight="1" x14ac:dyDescent="0.35">
      <c r="A331" s="301"/>
      <c r="B331" s="302"/>
      <c r="C331" s="303"/>
      <c r="D331" s="303"/>
      <c r="E331" s="301"/>
      <c r="F331" s="301"/>
      <c r="G331" s="301"/>
      <c r="H331" s="304"/>
      <c r="I331" s="302"/>
      <c r="J331" s="302"/>
      <c r="K331" s="302"/>
      <c r="L331" s="302"/>
      <c r="M331" s="305"/>
      <c r="N331" s="302"/>
      <c r="P331" s="306"/>
    </row>
    <row r="332" spans="1:16" s="4" customFormat="1" ht="29" x14ac:dyDescent="0.35">
      <c r="A332" s="313">
        <v>2601</v>
      </c>
      <c r="B332" s="314" t="s">
        <v>893</v>
      </c>
      <c r="C332" s="315" t="s">
        <v>614</v>
      </c>
      <c r="D332" s="316" t="s">
        <v>894</v>
      </c>
      <c r="E332" s="313">
        <v>1</v>
      </c>
      <c r="F332" s="313">
        <v>7</v>
      </c>
      <c r="G332" s="313" t="s">
        <v>895</v>
      </c>
      <c r="H332" s="315"/>
      <c r="I332" s="314" t="s">
        <v>71</v>
      </c>
      <c r="J332" s="314"/>
      <c r="K332" s="316" t="s">
        <v>894</v>
      </c>
      <c r="L332" s="316"/>
      <c r="M332" s="315"/>
      <c r="N332" s="314"/>
      <c r="P332" s="74" t="str">
        <f>CONCATENATE("INSERT INTO TransformationEngine_Field (FieldName, FieldDescription, SourceFieldName, DetailField, Length, SourceRecType, Required, OutputFieldName, AllowedChars, AllowedValues, FieldParameters) VALUES ('", B332, "', '", C332, "', '", D332, "',", E332, ", ", F332, ", '", G332, "', 0, '", K332, "', '", I332, "', '", J332, "', '", N332, "')")</f>
        <v>INSERT INTO TransformationEngine_Field (FieldName, FieldDescription, SourceFieldName, DetailField, Length, SourceRecType, Required, OutputFieldName, AllowedChars, AllowedValues, FieldParameters) VALUES ('UB Box 67 Multi-page', 'Principal Diag Code', 'DiagCode',1, 7, 'PageFields', 0, 'DiagCode', 'A-Z,0-9', '', '')</v>
      </c>
    </row>
    <row r="333" spans="1:16" s="4" customFormat="1" ht="29" x14ac:dyDescent="0.35">
      <c r="A333" s="313">
        <v>2602</v>
      </c>
      <c r="B333" s="314" t="s">
        <v>893</v>
      </c>
      <c r="C333" s="315" t="s">
        <v>616</v>
      </c>
      <c r="D333" s="316" t="s">
        <v>896</v>
      </c>
      <c r="E333" s="313">
        <v>1</v>
      </c>
      <c r="F333" s="313">
        <v>1</v>
      </c>
      <c r="G333" s="313" t="s">
        <v>895</v>
      </c>
      <c r="H333" s="315"/>
      <c r="I333" s="314" t="s">
        <v>618</v>
      </c>
      <c r="J333" s="314" t="s">
        <v>618</v>
      </c>
      <c r="K333" s="316" t="s">
        <v>897</v>
      </c>
      <c r="L333" s="316"/>
      <c r="M333" s="315"/>
      <c r="N333" s="314"/>
      <c r="P333" s="74" t="str">
        <f t="shared" ref="P333:P383" si="0">CONCATENATE("INSERT INTO TransformationEngine_Field (FieldName, FieldDescription, SourceFieldName, DetailField, Length, SourceRecType, Required, OutputFieldName, AllowedChars, AllowedValues, FieldParameters) VALUES ('", B333, "', '", C333, "', '", D333, "',", E333, ", ", F333, ", '", G333, "', 0, '", K333, "', '", I333, "', '", J333, "', '", N333, "')")</f>
        <v>INSERT INTO TransformationEngine_Field (FieldName, FieldDescription, SourceFieldName, DetailField, Length, SourceRecType, Required, OutputFieldName, AllowedChars, AllowedValues, FieldParameters) VALUES ('UB Box 67 Multi-page', 'Principal Diag Code POA', 'DiagPOA',1, 1, 'PageFields', 0, 'DiagCodePOA', 'Y,N,U,W,1', 'Y,N,U,W,1', '')</v>
      </c>
    </row>
    <row r="334" spans="1:16" s="4" customFormat="1" ht="29" x14ac:dyDescent="0.35">
      <c r="A334" s="313">
        <v>2603</v>
      </c>
      <c r="B334" s="314" t="s">
        <v>898</v>
      </c>
      <c r="C334" s="315" t="s">
        <v>620</v>
      </c>
      <c r="D334" s="316" t="s">
        <v>899</v>
      </c>
      <c r="E334" s="313">
        <v>1</v>
      </c>
      <c r="F334" s="313">
        <v>7</v>
      </c>
      <c r="G334" s="313" t="s">
        <v>895</v>
      </c>
      <c r="H334" s="315"/>
      <c r="I334" s="314" t="s">
        <v>71</v>
      </c>
      <c r="J334" s="314"/>
      <c r="K334" s="316" t="s">
        <v>899</v>
      </c>
      <c r="L334" s="316"/>
      <c r="M334" s="315"/>
      <c r="N334" s="314"/>
      <c r="P334" s="74" t="str">
        <f t="shared" si="0"/>
        <v>INSERT INTO TransformationEngine_Field (FieldName, FieldDescription, SourceFieldName, DetailField, Length, SourceRecType, Required, OutputFieldName, AllowedChars, AllowedValues, FieldParameters) VALUES ('UB Box 67 A Multi-page', 'Other DX Codes A', 'DiagCodeA',1, 7, 'PageFields', 0, 'DiagCodeA', 'A-Z,0-9', '', '')</v>
      </c>
    </row>
    <row r="335" spans="1:16" ht="29" x14ac:dyDescent="0.35">
      <c r="A335" s="313">
        <v>2604</v>
      </c>
      <c r="B335" s="314" t="s">
        <v>898</v>
      </c>
      <c r="C335" s="315" t="s">
        <v>622</v>
      </c>
      <c r="D335" s="316" t="s">
        <v>900</v>
      </c>
      <c r="E335" s="313">
        <v>1</v>
      </c>
      <c r="F335" s="313">
        <v>1</v>
      </c>
      <c r="G335" s="313" t="s">
        <v>895</v>
      </c>
      <c r="H335" s="317"/>
      <c r="I335" s="314" t="s">
        <v>618</v>
      </c>
      <c r="J335" s="314" t="s">
        <v>618</v>
      </c>
      <c r="K335" s="316" t="s">
        <v>901</v>
      </c>
      <c r="L335" s="316"/>
      <c r="M335" s="318"/>
      <c r="N335" s="314"/>
      <c r="P335" s="74" t="str">
        <f t="shared" si="0"/>
        <v>INSERT INTO TransformationEngine_Field (FieldName, FieldDescription, SourceFieldName, DetailField, Length, SourceRecType, Required, OutputFieldName, AllowedChars, AllowedValues, FieldParameters) VALUES ('UB Box 67 A Multi-page', 'Other DX Codes POA A', 'DiagPOAA',1, 1, 'PageFields', 0, 'DiagCodeAPOA', 'Y,N,U,W,1', 'Y,N,U,W,1', '')</v>
      </c>
    </row>
    <row r="336" spans="1:16" s="4" customFormat="1" ht="29" x14ac:dyDescent="0.35">
      <c r="A336" s="313">
        <v>2605</v>
      </c>
      <c r="B336" s="314" t="s">
        <v>902</v>
      </c>
      <c r="C336" s="314" t="s">
        <v>625</v>
      </c>
      <c r="D336" s="316" t="s">
        <v>903</v>
      </c>
      <c r="E336" s="313">
        <v>1</v>
      </c>
      <c r="F336" s="313">
        <v>7</v>
      </c>
      <c r="G336" s="313" t="s">
        <v>895</v>
      </c>
      <c r="H336" s="315"/>
      <c r="I336" s="314" t="s">
        <v>71</v>
      </c>
      <c r="J336" s="314"/>
      <c r="K336" s="316" t="s">
        <v>903</v>
      </c>
      <c r="L336" s="316"/>
      <c r="M336" s="315"/>
      <c r="N336" s="314"/>
      <c r="P336" s="74" t="str">
        <f t="shared" si="0"/>
        <v>INSERT INTO TransformationEngine_Field (FieldName, FieldDescription, SourceFieldName, DetailField, Length, SourceRecType, Required, OutputFieldName, AllowedChars, AllowedValues, FieldParameters) VALUES ('UB Box 67 B Multi-page', 'Other DX Codes B', 'DiagCodeB',1, 7, 'PageFields', 0, 'DiagCodeB', 'A-Z,0-9', '', '')</v>
      </c>
    </row>
    <row r="337" spans="1:16" s="4" customFormat="1" ht="29" x14ac:dyDescent="0.35">
      <c r="A337" s="313">
        <v>2606</v>
      </c>
      <c r="B337" s="314" t="s">
        <v>902</v>
      </c>
      <c r="C337" s="314" t="s">
        <v>627</v>
      </c>
      <c r="D337" s="316" t="s">
        <v>904</v>
      </c>
      <c r="E337" s="313">
        <v>1</v>
      </c>
      <c r="F337" s="313">
        <v>1</v>
      </c>
      <c r="G337" s="313" t="s">
        <v>895</v>
      </c>
      <c r="H337" s="315"/>
      <c r="I337" s="314" t="s">
        <v>618</v>
      </c>
      <c r="J337" s="314" t="s">
        <v>618</v>
      </c>
      <c r="K337" s="316" t="s">
        <v>905</v>
      </c>
      <c r="L337" s="316"/>
      <c r="M337" s="315"/>
      <c r="N337" s="314"/>
      <c r="P337" s="74" t="str">
        <f t="shared" si="0"/>
        <v>INSERT INTO TransformationEngine_Field (FieldName, FieldDescription, SourceFieldName, DetailField, Length, SourceRecType, Required, OutputFieldName, AllowedChars, AllowedValues, FieldParameters) VALUES ('UB Box 67 B Multi-page', 'Other DX Codes POA B', 'DiagPOAB',1, 1, 'PageFields', 0, 'DiagCodeBPOA', 'Y,N,U,W,1', 'Y,N,U,W,1', '')</v>
      </c>
    </row>
    <row r="338" spans="1:16" s="4" customFormat="1" ht="29" x14ac:dyDescent="0.35">
      <c r="A338" s="313">
        <v>2607</v>
      </c>
      <c r="B338" s="314" t="s">
        <v>906</v>
      </c>
      <c r="C338" s="314" t="s">
        <v>630</v>
      </c>
      <c r="D338" s="316" t="s">
        <v>907</v>
      </c>
      <c r="E338" s="313">
        <v>1</v>
      </c>
      <c r="F338" s="313">
        <v>7</v>
      </c>
      <c r="G338" s="313" t="s">
        <v>895</v>
      </c>
      <c r="H338" s="315"/>
      <c r="I338" s="314" t="s">
        <v>71</v>
      </c>
      <c r="J338" s="314"/>
      <c r="K338" s="316" t="s">
        <v>907</v>
      </c>
      <c r="L338" s="316"/>
      <c r="M338" s="315"/>
      <c r="N338" s="314"/>
      <c r="P338" s="74" t="str">
        <f t="shared" si="0"/>
        <v>INSERT INTO TransformationEngine_Field (FieldName, FieldDescription, SourceFieldName, DetailField, Length, SourceRecType, Required, OutputFieldName, AllowedChars, AllowedValues, FieldParameters) VALUES ('UB Box 67 C Multi-page', 'Other DX Codes C', 'DiagCodeC',1, 7, 'PageFields', 0, 'DiagCodeC', 'A-Z,0-9', '', '')</v>
      </c>
    </row>
    <row r="339" spans="1:16" s="4" customFormat="1" ht="29" x14ac:dyDescent="0.35">
      <c r="A339" s="313">
        <v>2608</v>
      </c>
      <c r="B339" s="314" t="s">
        <v>906</v>
      </c>
      <c r="C339" s="314" t="s">
        <v>632</v>
      </c>
      <c r="D339" s="316" t="s">
        <v>908</v>
      </c>
      <c r="E339" s="313">
        <v>1</v>
      </c>
      <c r="F339" s="313">
        <v>1</v>
      </c>
      <c r="G339" s="313" t="s">
        <v>895</v>
      </c>
      <c r="H339" s="315"/>
      <c r="I339" s="314" t="s">
        <v>618</v>
      </c>
      <c r="J339" s="314" t="s">
        <v>618</v>
      </c>
      <c r="K339" s="316" t="s">
        <v>909</v>
      </c>
      <c r="L339" s="316"/>
      <c r="M339" s="315"/>
      <c r="N339" s="314"/>
      <c r="P339" s="74" t="str">
        <f t="shared" si="0"/>
        <v>INSERT INTO TransformationEngine_Field (FieldName, FieldDescription, SourceFieldName, DetailField, Length, SourceRecType, Required, OutputFieldName, AllowedChars, AllowedValues, FieldParameters) VALUES ('UB Box 67 C Multi-page', 'Other DX Codes POA C', 'DiagPOAC',1, 1, 'PageFields', 0, 'DiagCodeCPOA', 'Y,N,U,W,1', 'Y,N,U,W,1', '')</v>
      </c>
    </row>
    <row r="340" spans="1:16" s="4" customFormat="1" ht="29" x14ac:dyDescent="0.35">
      <c r="A340" s="313">
        <v>2609</v>
      </c>
      <c r="B340" s="314" t="s">
        <v>910</v>
      </c>
      <c r="C340" s="314" t="s">
        <v>635</v>
      </c>
      <c r="D340" s="316" t="s">
        <v>911</v>
      </c>
      <c r="E340" s="313">
        <v>1</v>
      </c>
      <c r="F340" s="313">
        <v>7</v>
      </c>
      <c r="G340" s="313" t="s">
        <v>895</v>
      </c>
      <c r="H340" s="315"/>
      <c r="I340" s="314" t="s">
        <v>71</v>
      </c>
      <c r="J340" s="314"/>
      <c r="K340" s="316" t="s">
        <v>911</v>
      </c>
      <c r="L340" s="316"/>
      <c r="M340" s="315"/>
      <c r="N340" s="314"/>
      <c r="P340" s="74" t="str">
        <f t="shared" si="0"/>
        <v>INSERT INTO TransformationEngine_Field (FieldName, FieldDescription, SourceFieldName, DetailField, Length, SourceRecType, Required, OutputFieldName, AllowedChars, AllowedValues, FieldParameters) VALUES ('UB Box 67 D Multi-page', 'Other DX Codes D', 'DiagCodeD',1, 7, 'PageFields', 0, 'DiagCodeD', 'A-Z,0-9', '', '')</v>
      </c>
    </row>
    <row r="341" spans="1:16" s="4" customFormat="1" ht="29" x14ac:dyDescent="0.35">
      <c r="A341" s="313">
        <v>2610</v>
      </c>
      <c r="B341" s="314" t="s">
        <v>910</v>
      </c>
      <c r="C341" s="314" t="s">
        <v>637</v>
      </c>
      <c r="D341" s="316" t="s">
        <v>912</v>
      </c>
      <c r="E341" s="313">
        <v>1</v>
      </c>
      <c r="F341" s="313">
        <v>1</v>
      </c>
      <c r="G341" s="313" t="s">
        <v>895</v>
      </c>
      <c r="H341" s="315"/>
      <c r="I341" s="314" t="s">
        <v>618</v>
      </c>
      <c r="J341" s="314" t="s">
        <v>618</v>
      </c>
      <c r="K341" s="316" t="s">
        <v>913</v>
      </c>
      <c r="L341" s="316"/>
      <c r="M341" s="315"/>
      <c r="N341" s="314"/>
      <c r="P341" s="74" t="str">
        <f t="shared" si="0"/>
        <v>INSERT INTO TransformationEngine_Field (FieldName, FieldDescription, SourceFieldName, DetailField, Length, SourceRecType, Required, OutputFieldName, AllowedChars, AllowedValues, FieldParameters) VALUES ('UB Box 67 D Multi-page', 'Other DX Codes POA D', 'DiagPOAD',1, 1, 'PageFields', 0, 'DiagCodeDPOA', 'Y,N,U,W,1', 'Y,N,U,W,1', '')</v>
      </c>
    </row>
    <row r="342" spans="1:16" ht="29" x14ac:dyDescent="0.35">
      <c r="A342" s="313">
        <v>2611</v>
      </c>
      <c r="B342" s="314" t="s">
        <v>914</v>
      </c>
      <c r="C342" s="315" t="s">
        <v>640</v>
      </c>
      <c r="D342" s="316" t="s">
        <v>915</v>
      </c>
      <c r="E342" s="313">
        <v>1</v>
      </c>
      <c r="F342" s="313">
        <v>7</v>
      </c>
      <c r="G342" s="313" t="s">
        <v>895</v>
      </c>
      <c r="H342" s="317"/>
      <c r="I342" s="314" t="s">
        <v>71</v>
      </c>
      <c r="J342" s="314"/>
      <c r="K342" s="316" t="s">
        <v>915</v>
      </c>
      <c r="L342" s="316"/>
      <c r="M342" s="318"/>
      <c r="N342" s="314"/>
      <c r="P342" s="74" t="str">
        <f t="shared" si="0"/>
        <v>INSERT INTO TransformationEngine_Field (FieldName, FieldDescription, SourceFieldName, DetailField, Length, SourceRecType, Required, OutputFieldName, AllowedChars, AllowedValues, FieldParameters) VALUES ('UB Box 67 E Multi-page', 'Other DX Codes E', 'DiagCodeE',1, 7, 'PageFields', 0, 'DiagCodeE', 'A-Z,0-9', '', '')</v>
      </c>
    </row>
    <row r="343" spans="1:16" s="4" customFormat="1" ht="29" x14ac:dyDescent="0.35">
      <c r="A343" s="313">
        <v>2612</v>
      </c>
      <c r="B343" s="314" t="s">
        <v>914</v>
      </c>
      <c r="C343" s="315" t="s">
        <v>642</v>
      </c>
      <c r="D343" s="316" t="s">
        <v>916</v>
      </c>
      <c r="E343" s="313">
        <v>1</v>
      </c>
      <c r="F343" s="313">
        <v>1</v>
      </c>
      <c r="G343" s="313" t="s">
        <v>895</v>
      </c>
      <c r="H343" s="315"/>
      <c r="I343" s="314" t="s">
        <v>618</v>
      </c>
      <c r="J343" s="314" t="s">
        <v>618</v>
      </c>
      <c r="K343" s="316" t="s">
        <v>917</v>
      </c>
      <c r="L343" s="316"/>
      <c r="M343" s="315"/>
      <c r="N343" s="314"/>
      <c r="P343" s="74" t="str">
        <f t="shared" si="0"/>
        <v>INSERT INTO TransformationEngine_Field (FieldName, FieldDescription, SourceFieldName, DetailField, Length, SourceRecType, Required, OutputFieldName, AllowedChars, AllowedValues, FieldParameters) VALUES ('UB Box 67 E Multi-page', 'Other DX Codes POA E', 'DiagPOAE',1, 1, 'PageFields', 0, 'DiagCodeEPOA', 'Y,N,U,W,1', 'Y,N,U,W,1', '')</v>
      </c>
    </row>
    <row r="344" spans="1:16" s="4" customFormat="1" ht="29" x14ac:dyDescent="0.35">
      <c r="A344" s="313">
        <v>2613</v>
      </c>
      <c r="B344" s="314" t="s">
        <v>918</v>
      </c>
      <c r="C344" s="315" t="s">
        <v>645</v>
      </c>
      <c r="D344" s="316" t="s">
        <v>919</v>
      </c>
      <c r="E344" s="313">
        <v>1</v>
      </c>
      <c r="F344" s="313">
        <v>7</v>
      </c>
      <c r="G344" s="313" t="s">
        <v>895</v>
      </c>
      <c r="H344" s="315"/>
      <c r="I344" s="314" t="s">
        <v>71</v>
      </c>
      <c r="J344" s="314"/>
      <c r="K344" s="316" t="s">
        <v>919</v>
      </c>
      <c r="L344" s="316"/>
      <c r="M344" s="315"/>
      <c r="N344" s="314"/>
      <c r="P344" s="74" t="str">
        <f t="shared" si="0"/>
        <v>INSERT INTO TransformationEngine_Field (FieldName, FieldDescription, SourceFieldName, DetailField, Length, SourceRecType, Required, OutputFieldName, AllowedChars, AllowedValues, FieldParameters) VALUES ('UB Box 67 F Multi-page', 'Other DX Codes F', 'DiagCodeF',1, 7, 'PageFields', 0, 'DiagCodeF', 'A-Z,0-9', '', '')</v>
      </c>
    </row>
    <row r="345" spans="1:16" s="4" customFormat="1" ht="29" x14ac:dyDescent="0.35">
      <c r="A345" s="313">
        <v>2614</v>
      </c>
      <c r="B345" s="314" t="s">
        <v>918</v>
      </c>
      <c r="C345" s="315" t="s">
        <v>647</v>
      </c>
      <c r="D345" s="316" t="s">
        <v>920</v>
      </c>
      <c r="E345" s="313">
        <v>1</v>
      </c>
      <c r="F345" s="313">
        <v>1</v>
      </c>
      <c r="G345" s="313" t="s">
        <v>895</v>
      </c>
      <c r="H345" s="315"/>
      <c r="I345" s="314" t="s">
        <v>618</v>
      </c>
      <c r="J345" s="314" t="s">
        <v>618</v>
      </c>
      <c r="K345" s="316" t="s">
        <v>921</v>
      </c>
      <c r="L345" s="316"/>
      <c r="M345" s="315"/>
      <c r="N345" s="314"/>
      <c r="P345" s="74" t="str">
        <f t="shared" si="0"/>
        <v>INSERT INTO TransformationEngine_Field (FieldName, FieldDescription, SourceFieldName, DetailField, Length, SourceRecType, Required, OutputFieldName, AllowedChars, AllowedValues, FieldParameters) VALUES ('UB Box 67 F Multi-page', 'Other DX Codes POA F', 'DiagPOAF',1, 1, 'PageFields', 0, 'DiagCodeFPOA', 'Y,N,U,W,1', 'Y,N,U,W,1', '')</v>
      </c>
    </row>
    <row r="346" spans="1:16" s="4" customFormat="1" ht="29" x14ac:dyDescent="0.35">
      <c r="A346" s="313">
        <v>2615</v>
      </c>
      <c r="B346" s="314" t="s">
        <v>922</v>
      </c>
      <c r="C346" s="315" t="s">
        <v>650</v>
      </c>
      <c r="D346" s="316" t="s">
        <v>923</v>
      </c>
      <c r="E346" s="313">
        <v>1</v>
      </c>
      <c r="F346" s="313">
        <v>7</v>
      </c>
      <c r="G346" s="313" t="s">
        <v>895</v>
      </c>
      <c r="H346" s="315"/>
      <c r="I346" s="314" t="s">
        <v>71</v>
      </c>
      <c r="J346" s="314"/>
      <c r="K346" s="316" t="s">
        <v>923</v>
      </c>
      <c r="L346" s="316"/>
      <c r="M346" s="315"/>
      <c r="N346" s="314"/>
      <c r="P346" s="74" t="str">
        <f t="shared" si="0"/>
        <v>INSERT INTO TransformationEngine_Field (FieldName, FieldDescription, SourceFieldName, DetailField, Length, SourceRecType, Required, OutputFieldName, AllowedChars, AllowedValues, FieldParameters) VALUES ('UB Box 67 G Multi-page', 'Other DX Codes G', 'DiagCodeG',1, 7, 'PageFields', 0, 'DiagCodeG', 'A-Z,0-9', '', '')</v>
      </c>
    </row>
    <row r="347" spans="1:16" s="4" customFormat="1" ht="29" x14ac:dyDescent="0.35">
      <c r="A347" s="313">
        <v>2616</v>
      </c>
      <c r="B347" s="314" t="s">
        <v>922</v>
      </c>
      <c r="C347" s="315" t="s">
        <v>652</v>
      </c>
      <c r="D347" s="316" t="s">
        <v>924</v>
      </c>
      <c r="E347" s="313">
        <v>1</v>
      </c>
      <c r="F347" s="313">
        <v>1</v>
      </c>
      <c r="G347" s="313" t="s">
        <v>895</v>
      </c>
      <c r="H347" s="315"/>
      <c r="I347" s="314" t="s">
        <v>618</v>
      </c>
      <c r="J347" s="314" t="s">
        <v>618</v>
      </c>
      <c r="K347" s="316" t="s">
        <v>925</v>
      </c>
      <c r="L347" s="316"/>
      <c r="M347" s="315"/>
      <c r="N347" s="314"/>
      <c r="P347" s="74" t="str">
        <f t="shared" si="0"/>
        <v>INSERT INTO TransformationEngine_Field (FieldName, FieldDescription, SourceFieldName, DetailField, Length, SourceRecType, Required, OutputFieldName, AllowedChars, AllowedValues, FieldParameters) VALUES ('UB Box 67 G Multi-page', 'Other DX Codes POA G', 'DiagPOAG',1, 1, 'PageFields', 0, 'DiagCodeGPOA', 'Y,N,U,W,1', 'Y,N,U,W,1', '')</v>
      </c>
    </row>
    <row r="348" spans="1:16" s="4" customFormat="1" ht="29" x14ac:dyDescent="0.35">
      <c r="A348" s="313">
        <v>2617</v>
      </c>
      <c r="B348" s="314" t="s">
        <v>926</v>
      </c>
      <c r="C348" s="315" t="s">
        <v>655</v>
      </c>
      <c r="D348" s="316" t="s">
        <v>927</v>
      </c>
      <c r="E348" s="313">
        <v>1</v>
      </c>
      <c r="F348" s="313">
        <v>7</v>
      </c>
      <c r="G348" s="313" t="s">
        <v>895</v>
      </c>
      <c r="H348" s="315"/>
      <c r="I348" s="314" t="s">
        <v>71</v>
      </c>
      <c r="J348" s="314"/>
      <c r="K348" s="316" t="s">
        <v>927</v>
      </c>
      <c r="L348" s="316"/>
      <c r="M348" s="315"/>
      <c r="N348" s="314"/>
      <c r="P348" s="74" t="str">
        <f t="shared" si="0"/>
        <v>INSERT INTO TransformationEngine_Field (FieldName, FieldDescription, SourceFieldName, DetailField, Length, SourceRecType, Required, OutputFieldName, AllowedChars, AllowedValues, FieldParameters) VALUES ('UB Box 67 H Multi-page', 'Other DX Codes H', 'DiagCodeH',1, 7, 'PageFields', 0, 'DiagCodeH', 'A-Z,0-9', '', '')</v>
      </c>
    </row>
    <row r="349" spans="1:16" ht="29" x14ac:dyDescent="0.35">
      <c r="A349" s="313">
        <v>2618</v>
      </c>
      <c r="B349" s="314" t="s">
        <v>926</v>
      </c>
      <c r="C349" s="315" t="s">
        <v>657</v>
      </c>
      <c r="D349" s="316" t="s">
        <v>928</v>
      </c>
      <c r="E349" s="313">
        <v>1</v>
      </c>
      <c r="F349" s="313">
        <v>1</v>
      </c>
      <c r="G349" s="313" t="s">
        <v>895</v>
      </c>
      <c r="H349" s="317"/>
      <c r="I349" s="314" t="s">
        <v>618</v>
      </c>
      <c r="J349" s="314" t="s">
        <v>618</v>
      </c>
      <c r="K349" s="316" t="s">
        <v>929</v>
      </c>
      <c r="L349" s="316"/>
      <c r="M349" s="318"/>
      <c r="N349" s="314"/>
      <c r="P349" s="74" t="str">
        <f t="shared" si="0"/>
        <v>INSERT INTO TransformationEngine_Field (FieldName, FieldDescription, SourceFieldName, DetailField, Length, SourceRecType, Required, OutputFieldName, AllowedChars, AllowedValues, FieldParameters) VALUES ('UB Box 67 H Multi-page', 'Other DX Codes POA H', 'DiagPOAH',1, 1, 'PageFields', 0, 'DiagCodeHPOA', 'Y,N,U,W,1', 'Y,N,U,W,1', '')</v>
      </c>
    </row>
    <row r="350" spans="1:16" ht="29" x14ac:dyDescent="0.35">
      <c r="A350" s="313">
        <v>2619</v>
      </c>
      <c r="B350" s="314" t="s">
        <v>930</v>
      </c>
      <c r="C350" s="315" t="s">
        <v>660</v>
      </c>
      <c r="D350" s="316" t="s">
        <v>931</v>
      </c>
      <c r="E350" s="313">
        <v>1</v>
      </c>
      <c r="F350" s="313">
        <v>7</v>
      </c>
      <c r="G350" s="313" t="s">
        <v>895</v>
      </c>
      <c r="H350" s="317"/>
      <c r="I350" s="314" t="s">
        <v>71</v>
      </c>
      <c r="J350" s="314"/>
      <c r="K350" s="316" t="s">
        <v>931</v>
      </c>
      <c r="L350" s="316"/>
      <c r="M350" s="318"/>
      <c r="N350" s="314"/>
      <c r="P350" s="74" t="str">
        <f>CONCATENATE("INSERT INTO TransformationEngine_Field (FieldName, FieldDescription, SourceFieldName, DetailField, Length, SourceRecType, Required, OutputFieldName, AllowedChars, AllowedValues, FieldParameters) VALUES ('", B350, "', '", C350, "', '", D350, "',", E350, ", ", F350, ", '", G350, "', 0, '", K350, "', '", I350, "', '", J350, "', '", N350, "')")</f>
        <v>INSERT INTO TransformationEngine_Field (FieldName, FieldDescription, SourceFieldName, DetailField, Length, SourceRecType, Required, OutputFieldName, AllowedChars, AllowedValues, FieldParameters) VALUES ('UB Box 67 I Multi-page', 'Other DX Codes I', 'DiagCodeI',1, 7, 'PageFields', 0, 'DiagCodeI', 'A-Z,0-9', '', '')</v>
      </c>
    </row>
    <row r="351" spans="1:16" ht="29" x14ac:dyDescent="0.35">
      <c r="A351" s="313">
        <v>2620</v>
      </c>
      <c r="B351" s="314" t="s">
        <v>930</v>
      </c>
      <c r="C351" s="315" t="s">
        <v>663</v>
      </c>
      <c r="D351" s="316" t="s">
        <v>932</v>
      </c>
      <c r="E351" s="313">
        <v>1</v>
      </c>
      <c r="F351" s="313">
        <v>1</v>
      </c>
      <c r="G351" s="313" t="s">
        <v>895</v>
      </c>
      <c r="H351" s="317"/>
      <c r="I351" s="314" t="s">
        <v>618</v>
      </c>
      <c r="J351" s="314" t="s">
        <v>618</v>
      </c>
      <c r="K351" s="316" t="s">
        <v>933</v>
      </c>
      <c r="L351" s="316"/>
      <c r="M351" s="318"/>
      <c r="N351" s="314"/>
      <c r="P351" s="74" t="str">
        <f t="shared" si="0"/>
        <v>INSERT INTO TransformationEngine_Field (FieldName, FieldDescription, SourceFieldName, DetailField, Length, SourceRecType, Required, OutputFieldName, AllowedChars, AllowedValues, FieldParameters) VALUES ('UB Box 67 I Multi-page', 'Other DX Codes POA I', 'DiagPOAI',1, 1, 'PageFields', 0, 'DiagCodeIPOA', 'Y,N,U,W,1', 'Y,N,U,W,1', '')</v>
      </c>
    </row>
    <row r="352" spans="1:16" ht="29" x14ac:dyDescent="0.35">
      <c r="A352" s="313">
        <v>2621</v>
      </c>
      <c r="B352" s="314" t="s">
        <v>934</v>
      </c>
      <c r="C352" s="315" t="s">
        <v>667</v>
      </c>
      <c r="D352" s="316" t="s">
        <v>935</v>
      </c>
      <c r="E352" s="313">
        <v>1</v>
      </c>
      <c r="F352" s="313">
        <v>7</v>
      </c>
      <c r="G352" s="313" t="s">
        <v>895</v>
      </c>
      <c r="H352" s="317"/>
      <c r="I352" s="314" t="s">
        <v>71</v>
      </c>
      <c r="J352" s="314"/>
      <c r="K352" s="316" t="s">
        <v>935</v>
      </c>
      <c r="L352" s="316"/>
      <c r="M352" s="318"/>
      <c r="N352" s="314"/>
      <c r="P352" s="74" t="str">
        <f t="shared" si="0"/>
        <v>INSERT INTO TransformationEngine_Field (FieldName, FieldDescription, SourceFieldName, DetailField, Length, SourceRecType, Required, OutputFieldName, AllowedChars, AllowedValues, FieldParameters) VALUES ('UB Box 67 J Multi-page', 'Other DX Codes J', 'DiagCodeJ',1, 7, 'PageFields', 0, 'DiagCodeJ', 'A-Z,0-9', '', '')</v>
      </c>
    </row>
    <row r="353" spans="1:16" ht="29" x14ac:dyDescent="0.35">
      <c r="A353" s="313">
        <v>2622</v>
      </c>
      <c r="B353" s="314" t="s">
        <v>934</v>
      </c>
      <c r="C353" s="315" t="s">
        <v>670</v>
      </c>
      <c r="D353" s="316" t="s">
        <v>936</v>
      </c>
      <c r="E353" s="313">
        <v>1</v>
      </c>
      <c r="F353" s="313">
        <v>1</v>
      </c>
      <c r="G353" s="313" t="s">
        <v>895</v>
      </c>
      <c r="H353" s="317"/>
      <c r="I353" s="314" t="s">
        <v>618</v>
      </c>
      <c r="J353" s="314" t="s">
        <v>618</v>
      </c>
      <c r="K353" s="316" t="s">
        <v>937</v>
      </c>
      <c r="L353" s="316"/>
      <c r="M353" s="318"/>
      <c r="N353" s="314"/>
      <c r="P353" s="74" t="str">
        <f t="shared" si="0"/>
        <v>INSERT INTO TransformationEngine_Field (FieldName, FieldDescription, SourceFieldName, DetailField, Length, SourceRecType, Required, OutputFieldName, AllowedChars, AllowedValues, FieldParameters) VALUES ('UB Box 67 J Multi-page', 'Other DX Codes POA J', 'DiagPOAJ',1, 1, 'PageFields', 0, 'DiagCodeJPOA', 'Y,N,U,W,1', 'Y,N,U,W,1', '')</v>
      </c>
    </row>
    <row r="354" spans="1:16" ht="29" x14ac:dyDescent="0.35">
      <c r="A354" s="313">
        <v>2623</v>
      </c>
      <c r="B354" s="314" t="s">
        <v>938</v>
      </c>
      <c r="C354" s="315" t="s">
        <v>674</v>
      </c>
      <c r="D354" s="316" t="s">
        <v>939</v>
      </c>
      <c r="E354" s="313">
        <v>1</v>
      </c>
      <c r="F354" s="313">
        <v>7</v>
      </c>
      <c r="G354" s="313" t="s">
        <v>895</v>
      </c>
      <c r="H354" s="317"/>
      <c r="I354" s="314" t="s">
        <v>71</v>
      </c>
      <c r="J354" s="314"/>
      <c r="K354" s="316" t="s">
        <v>939</v>
      </c>
      <c r="L354" s="316"/>
      <c r="M354" s="318"/>
      <c r="N354" s="314"/>
      <c r="P354" s="74" t="str">
        <f t="shared" si="0"/>
        <v>INSERT INTO TransformationEngine_Field (FieldName, FieldDescription, SourceFieldName, DetailField, Length, SourceRecType, Required, OutputFieldName, AllowedChars, AllowedValues, FieldParameters) VALUES ('UB Box 67 K Multi-page', 'Other DX Codes K', 'DiagCodeK',1, 7, 'PageFields', 0, 'DiagCodeK', 'A-Z,0-9', '', '')</v>
      </c>
    </row>
    <row r="355" spans="1:16" ht="29" x14ac:dyDescent="0.35">
      <c r="A355" s="313">
        <v>2624</v>
      </c>
      <c r="B355" s="314" t="s">
        <v>938</v>
      </c>
      <c r="C355" s="315" t="s">
        <v>677</v>
      </c>
      <c r="D355" s="316" t="s">
        <v>940</v>
      </c>
      <c r="E355" s="313">
        <v>1</v>
      </c>
      <c r="F355" s="313">
        <v>1</v>
      </c>
      <c r="G355" s="313" t="s">
        <v>895</v>
      </c>
      <c r="H355" s="317"/>
      <c r="I355" s="314" t="s">
        <v>618</v>
      </c>
      <c r="J355" s="314" t="s">
        <v>618</v>
      </c>
      <c r="K355" s="316" t="s">
        <v>941</v>
      </c>
      <c r="L355" s="316"/>
      <c r="M355" s="318"/>
      <c r="N355" s="314"/>
      <c r="P355" s="74" t="str">
        <f t="shared" si="0"/>
        <v>INSERT INTO TransformationEngine_Field (FieldName, FieldDescription, SourceFieldName, DetailField, Length, SourceRecType, Required, OutputFieldName, AllowedChars, AllowedValues, FieldParameters) VALUES ('UB Box 67 K Multi-page', 'Other DX Codes POA K', 'DiagPOAK',1, 1, 'PageFields', 0, 'DiagCodeKPOA', 'Y,N,U,W,1', 'Y,N,U,W,1', '')</v>
      </c>
    </row>
    <row r="356" spans="1:16" ht="29" x14ac:dyDescent="0.35">
      <c r="A356" s="313">
        <v>2625</v>
      </c>
      <c r="B356" s="314" t="s">
        <v>942</v>
      </c>
      <c r="C356" s="315" t="s">
        <v>681</v>
      </c>
      <c r="D356" s="316" t="s">
        <v>943</v>
      </c>
      <c r="E356" s="313">
        <v>1</v>
      </c>
      <c r="F356" s="313">
        <v>7</v>
      </c>
      <c r="G356" s="313" t="s">
        <v>895</v>
      </c>
      <c r="H356" s="317"/>
      <c r="I356" s="314" t="s">
        <v>71</v>
      </c>
      <c r="J356" s="314"/>
      <c r="K356" s="316" t="s">
        <v>943</v>
      </c>
      <c r="L356" s="316"/>
      <c r="M356" s="318"/>
      <c r="N356" s="314"/>
      <c r="P356" s="74" t="str">
        <f t="shared" si="0"/>
        <v>INSERT INTO TransformationEngine_Field (FieldName, FieldDescription, SourceFieldName, DetailField, Length, SourceRecType, Required, OutputFieldName, AllowedChars, AllowedValues, FieldParameters) VALUES ('UB Box 67 L Multi-page', 'Other DX Codes L', 'DiagCodeL',1, 7, 'PageFields', 0, 'DiagCodeL', 'A-Z,0-9', '', '')</v>
      </c>
    </row>
    <row r="357" spans="1:16" ht="29" x14ac:dyDescent="0.35">
      <c r="A357" s="313">
        <v>2626</v>
      </c>
      <c r="B357" s="314" t="s">
        <v>942</v>
      </c>
      <c r="C357" s="315" t="s">
        <v>684</v>
      </c>
      <c r="D357" s="316" t="s">
        <v>944</v>
      </c>
      <c r="E357" s="313">
        <v>1</v>
      </c>
      <c r="F357" s="313">
        <v>1</v>
      </c>
      <c r="G357" s="313" t="s">
        <v>895</v>
      </c>
      <c r="H357" s="317"/>
      <c r="I357" s="314" t="s">
        <v>618</v>
      </c>
      <c r="J357" s="314" t="s">
        <v>618</v>
      </c>
      <c r="K357" s="316" t="s">
        <v>945</v>
      </c>
      <c r="L357" s="316"/>
      <c r="M357" s="318"/>
      <c r="N357" s="314"/>
      <c r="P357" s="74" t="str">
        <f t="shared" si="0"/>
        <v>INSERT INTO TransformationEngine_Field (FieldName, FieldDescription, SourceFieldName, DetailField, Length, SourceRecType, Required, OutputFieldName, AllowedChars, AllowedValues, FieldParameters) VALUES ('UB Box 67 L Multi-page', 'Other DX Codes POA L', 'DiagPOAL',1, 1, 'PageFields', 0, 'DiagCodeLPOA', 'Y,N,U,W,1', 'Y,N,U,W,1', '')</v>
      </c>
    </row>
    <row r="358" spans="1:16" ht="29" x14ac:dyDescent="0.35">
      <c r="A358" s="313">
        <v>2627</v>
      </c>
      <c r="B358" s="314" t="s">
        <v>946</v>
      </c>
      <c r="C358" s="315" t="s">
        <v>688</v>
      </c>
      <c r="D358" s="316" t="s">
        <v>947</v>
      </c>
      <c r="E358" s="313">
        <v>1</v>
      </c>
      <c r="F358" s="313">
        <v>7</v>
      </c>
      <c r="G358" s="313" t="s">
        <v>895</v>
      </c>
      <c r="H358" s="317"/>
      <c r="I358" s="314" t="s">
        <v>71</v>
      </c>
      <c r="J358" s="314"/>
      <c r="K358" s="316" t="s">
        <v>947</v>
      </c>
      <c r="L358" s="316"/>
      <c r="M358" s="318"/>
      <c r="N358" s="314"/>
      <c r="P358" s="74" t="str">
        <f t="shared" si="0"/>
        <v>INSERT INTO TransformationEngine_Field (FieldName, FieldDescription, SourceFieldName, DetailField, Length, SourceRecType, Required, OutputFieldName, AllowedChars, AllowedValues, FieldParameters) VALUES ('UB Box 67 M Multi-page', 'Other DX Codes M', 'DiagCodeM',1, 7, 'PageFields', 0, 'DiagCodeM', 'A-Z,0-9', '', '')</v>
      </c>
    </row>
    <row r="359" spans="1:16" ht="29" x14ac:dyDescent="0.35">
      <c r="A359" s="313">
        <v>2628</v>
      </c>
      <c r="B359" s="314" t="s">
        <v>946</v>
      </c>
      <c r="C359" s="315" t="s">
        <v>684</v>
      </c>
      <c r="D359" s="316" t="s">
        <v>948</v>
      </c>
      <c r="E359" s="313">
        <v>1</v>
      </c>
      <c r="F359" s="313">
        <v>1</v>
      </c>
      <c r="G359" s="313" t="s">
        <v>895</v>
      </c>
      <c r="H359" s="317"/>
      <c r="I359" s="314" t="s">
        <v>618</v>
      </c>
      <c r="J359" s="314" t="s">
        <v>618</v>
      </c>
      <c r="K359" s="316" t="s">
        <v>949</v>
      </c>
      <c r="L359" s="316"/>
      <c r="M359" s="318"/>
      <c r="N359" s="314"/>
      <c r="P359" s="74" t="str">
        <f t="shared" si="0"/>
        <v>INSERT INTO TransformationEngine_Field (FieldName, FieldDescription, SourceFieldName, DetailField, Length, SourceRecType, Required, OutputFieldName, AllowedChars, AllowedValues, FieldParameters) VALUES ('UB Box 67 M Multi-page', 'Other DX Codes POA L', 'DiagPOAM',1, 1, 'PageFields', 0, 'DiagCodeMPOA', 'Y,N,U,W,1', 'Y,N,U,W,1', '')</v>
      </c>
    </row>
    <row r="360" spans="1:16" ht="29" x14ac:dyDescent="0.35">
      <c r="A360" s="313">
        <v>2629</v>
      </c>
      <c r="B360" s="314" t="s">
        <v>950</v>
      </c>
      <c r="C360" s="315" t="s">
        <v>694</v>
      </c>
      <c r="D360" s="316" t="s">
        <v>951</v>
      </c>
      <c r="E360" s="313">
        <v>1</v>
      </c>
      <c r="F360" s="313">
        <v>7</v>
      </c>
      <c r="G360" s="313" t="s">
        <v>895</v>
      </c>
      <c r="H360" s="317"/>
      <c r="I360" s="314" t="s">
        <v>71</v>
      </c>
      <c r="J360" s="314"/>
      <c r="K360" s="316" t="s">
        <v>951</v>
      </c>
      <c r="L360" s="316"/>
      <c r="M360" s="318"/>
      <c r="N360" s="314"/>
      <c r="P360" s="74" t="str">
        <f t="shared" si="0"/>
        <v>INSERT INTO TransformationEngine_Field (FieldName, FieldDescription, SourceFieldName, DetailField, Length, SourceRecType, Required, OutputFieldName, AllowedChars, AllowedValues, FieldParameters) VALUES ('UB Box 67 N Multi-page', 'Other DX Codes N', 'DiagCodeN',1, 7, 'PageFields', 0, 'DiagCodeN', 'A-Z,0-9', '', '')</v>
      </c>
    </row>
    <row r="361" spans="1:16" ht="29" x14ac:dyDescent="0.35">
      <c r="A361" s="313">
        <v>2630</v>
      </c>
      <c r="B361" s="314" t="s">
        <v>950</v>
      </c>
      <c r="C361" s="315" t="s">
        <v>697</v>
      </c>
      <c r="D361" s="316" t="s">
        <v>952</v>
      </c>
      <c r="E361" s="313">
        <v>1</v>
      </c>
      <c r="F361" s="313">
        <v>1</v>
      </c>
      <c r="G361" s="313" t="s">
        <v>895</v>
      </c>
      <c r="H361" s="317"/>
      <c r="I361" s="314" t="s">
        <v>618</v>
      </c>
      <c r="J361" s="314" t="s">
        <v>618</v>
      </c>
      <c r="K361" s="316" t="s">
        <v>953</v>
      </c>
      <c r="L361" s="316"/>
      <c r="M361" s="318"/>
      <c r="N361" s="314"/>
      <c r="P361" s="74" t="str">
        <f t="shared" si="0"/>
        <v>INSERT INTO TransformationEngine_Field (FieldName, FieldDescription, SourceFieldName, DetailField, Length, SourceRecType, Required, OutputFieldName, AllowedChars, AllowedValues, FieldParameters) VALUES ('UB Box 67 N Multi-page', 'Other DX Codes POA N', 'DiagPOAN',1, 1, 'PageFields', 0, 'DiagCodeNPOA', 'Y,N,U,W,1', 'Y,N,U,W,1', '')</v>
      </c>
    </row>
    <row r="362" spans="1:16" ht="29" x14ac:dyDescent="0.35">
      <c r="A362" s="313">
        <v>2631</v>
      </c>
      <c r="B362" s="314" t="s">
        <v>954</v>
      </c>
      <c r="C362" s="315" t="s">
        <v>701</v>
      </c>
      <c r="D362" s="316" t="s">
        <v>955</v>
      </c>
      <c r="E362" s="313">
        <v>1</v>
      </c>
      <c r="F362" s="313">
        <v>7</v>
      </c>
      <c r="G362" s="313" t="s">
        <v>895</v>
      </c>
      <c r="H362" s="317"/>
      <c r="I362" s="314" t="s">
        <v>71</v>
      </c>
      <c r="J362" s="314"/>
      <c r="K362" s="316" t="s">
        <v>955</v>
      </c>
      <c r="L362" s="316"/>
      <c r="M362" s="318"/>
      <c r="N362" s="314"/>
      <c r="P362" s="74" t="str">
        <f t="shared" si="0"/>
        <v>INSERT INTO TransformationEngine_Field (FieldName, FieldDescription, SourceFieldName, DetailField, Length, SourceRecType, Required, OutputFieldName, AllowedChars, AllowedValues, FieldParameters) VALUES ('UB Box 67 O Multi-page', 'Other DX Codes O', 'DiagCodeO',1, 7, 'PageFields', 0, 'DiagCodeO', 'A-Z,0-9', '', '')</v>
      </c>
    </row>
    <row r="363" spans="1:16" ht="29" x14ac:dyDescent="0.35">
      <c r="A363" s="313">
        <v>2632</v>
      </c>
      <c r="B363" s="314" t="s">
        <v>954</v>
      </c>
      <c r="C363" s="315" t="s">
        <v>704</v>
      </c>
      <c r="D363" s="316" t="s">
        <v>956</v>
      </c>
      <c r="E363" s="313">
        <v>1</v>
      </c>
      <c r="F363" s="313">
        <v>1</v>
      </c>
      <c r="G363" s="313" t="s">
        <v>895</v>
      </c>
      <c r="H363" s="317"/>
      <c r="I363" s="314" t="s">
        <v>618</v>
      </c>
      <c r="J363" s="314" t="s">
        <v>618</v>
      </c>
      <c r="K363" s="316" t="s">
        <v>957</v>
      </c>
      <c r="L363" s="316"/>
      <c r="M363" s="318"/>
      <c r="N363" s="314"/>
      <c r="P363" s="74" t="str">
        <f>CONCATENATE("INSERT INTO TransformationEngine_Field (FieldName, FieldDescription, SourceFieldName, DetailField, Length, SourceRecType, Required, OutputFieldName, AllowedChars, AllowedValues, FieldParameters) VALUES ('", B363, "', '", C363, "', '", D363, "',", E363, ", ", F363, ", '", G363, "', 0, '", K363, "', '", I363, "', '", J363, "', '", N363, "')")</f>
        <v>INSERT INTO TransformationEngine_Field (FieldName, FieldDescription, SourceFieldName, DetailField, Length, SourceRecType, Required, OutputFieldName, AllowedChars, AllowedValues, FieldParameters) VALUES ('UB Box 67 O Multi-page', 'Other DX Codes POA O', 'DiagPOAO',1, 1, 'PageFields', 0, 'DiagCodeOPOA', 'Y,N,U,W,1', 'Y,N,U,W,1', '')</v>
      </c>
    </row>
    <row r="364" spans="1:16" ht="29" x14ac:dyDescent="0.35">
      <c r="A364" s="313">
        <v>2633</v>
      </c>
      <c r="B364" s="314" t="s">
        <v>958</v>
      </c>
      <c r="C364" s="315" t="s">
        <v>708</v>
      </c>
      <c r="D364" s="316" t="s">
        <v>959</v>
      </c>
      <c r="E364" s="313">
        <v>1</v>
      </c>
      <c r="F364" s="313">
        <v>7</v>
      </c>
      <c r="G364" s="313" t="s">
        <v>895</v>
      </c>
      <c r="H364" s="317"/>
      <c r="I364" s="314" t="s">
        <v>71</v>
      </c>
      <c r="J364" s="314"/>
      <c r="K364" s="316" t="s">
        <v>959</v>
      </c>
      <c r="L364" s="316"/>
      <c r="M364" s="318"/>
      <c r="N364" s="314"/>
      <c r="P364" s="74" t="str">
        <f t="shared" si="0"/>
        <v>INSERT INTO TransformationEngine_Field (FieldName, FieldDescription, SourceFieldName, DetailField, Length, SourceRecType, Required, OutputFieldName, AllowedChars, AllowedValues, FieldParameters) VALUES ('UB Box 67 P Multi-page', 'Other DX Codes P', 'DiagCodeP',1, 7, 'PageFields', 0, 'DiagCodeP', 'A-Z,0-9', '', '')</v>
      </c>
    </row>
    <row r="365" spans="1:16" ht="29" x14ac:dyDescent="0.35">
      <c r="A365" s="313">
        <v>2634</v>
      </c>
      <c r="B365" s="314" t="s">
        <v>958</v>
      </c>
      <c r="C365" s="315" t="s">
        <v>711</v>
      </c>
      <c r="D365" s="316" t="s">
        <v>960</v>
      </c>
      <c r="E365" s="313">
        <v>1</v>
      </c>
      <c r="F365" s="313">
        <v>1</v>
      </c>
      <c r="G365" s="313" t="s">
        <v>895</v>
      </c>
      <c r="H365" s="317"/>
      <c r="I365" s="314" t="s">
        <v>618</v>
      </c>
      <c r="J365" s="314" t="s">
        <v>618</v>
      </c>
      <c r="K365" s="316" t="s">
        <v>961</v>
      </c>
      <c r="L365" s="316"/>
      <c r="M365" s="318"/>
      <c r="N365" s="314"/>
      <c r="P365" s="74" t="str">
        <f t="shared" si="0"/>
        <v>INSERT INTO TransformationEngine_Field (FieldName, FieldDescription, SourceFieldName, DetailField, Length, SourceRecType, Required, OutputFieldName, AllowedChars, AllowedValues, FieldParameters) VALUES ('UB Box 67 P Multi-page', 'Other DX Codes POA P', 'DiagPOAP',1, 1, 'PageFields', 0, 'DiagCodePPOA', 'Y,N,U,W,1', 'Y,N,U,W,1', '')</v>
      </c>
    </row>
    <row r="366" spans="1:16" ht="29" x14ac:dyDescent="0.35">
      <c r="A366" s="313">
        <v>2635</v>
      </c>
      <c r="B366" s="314" t="s">
        <v>962</v>
      </c>
      <c r="C366" s="315" t="s">
        <v>715</v>
      </c>
      <c r="D366" s="316" t="s">
        <v>963</v>
      </c>
      <c r="E366" s="313">
        <v>1</v>
      </c>
      <c r="F366" s="313">
        <v>7</v>
      </c>
      <c r="G366" s="313" t="s">
        <v>895</v>
      </c>
      <c r="H366" s="317"/>
      <c r="I366" s="314" t="s">
        <v>71</v>
      </c>
      <c r="J366" s="314"/>
      <c r="K366" s="316" t="s">
        <v>963</v>
      </c>
      <c r="L366" s="316"/>
      <c r="M366" s="318"/>
      <c r="N366" s="314"/>
      <c r="P366" s="74" t="str">
        <f t="shared" si="0"/>
        <v>INSERT INTO TransformationEngine_Field (FieldName, FieldDescription, SourceFieldName, DetailField, Length, SourceRecType, Required, OutputFieldName, AllowedChars, AllowedValues, FieldParameters) VALUES ('UB Box 67 Q Multi-page', 'Other DX Codes Q', 'DiagCodeQ',1, 7, 'PageFields', 0, 'DiagCodeQ', 'A-Z,0-9', '', '')</v>
      </c>
    </row>
    <row r="367" spans="1:16" ht="29" x14ac:dyDescent="0.35">
      <c r="A367" s="313">
        <v>2636</v>
      </c>
      <c r="B367" s="314" t="s">
        <v>962</v>
      </c>
      <c r="C367" s="315" t="s">
        <v>718</v>
      </c>
      <c r="D367" s="316" t="s">
        <v>964</v>
      </c>
      <c r="E367" s="313">
        <v>1</v>
      </c>
      <c r="F367" s="313">
        <v>1</v>
      </c>
      <c r="G367" s="313" t="s">
        <v>895</v>
      </c>
      <c r="H367" s="317"/>
      <c r="I367" s="314" t="s">
        <v>618</v>
      </c>
      <c r="J367" s="314" t="s">
        <v>618</v>
      </c>
      <c r="K367" s="316" t="s">
        <v>965</v>
      </c>
      <c r="L367" s="316"/>
      <c r="M367" s="318"/>
      <c r="N367" s="314"/>
      <c r="P367" s="74" t="str">
        <f t="shared" si="0"/>
        <v>INSERT INTO TransformationEngine_Field (FieldName, FieldDescription, SourceFieldName, DetailField, Length, SourceRecType, Required, OutputFieldName, AllowedChars, AllowedValues, FieldParameters) VALUES ('UB Box 67 Q Multi-page', 'Other DX Codes POA Q', 'DiagPOAQ',1, 1, 'PageFields', 0, 'DiagCodeQPOA', 'Y,N,U,W,1', 'Y,N,U,W,1', '')</v>
      </c>
    </row>
    <row r="368" spans="1:16" ht="29" x14ac:dyDescent="0.35">
      <c r="A368" s="313">
        <v>2637</v>
      </c>
      <c r="B368" s="314" t="s">
        <v>966</v>
      </c>
      <c r="C368" s="315" t="s">
        <v>761</v>
      </c>
      <c r="D368" s="315" t="s">
        <v>967</v>
      </c>
      <c r="E368" s="313">
        <v>1</v>
      </c>
      <c r="F368" s="313">
        <v>7</v>
      </c>
      <c r="G368" s="313" t="s">
        <v>895</v>
      </c>
      <c r="H368" s="317"/>
      <c r="I368" s="314" t="s">
        <v>71</v>
      </c>
      <c r="J368" s="314"/>
      <c r="K368" s="315" t="s">
        <v>967</v>
      </c>
      <c r="L368" s="315"/>
      <c r="M368" s="318"/>
      <c r="N368" s="314"/>
      <c r="P368" s="74" t="str">
        <f t="shared" si="0"/>
        <v>INSERT INTO TransformationEngine_Field (FieldName, FieldDescription, SourceFieldName, DetailField, Length, SourceRecType, Required, OutputFieldName, AllowedChars, AllowedValues, FieldParameters) VALUES ('UB Box 74 Multi-page', 'Principal Procedure Code', 'PrinProcCode',1, 7, 'PageFields', 0, 'PrinProcCode', 'A-Z,0-9', '', '')</v>
      </c>
    </row>
    <row r="369" spans="1:16" ht="29" x14ac:dyDescent="0.35">
      <c r="A369" s="313">
        <v>2638</v>
      </c>
      <c r="B369" s="314" t="s">
        <v>966</v>
      </c>
      <c r="C369" s="315" t="s">
        <v>763</v>
      </c>
      <c r="D369" s="315" t="s">
        <v>968</v>
      </c>
      <c r="E369" s="313">
        <v>1</v>
      </c>
      <c r="F369" s="313">
        <v>10</v>
      </c>
      <c r="G369" s="313" t="s">
        <v>895</v>
      </c>
      <c r="H369" s="317"/>
      <c r="I369" s="314" t="s">
        <v>85</v>
      </c>
      <c r="J369" s="314"/>
      <c r="K369" s="315" t="s">
        <v>968</v>
      </c>
      <c r="L369" s="315"/>
      <c r="M369" s="318"/>
      <c r="N369" s="314" t="s">
        <v>205</v>
      </c>
      <c r="P369" s="74" t="str">
        <f t="shared" si="0"/>
        <v>INSERT INTO TransformationEngine_Field (FieldName, FieldDescription, SourceFieldName, DetailField, Length, SourceRecType, Required, OutputFieldName, AllowedChars, AllowedValues, FieldParameters) VALUES ('UB Box 74 Multi-page', 'Principal Procedure Date', 'PrinProcDate',1, 10, 'PageFields', 0, 'PrinProcDate', '0-9,/', '', 'Formatters=DateFormat:MMDDCCYY')</v>
      </c>
    </row>
    <row r="370" spans="1:16" ht="29" x14ac:dyDescent="0.35">
      <c r="A370" s="313">
        <v>2639</v>
      </c>
      <c r="B370" s="314" t="s">
        <v>969</v>
      </c>
      <c r="C370" s="315" t="s">
        <v>766</v>
      </c>
      <c r="D370" s="315" t="s">
        <v>970</v>
      </c>
      <c r="E370" s="313">
        <v>1</v>
      </c>
      <c r="F370" s="313">
        <v>7</v>
      </c>
      <c r="G370" s="313" t="s">
        <v>895</v>
      </c>
      <c r="H370" s="317"/>
      <c r="I370" s="314" t="s">
        <v>71</v>
      </c>
      <c r="J370" s="314"/>
      <c r="K370" s="315" t="s">
        <v>970</v>
      </c>
      <c r="L370" s="315"/>
      <c r="M370" s="318"/>
      <c r="N370" s="314"/>
      <c r="P370" s="74" t="str">
        <f t="shared" si="0"/>
        <v>INSERT INTO TransformationEngine_Field (FieldName, FieldDescription, SourceFieldName, DetailField, Length, SourceRecType, Required, OutputFieldName, AllowedChars, AllowedValues, FieldParameters) VALUES ('UB Box 74 a Multi-page', 'Other Procedure Code a', 'OthProcCodeA',1, 7, 'PageFields', 0, 'OthProcCodeA', 'A-Z,0-9', '', '')</v>
      </c>
    </row>
    <row r="371" spans="1:16" ht="29" x14ac:dyDescent="0.35">
      <c r="A371" s="313">
        <v>2640</v>
      </c>
      <c r="B371" s="314" t="s">
        <v>969</v>
      </c>
      <c r="C371" s="315" t="s">
        <v>768</v>
      </c>
      <c r="D371" s="315" t="s">
        <v>971</v>
      </c>
      <c r="E371" s="313">
        <v>1</v>
      </c>
      <c r="F371" s="313">
        <v>10</v>
      </c>
      <c r="G371" s="313" t="s">
        <v>895</v>
      </c>
      <c r="H371" s="317"/>
      <c r="I371" s="314" t="s">
        <v>85</v>
      </c>
      <c r="J371" s="314"/>
      <c r="K371" s="315" t="s">
        <v>971</v>
      </c>
      <c r="L371" s="315"/>
      <c r="M371" s="318"/>
      <c r="N371" s="314" t="s">
        <v>205</v>
      </c>
      <c r="P371" s="74" t="str">
        <f t="shared" si="0"/>
        <v>INSERT INTO TransformationEngine_Field (FieldName, FieldDescription, SourceFieldName, DetailField, Length, SourceRecType, Required, OutputFieldName, AllowedChars, AllowedValues, FieldParameters) VALUES ('UB Box 74 a Multi-page', 'Other Procedure Date a', 'OthProcDateA',1, 10, 'PageFields', 0, 'OthProcDateA', '0-9,/', '', 'Formatters=DateFormat:MMDDCCYY')</v>
      </c>
    </row>
    <row r="372" spans="1:16" ht="29" x14ac:dyDescent="0.35">
      <c r="A372" s="313">
        <v>2641</v>
      </c>
      <c r="B372" s="314" t="s">
        <v>972</v>
      </c>
      <c r="C372" s="315" t="s">
        <v>771</v>
      </c>
      <c r="D372" s="315" t="s">
        <v>973</v>
      </c>
      <c r="E372" s="313">
        <v>1</v>
      </c>
      <c r="F372" s="313">
        <v>7</v>
      </c>
      <c r="G372" s="313" t="s">
        <v>895</v>
      </c>
      <c r="H372" s="317"/>
      <c r="I372" s="314" t="s">
        <v>71</v>
      </c>
      <c r="J372" s="314"/>
      <c r="K372" s="315" t="s">
        <v>973</v>
      </c>
      <c r="L372" s="315"/>
      <c r="M372" s="318"/>
      <c r="N372" s="314"/>
      <c r="P372" s="74" t="str">
        <f t="shared" si="0"/>
        <v>INSERT INTO TransformationEngine_Field (FieldName, FieldDescription, SourceFieldName, DetailField, Length, SourceRecType, Required, OutputFieldName, AllowedChars, AllowedValues, FieldParameters) VALUES ('UB Box 74 b  Multi-page', 'Other Procedure Code b', 'OthProcCodeB',1, 7, 'PageFields', 0, 'OthProcCodeB', 'A-Z,0-9', '', '')</v>
      </c>
    </row>
    <row r="373" spans="1:16" ht="29" x14ac:dyDescent="0.35">
      <c r="A373" s="313">
        <v>2642</v>
      </c>
      <c r="B373" s="314" t="s">
        <v>972</v>
      </c>
      <c r="C373" s="315" t="s">
        <v>773</v>
      </c>
      <c r="D373" s="315" t="s">
        <v>974</v>
      </c>
      <c r="E373" s="313">
        <v>1</v>
      </c>
      <c r="F373" s="313">
        <v>10</v>
      </c>
      <c r="G373" s="313" t="s">
        <v>895</v>
      </c>
      <c r="H373" s="317"/>
      <c r="I373" s="314" t="s">
        <v>85</v>
      </c>
      <c r="J373" s="314"/>
      <c r="K373" s="315" t="s">
        <v>974</v>
      </c>
      <c r="L373" s="315"/>
      <c r="M373" s="318"/>
      <c r="N373" s="314" t="s">
        <v>205</v>
      </c>
      <c r="P373" s="74" t="str">
        <f t="shared" si="0"/>
        <v>INSERT INTO TransformationEngine_Field (FieldName, FieldDescription, SourceFieldName, DetailField, Length, SourceRecType, Required, OutputFieldName, AllowedChars, AllowedValues, FieldParameters) VALUES ('UB Box 74 b  Multi-page', 'Other Procedure Date b', 'OthProcDateB',1, 10, 'PageFields', 0, 'OthProcDateB', '0-9,/', '', 'Formatters=DateFormat:MMDDCCYY')</v>
      </c>
    </row>
    <row r="374" spans="1:16" ht="29" x14ac:dyDescent="0.35">
      <c r="A374" s="313">
        <v>2643</v>
      </c>
      <c r="B374" s="314" t="s">
        <v>975</v>
      </c>
      <c r="C374" s="315" t="s">
        <v>776</v>
      </c>
      <c r="D374" s="315" t="s">
        <v>976</v>
      </c>
      <c r="E374" s="313">
        <v>1</v>
      </c>
      <c r="F374" s="313">
        <v>7</v>
      </c>
      <c r="G374" s="313" t="s">
        <v>895</v>
      </c>
      <c r="H374" s="317"/>
      <c r="I374" s="314" t="s">
        <v>71</v>
      </c>
      <c r="J374" s="314"/>
      <c r="K374" s="315" t="s">
        <v>976</v>
      </c>
      <c r="L374" s="315"/>
      <c r="M374" s="318"/>
      <c r="N374" s="314"/>
      <c r="P374" s="74" t="str">
        <f t="shared" si="0"/>
        <v>INSERT INTO TransformationEngine_Field (FieldName, FieldDescription, SourceFieldName, DetailField, Length, SourceRecType, Required, OutputFieldName, AllowedChars, AllowedValues, FieldParameters) VALUES ('UB Box 74 c Multi-page', 'Other Procedure Code c', 'OthProcCodeC',1, 7, 'PageFields', 0, 'OthProcCodeC', 'A-Z,0-9', '', '')</v>
      </c>
    </row>
    <row r="375" spans="1:16" ht="29" x14ac:dyDescent="0.35">
      <c r="A375" s="313">
        <v>2644</v>
      </c>
      <c r="B375" s="314" t="s">
        <v>975</v>
      </c>
      <c r="C375" s="315" t="s">
        <v>778</v>
      </c>
      <c r="D375" s="315" t="s">
        <v>977</v>
      </c>
      <c r="E375" s="313">
        <v>1</v>
      </c>
      <c r="F375" s="313">
        <v>10</v>
      </c>
      <c r="G375" s="313" t="s">
        <v>895</v>
      </c>
      <c r="H375" s="317"/>
      <c r="I375" s="314" t="s">
        <v>85</v>
      </c>
      <c r="J375" s="314"/>
      <c r="K375" s="315" t="s">
        <v>977</v>
      </c>
      <c r="L375" s="315"/>
      <c r="M375" s="318"/>
      <c r="N375" s="314" t="s">
        <v>205</v>
      </c>
      <c r="P375" s="74" t="str">
        <f t="shared" si="0"/>
        <v>INSERT INTO TransformationEngine_Field (FieldName, FieldDescription, SourceFieldName, DetailField, Length, SourceRecType, Required, OutputFieldName, AllowedChars, AllowedValues, FieldParameters) VALUES ('UB Box 74 c Multi-page', 'Other Procedure Date c', 'OthProcDateC',1, 10, 'PageFields', 0, 'OthProcDateC', '0-9,/', '', 'Formatters=DateFormat:MMDDCCYY')</v>
      </c>
    </row>
    <row r="376" spans="1:16" ht="29" x14ac:dyDescent="0.35">
      <c r="A376" s="313">
        <v>2645</v>
      </c>
      <c r="B376" s="314" t="s">
        <v>978</v>
      </c>
      <c r="C376" s="315" t="s">
        <v>781</v>
      </c>
      <c r="D376" s="315" t="s">
        <v>979</v>
      </c>
      <c r="E376" s="313">
        <v>1</v>
      </c>
      <c r="F376" s="313">
        <v>7</v>
      </c>
      <c r="G376" s="313" t="s">
        <v>895</v>
      </c>
      <c r="H376" s="317"/>
      <c r="I376" s="314" t="s">
        <v>71</v>
      </c>
      <c r="J376" s="314"/>
      <c r="K376" s="315" t="s">
        <v>979</v>
      </c>
      <c r="L376" s="315"/>
      <c r="M376" s="318"/>
      <c r="N376" s="314"/>
      <c r="P376" s="74" t="str">
        <f t="shared" ref="P376:P379" si="1">CONCATENATE("INSERT INTO TransformationEngine_Field (FieldName, FieldDescription, SourceFieldName, DetailField, Length, SourceRecType, Required, OutputFieldName, AllowedChars, AllowedValues, FieldParameters) VALUES ('", B376, "', '", C376, "', '", D376, "',", E376, ", ", F376, ", '", G376, "', 0, '", K376, "', '", I376, "', '", J376, "', '", N376, "')")</f>
        <v>INSERT INTO TransformationEngine_Field (FieldName, FieldDescription, SourceFieldName, DetailField, Length, SourceRecType, Required, OutputFieldName, AllowedChars, AllowedValues, FieldParameters) VALUES ('UB Box 74 d Multi-page', 'Other Procedure Code d', 'OthProcCodeD',1, 7, 'PageFields', 0, 'OthProcCodeD', 'A-Z,0-9', '', '')</v>
      </c>
    </row>
    <row r="377" spans="1:16" ht="29" x14ac:dyDescent="0.35">
      <c r="A377" s="313">
        <v>2646</v>
      </c>
      <c r="B377" s="314" t="s">
        <v>978</v>
      </c>
      <c r="C377" s="315" t="s">
        <v>783</v>
      </c>
      <c r="D377" s="315" t="s">
        <v>980</v>
      </c>
      <c r="E377" s="313">
        <v>1</v>
      </c>
      <c r="F377" s="313">
        <v>10</v>
      </c>
      <c r="G377" s="313" t="s">
        <v>895</v>
      </c>
      <c r="H377" s="317"/>
      <c r="I377" s="314" t="s">
        <v>85</v>
      </c>
      <c r="J377" s="314"/>
      <c r="K377" s="315" t="s">
        <v>980</v>
      </c>
      <c r="L377" s="315"/>
      <c r="M377" s="318"/>
      <c r="N377" s="314" t="s">
        <v>205</v>
      </c>
      <c r="P377" s="74" t="str">
        <f t="shared" si="1"/>
        <v>INSERT INTO TransformationEngine_Field (FieldName, FieldDescription, SourceFieldName, DetailField, Length, SourceRecType, Required, OutputFieldName, AllowedChars, AllowedValues, FieldParameters) VALUES ('UB Box 74 d Multi-page', 'Other Procedure Date d', 'OthProcDateD',1, 10, 'PageFields', 0, 'OthProcDateD', '0-9,/', '', 'Formatters=DateFormat:MMDDCCYY')</v>
      </c>
    </row>
    <row r="378" spans="1:16" ht="29" x14ac:dyDescent="0.35">
      <c r="A378" s="313">
        <v>2647</v>
      </c>
      <c r="B378" s="314" t="s">
        <v>981</v>
      </c>
      <c r="C378" s="315" t="s">
        <v>786</v>
      </c>
      <c r="D378" s="315" t="s">
        <v>982</v>
      </c>
      <c r="E378" s="313">
        <v>1</v>
      </c>
      <c r="F378" s="313">
        <v>7</v>
      </c>
      <c r="G378" s="313" t="s">
        <v>895</v>
      </c>
      <c r="H378" s="317"/>
      <c r="I378" s="314" t="s">
        <v>71</v>
      </c>
      <c r="J378" s="314"/>
      <c r="K378" s="315" t="s">
        <v>982</v>
      </c>
      <c r="L378" s="315"/>
      <c r="M378" s="318"/>
      <c r="N378" s="314"/>
      <c r="P378" s="74" t="str">
        <f t="shared" si="1"/>
        <v>INSERT INTO TransformationEngine_Field (FieldName, FieldDescription, SourceFieldName, DetailField, Length, SourceRecType, Required, OutputFieldName, AllowedChars, AllowedValues, FieldParameters) VALUES ('UB Box 74 e Multi-page', 'Other Procedure Code e', 'OthProcCodeE',1, 7, 'PageFields', 0, 'OthProcCodeE', 'A-Z,0-9', '', '')</v>
      </c>
    </row>
    <row r="379" spans="1:16" ht="29" x14ac:dyDescent="0.35">
      <c r="A379" s="313">
        <v>2648</v>
      </c>
      <c r="B379" s="314" t="s">
        <v>981</v>
      </c>
      <c r="C379" s="315" t="s">
        <v>788</v>
      </c>
      <c r="D379" s="315" t="s">
        <v>983</v>
      </c>
      <c r="E379" s="313">
        <v>1</v>
      </c>
      <c r="F379" s="313">
        <v>10</v>
      </c>
      <c r="G379" s="313" t="s">
        <v>895</v>
      </c>
      <c r="H379" s="317"/>
      <c r="I379" s="314" t="s">
        <v>85</v>
      </c>
      <c r="J379" s="314"/>
      <c r="K379" s="315" t="s">
        <v>983</v>
      </c>
      <c r="L379" s="315"/>
      <c r="M379" s="318"/>
      <c r="N379" s="314" t="s">
        <v>205</v>
      </c>
      <c r="P379" s="74" t="str">
        <f t="shared" si="1"/>
        <v>INSERT INTO TransformationEngine_Field (FieldName, FieldDescription, SourceFieldName, DetailField, Length, SourceRecType, Required, OutputFieldName, AllowedChars, AllowedValues, FieldParameters) VALUES ('UB Box 74 e Multi-page', 'Other Procedure Date e', 'OthProcDateE',1, 10, 'PageFields', 0, 'OthProcDateE', '0-9,/', '', 'Formatters=DateFormat:MMDDCCYY')</v>
      </c>
    </row>
    <row r="380" spans="1:16" ht="29" x14ac:dyDescent="0.35">
      <c r="A380" s="313">
        <v>2649</v>
      </c>
      <c r="B380" s="314" t="s">
        <v>984</v>
      </c>
      <c r="C380" s="315" t="s">
        <v>849</v>
      </c>
      <c r="D380" s="315" t="s">
        <v>985</v>
      </c>
      <c r="E380" s="313">
        <v>1</v>
      </c>
      <c r="F380" s="313">
        <v>60</v>
      </c>
      <c r="G380" s="313" t="s">
        <v>895</v>
      </c>
      <c r="H380" s="317"/>
      <c r="I380" s="314"/>
      <c r="J380" s="314"/>
      <c r="K380" s="315" t="s">
        <v>985</v>
      </c>
      <c r="L380" s="315"/>
      <c r="M380" s="318"/>
      <c r="N380" s="314"/>
      <c r="P380" s="74" t="str">
        <f t="shared" si="0"/>
        <v>INSERT INTO TransformationEngine_Field (FieldName, FieldDescription, SourceFieldName, DetailField, Length, SourceRecType, Required, OutputFieldName, AllowedChars, AllowedValues, FieldParameters) VALUES ('UB Box 80 Multi-page', 'Remarks Line 1', 'Remarks1',1, 60, 'PageFields', 0, 'Remarks1', '', '', '')</v>
      </c>
    </row>
    <row r="381" spans="1:16" ht="29" x14ac:dyDescent="0.35">
      <c r="A381" s="313">
        <v>2650</v>
      </c>
      <c r="B381" s="314" t="s">
        <v>984</v>
      </c>
      <c r="C381" s="315" t="s">
        <v>851</v>
      </c>
      <c r="D381" s="315" t="s">
        <v>986</v>
      </c>
      <c r="E381" s="313">
        <v>1</v>
      </c>
      <c r="F381" s="313">
        <v>60</v>
      </c>
      <c r="G381" s="313" t="s">
        <v>895</v>
      </c>
      <c r="H381" s="317"/>
      <c r="I381" s="314"/>
      <c r="J381" s="314"/>
      <c r="K381" s="315" t="s">
        <v>986</v>
      </c>
      <c r="L381" s="315"/>
      <c r="M381" s="318"/>
      <c r="N381" s="314"/>
      <c r="P381" s="74" t="str">
        <f t="shared" si="0"/>
        <v>INSERT INTO TransformationEngine_Field (FieldName, FieldDescription, SourceFieldName, DetailField, Length, SourceRecType, Required, OutputFieldName, AllowedChars, AllowedValues, FieldParameters) VALUES ('UB Box 80 Multi-page', 'Remarks Line 2', 'Remarks2',1, 60, 'PageFields', 0, 'Remarks2', '', '', '')</v>
      </c>
    </row>
    <row r="382" spans="1:16" ht="29" x14ac:dyDescent="0.35">
      <c r="A382" s="313">
        <v>2651</v>
      </c>
      <c r="B382" s="314" t="s">
        <v>984</v>
      </c>
      <c r="C382" s="315" t="s">
        <v>853</v>
      </c>
      <c r="D382" s="315" t="s">
        <v>987</v>
      </c>
      <c r="E382" s="313">
        <v>1</v>
      </c>
      <c r="F382" s="313">
        <v>60</v>
      </c>
      <c r="G382" s="313" t="s">
        <v>895</v>
      </c>
      <c r="H382" s="317"/>
      <c r="I382" s="314"/>
      <c r="J382" s="314"/>
      <c r="K382" s="315" t="s">
        <v>987</v>
      </c>
      <c r="L382" s="315"/>
      <c r="M382" s="318"/>
      <c r="N382" s="314"/>
      <c r="P382" s="74" t="str">
        <f t="shared" si="0"/>
        <v>INSERT INTO TransformationEngine_Field (FieldName, FieldDescription, SourceFieldName, DetailField, Length, SourceRecType, Required, OutputFieldName, AllowedChars, AllowedValues, FieldParameters) VALUES ('UB Box 80 Multi-page', 'Remarks Line 3', 'Remarks3',1, 60, 'PageFields', 0, 'Remarks3', '', '', '')</v>
      </c>
    </row>
    <row r="383" spans="1:16" ht="29" x14ac:dyDescent="0.35">
      <c r="A383" s="313">
        <v>2652</v>
      </c>
      <c r="B383" s="314" t="s">
        <v>984</v>
      </c>
      <c r="C383" s="315" t="s">
        <v>855</v>
      </c>
      <c r="D383" s="315" t="s">
        <v>988</v>
      </c>
      <c r="E383" s="313">
        <v>1</v>
      </c>
      <c r="F383" s="313">
        <v>60</v>
      </c>
      <c r="G383" s="313" t="s">
        <v>895</v>
      </c>
      <c r="H383" s="317"/>
      <c r="I383" s="314"/>
      <c r="J383" s="314"/>
      <c r="K383" s="315" t="s">
        <v>988</v>
      </c>
      <c r="L383" s="315"/>
      <c r="M383" s="318"/>
      <c r="N383" s="314"/>
      <c r="P383" s="74" t="str">
        <f t="shared" si="0"/>
        <v>INSERT INTO TransformationEngine_Field (FieldName, FieldDescription, SourceFieldName, DetailField, Length, SourceRecType, Required, OutputFieldName, AllowedChars, AllowedValues, FieldParameters) VALUES ('UB Box 80 Multi-page', 'Remarks Line 4', 'Remarks4',1, 60, 'PageFields', 0, 'Remarks4', '', '', '')</v>
      </c>
    </row>
    <row r="384" spans="1:16" ht="4" customHeight="1" x14ac:dyDescent="0.35">
      <c r="A384" s="307"/>
      <c r="B384" s="309"/>
      <c r="C384" s="309"/>
      <c r="D384" s="309"/>
      <c r="E384" s="307"/>
      <c r="F384" s="307"/>
      <c r="G384" s="307"/>
      <c r="H384" s="310"/>
      <c r="I384" s="308"/>
      <c r="J384" s="308"/>
      <c r="K384" s="308"/>
      <c r="L384" s="308"/>
      <c r="M384" s="311"/>
      <c r="N384" s="308"/>
      <c r="P384" s="312"/>
    </row>
  </sheetData>
  <phoneticPr fontId="5"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B247"/>
  <sheetViews>
    <sheetView tabSelected="1" topLeftCell="C1" zoomScale="145" zoomScaleNormal="145" workbookViewId="0">
      <pane ySplit="1" topLeftCell="A32" activePane="bottomLeft" state="frozen"/>
      <selection pane="bottomLeft" activeCell="F42" sqref="F42"/>
    </sheetView>
  </sheetViews>
  <sheetFormatPr defaultColWidth="9.26953125" defaultRowHeight="14.5" x14ac:dyDescent="0.35"/>
  <cols>
    <col min="1" max="1" width="6.81640625" style="68" customWidth="1"/>
    <col min="2" max="2" width="6.26953125" style="22" customWidth="1"/>
    <col min="3" max="3" width="6.1796875" style="22" customWidth="1"/>
    <col min="4" max="4" width="23.7265625" style="6" customWidth="1"/>
    <col min="5" max="5" width="22.54296875" style="6" customWidth="1"/>
    <col min="6" max="6" width="26.7265625" style="6" customWidth="1"/>
    <col min="7" max="7" width="8.54296875" style="3" customWidth="1"/>
    <col min="8" max="8" width="7.54296875" style="3" customWidth="1"/>
    <col min="9" max="9" width="20" style="6" customWidth="1"/>
    <col min="10" max="10" width="11.7265625" style="6" customWidth="1"/>
    <col min="11" max="11" width="65.54296875" style="76" customWidth="1"/>
    <col min="12" max="12" width="39.81640625" style="76" customWidth="1"/>
    <col min="13" max="13" width="21.81640625" style="4" customWidth="1"/>
    <col min="14" max="16384" width="9.26953125" style="4"/>
  </cols>
  <sheetData>
    <row r="1" spans="1:16382" ht="29" x14ac:dyDescent="0.35">
      <c r="A1" s="86" t="s">
        <v>989</v>
      </c>
      <c r="B1" s="1" t="s">
        <v>990</v>
      </c>
      <c r="C1" s="1" t="s">
        <v>991</v>
      </c>
      <c r="D1" s="5" t="s">
        <v>992</v>
      </c>
      <c r="E1" s="5" t="s">
        <v>993</v>
      </c>
      <c r="F1" s="5" t="s">
        <v>994</v>
      </c>
      <c r="G1" s="5" t="s">
        <v>995</v>
      </c>
      <c r="H1" s="5" t="s">
        <v>996</v>
      </c>
      <c r="I1" s="5" t="s">
        <v>997</v>
      </c>
      <c r="J1" s="5" t="s">
        <v>998</v>
      </c>
      <c r="K1" s="69" t="s">
        <v>999</v>
      </c>
      <c r="L1" s="69" t="s">
        <v>1000</v>
      </c>
      <c r="M1" s="5" t="s">
        <v>1001</v>
      </c>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c r="CUB1" s="3"/>
      <c r="CUC1" s="3"/>
      <c r="CUD1" s="3"/>
      <c r="CUE1" s="3"/>
      <c r="CUF1" s="3"/>
      <c r="CUG1" s="3"/>
      <c r="CUH1" s="3"/>
      <c r="CUI1" s="3"/>
      <c r="CUJ1" s="3"/>
      <c r="CUK1" s="3"/>
      <c r="CUL1" s="3"/>
      <c r="CUM1" s="3"/>
      <c r="CUN1" s="3"/>
      <c r="CUO1" s="3"/>
      <c r="CUP1" s="3"/>
      <c r="CUQ1" s="3"/>
      <c r="CUR1" s="3"/>
      <c r="CUS1" s="3"/>
      <c r="CUT1" s="3"/>
      <c r="CUU1" s="3"/>
      <c r="CUV1" s="3"/>
      <c r="CUW1" s="3"/>
      <c r="CUX1" s="3"/>
      <c r="CUY1" s="3"/>
      <c r="CUZ1" s="3"/>
      <c r="CVA1" s="3"/>
      <c r="CVB1" s="3"/>
      <c r="CVC1" s="3"/>
      <c r="CVD1" s="3"/>
      <c r="CVE1" s="3"/>
      <c r="CVF1" s="3"/>
      <c r="CVG1" s="3"/>
      <c r="CVH1" s="3"/>
      <c r="CVI1" s="3"/>
      <c r="CVJ1" s="3"/>
      <c r="CVK1" s="3"/>
      <c r="CVL1" s="3"/>
      <c r="CVM1" s="3"/>
      <c r="CVN1" s="3"/>
      <c r="CVO1" s="3"/>
      <c r="CVP1" s="3"/>
      <c r="CVQ1" s="3"/>
      <c r="CVR1" s="3"/>
      <c r="CVS1" s="3"/>
      <c r="CVT1" s="3"/>
      <c r="CVU1" s="3"/>
      <c r="CVV1" s="3"/>
      <c r="CVW1" s="3"/>
      <c r="CVX1" s="3"/>
      <c r="CVY1" s="3"/>
      <c r="CVZ1" s="3"/>
      <c r="CWA1" s="3"/>
      <c r="CWB1" s="3"/>
      <c r="CWC1" s="3"/>
      <c r="CWD1" s="3"/>
      <c r="CWE1" s="3"/>
      <c r="CWF1" s="3"/>
      <c r="CWG1" s="3"/>
      <c r="CWH1" s="3"/>
      <c r="CWI1" s="3"/>
      <c r="CWJ1" s="3"/>
      <c r="CWK1" s="3"/>
      <c r="CWL1" s="3"/>
      <c r="CWM1" s="3"/>
      <c r="CWN1" s="3"/>
      <c r="CWO1" s="3"/>
      <c r="CWP1" s="3"/>
      <c r="CWQ1" s="3"/>
      <c r="CWR1" s="3"/>
      <c r="CWS1" s="3"/>
      <c r="CWT1" s="3"/>
      <c r="CWU1" s="3"/>
      <c r="CWV1" s="3"/>
      <c r="CWW1" s="3"/>
      <c r="CWX1" s="3"/>
      <c r="CWY1" s="3"/>
      <c r="CWZ1" s="3"/>
      <c r="CXA1" s="3"/>
      <c r="CXB1" s="3"/>
      <c r="CXC1" s="3"/>
      <c r="CXD1" s="3"/>
      <c r="CXE1" s="3"/>
      <c r="CXF1" s="3"/>
      <c r="CXG1" s="3"/>
      <c r="CXH1" s="3"/>
      <c r="CXI1" s="3"/>
      <c r="CXJ1" s="3"/>
      <c r="CXK1" s="3"/>
      <c r="CXL1" s="3"/>
      <c r="CXM1" s="3"/>
      <c r="CXN1" s="3"/>
      <c r="CXO1" s="3"/>
      <c r="CXP1" s="3"/>
      <c r="CXQ1" s="3"/>
      <c r="CXR1" s="3"/>
      <c r="CXS1" s="3"/>
      <c r="CXT1" s="3"/>
      <c r="CXU1" s="3"/>
      <c r="CXV1" s="3"/>
      <c r="CXW1" s="3"/>
      <c r="CXX1" s="3"/>
      <c r="CXY1" s="3"/>
      <c r="CXZ1" s="3"/>
      <c r="CYA1" s="3"/>
      <c r="CYB1" s="3"/>
      <c r="CYC1" s="3"/>
      <c r="CYD1" s="3"/>
      <c r="CYE1" s="3"/>
      <c r="CYF1" s="3"/>
      <c r="CYG1" s="3"/>
      <c r="CYH1" s="3"/>
      <c r="CYI1" s="3"/>
      <c r="CYJ1" s="3"/>
      <c r="CYK1" s="3"/>
      <c r="CYL1" s="3"/>
      <c r="CYM1" s="3"/>
      <c r="CYN1" s="3"/>
      <c r="CYO1" s="3"/>
      <c r="CYP1" s="3"/>
      <c r="CYQ1" s="3"/>
      <c r="CYR1" s="3"/>
      <c r="CYS1" s="3"/>
      <c r="CYT1" s="3"/>
      <c r="CYU1" s="3"/>
      <c r="CYV1" s="3"/>
      <c r="CYW1" s="3"/>
      <c r="CYX1" s="3"/>
      <c r="CYY1" s="3"/>
      <c r="CYZ1" s="3"/>
      <c r="CZA1" s="3"/>
      <c r="CZB1" s="3"/>
      <c r="CZC1" s="3"/>
      <c r="CZD1" s="3"/>
      <c r="CZE1" s="3"/>
      <c r="CZF1" s="3"/>
      <c r="CZG1" s="3"/>
      <c r="CZH1" s="3"/>
      <c r="CZI1" s="3"/>
      <c r="CZJ1" s="3"/>
      <c r="CZK1" s="3"/>
      <c r="CZL1" s="3"/>
      <c r="CZM1" s="3"/>
      <c r="CZN1" s="3"/>
      <c r="CZO1" s="3"/>
      <c r="CZP1" s="3"/>
      <c r="CZQ1" s="3"/>
      <c r="CZR1" s="3"/>
      <c r="CZS1" s="3"/>
      <c r="CZT1" s="3"/>
      <c r="CZU1" s="3"/>
      <c r="CZV1" s="3"/>
      <c r="CZW1" s="3"/>
      <c r="CZX1" s="3"/>
      <c r="CZY1" s="3"/>
      <c r="CZZ1" s="3"/>
      <c r="DAA1" s="3"/>
      <c r="DAB1" s="3"/>
      <c r="DAC1" s="3"/>
      <c r="DAD1" s="3"/>
      <c r="DAE1" s="3"/>
      <c r="DAF1" s="3"/>
      <c r="DAG1" s="3"/>
      <c r="DAH1" s="3"/>
      <c r="DAI1" s="3"/>
      <c r="DAJ1" s="3"/>
      <c r="DAK1" s="3"/>
      <c r="DAL1" s="3"/>
      <c r="DAM1" s="3"/>
      <c r="DAN1" s="3"/>
      <c r="DAO1" s="3"/>
      <c r="DAP1" s="3"/>
      <c r="DAQ1" s="3"/>
      <c r="DAR1" s="3"/>
      <c r="DAS1" s="3"/>
      <c r="DAT1" s="3"/>
      <c r="DAU1" s="3"/>
      <c r="DAV1" s="3"/>
      <c r="DAW1" s="3"/>
      <c r="DAX1" s="3"/>
      <c r="DAY1" s="3"/>
      <c r="DAZ1" s="3"/>
      <c r="DBA1" s="3"/>
      <c r="DBB1" s="3"/>
      <c r="DBC1" s="3"/>
      <c r="DBD1" s="3"/>
      <c r="DBE1" s="3"/>
      <c r="DBF1" s="3"/>
      <c r="DBG1" s="3"/>
      <c r="DBH1" s="3"/>
      <c r="DBI1" s="3"/>
      <c r="DBJ1" s="3"/>
      <c r="DBK1" s="3"/>
      <c r="DBL1" s="3"/>
      <c r="DBM1" s="3"/>
      <c r="DBN1" s="3"/>
      <c r="DBO1" s="3"/>
      <c r="DBP1" s="3"/>
      <c r="DBQ1" s="3"/>
      <c r="DBR1" s="3"/>
      <c r="DBS1" s="3"/>
      <c r="DBT1" s="3"/>
      <c r="DBU1" s="3"/>
      <c r="DBV1" s="3"/>
      <c r="DBW1" s="3"/>
      <c r="DBX1" s="3"/>
      <c r="DBY1" s="3"/>
      <c r="DBZ1" s="3"/>
      <c r="DCA1" s="3"/>
      <c r="DCB1" s="3"/>
      <c r="DCC1" s="3"/>
      <c r="DCD1" s="3"/>
      <c r="DCE1" s="3"/>
      <c r="DCF1" s="3"/>
      <c r="DCG1" s="3"/>
      <c r="DCH1" s="3"/>
      <c r="DCI1" s="3"/>
      <c r="DCJ1" s="3"/>
      <c r="DCK1" s="3"/>
      <c r="DCL1" s="3"/>
      <c r="DCM1" s="3"/>
      <c r="DCN1" s="3"/>
      <c r="DCO1" s="3"/>
      <c r="DCP1" s="3"/>
      <c r="DCQ1" s="3"/>
      <c r="DCR1" s="3"/>
      <c r="DCS1" s="3"/>
      <c r="DCT1" s="3"/>
      <c r="DCU1" s="3"/>
      <c r="DCV1" s="3"/>
      <c r="DCW1" s="3"/>
      <c r="DCX1" s="3"/>
      <c r="DCY1" s="3"/>
      <c r="DCZ1" s="3"/>
      <c r="DDA1" s="3"/>
      <c r="DDB1" s="3"/>
      <c r="DDC1" s="3"/>
      <c r="DDD1" s="3"/>
      <c r="DDE1" s="3"/>
      <c r="DDF1" s="3"/>
      <c r="DDG1" s="3"/>
      <c r="DDH1" s="3"/>
      <c r="DDI1" s="3"/>
      <c r="DDJ1" s="3"/>
      <c r="DDK1" s="3"/>
      <c r="DDL1" s="3"/>
      <c r="DDM1" s="3"/>
      <c r="DDN1" s="3"/>
      <c r="DDO1" s="3"/>
      <c r="DDP1" s="3"/>
      <c r="DDQ1" s="3"/>
      <c r="DDR1" s="3"/>
      <c r="DDS1" s="3"/>
      <c r="DDT1" s="3"/>
      <c r="DDU1" s="3"/>
      <c r="DDV1" s="3"/>
      <c r="DDW1" s="3"/>
      <c r="DDX1" s="3"/>
      <c r="DDY1" s="3"/>
      <c r="DDZ1" s="3"/>
      <c r="DEA1" s="3"/>
      <c r="DEB1" s="3"/>
      <c r="DEC1" s="3"/>
      <c r="DED1" s="3"/>
      <c r="DEE1" s="3"/>
      <c r="DEF1" s="3"/>
      <c r="DEG1" s="3"/>
      <c r="DEH1" s="3"/>
      <c r="DEI1" s="3"/>
      <c r="DEJ1" s="3"/>
      <c r="DEK1" s="3"/>
      <c r="DEL1" s="3"/>
      <c r="DEM1" s="3"/>
      <c r="DEN1" s="3"/>
      <c r="DEO1" s="3"/>
      <c r="DEP1" s="3"/>
      <c r="DEQ1" s="3"/>
      <c r="DER1" s="3"/>
      <c r="DES1" s="3"/>
      <c r="DET1" s="3"/>
      <c r="DEU1" s="3"/>
      <c r="DEV1" s="3"/>
      <c r="DEW1" s="3"/>
      <c r="DEX1" s="3"/>
      <c r="DEY1" s="3"/>
      <c r="DEZ1" s="3"/>
      <c r="DFA1" s="3"/>
      <c r="DFB1" s="3"/>
      <c r="DFC1" s="3"/>
      <c r="DFD1" s="3"/>
      <c r="DFE1" s="3"/>
      <c r="DFF1" s="3"/>
      <c r="DFG1" s="3"/>
      <c r="DFH1" s="3"/>
      <c r="DFI1" s="3"/>
      <c r="DFJ1" s="3"/>
      <c r="DFK1" s="3"/>
      <c r="DFL1" s="3"/>
      <c r="DFM1" s="3"/>
      <c r="DFN1" s="3"/>
      <c r="DFO1" s="3"/>
      <c r="DFP1" s="3"/>
      <c r="DFQ1" s="3"/>
      <c r="DFR1" s="3"/>
      <c r="DFS1" s="3"/>
      <c r="DFT1" s="3"/>
      <c r="DFU1" s="3"/>
      <c r="DFV1" s="3"/>
      <c r="DFW1" s="3"/>
      <c r="DFX1" s="3"/>
      <c r="DFY1" s="3"/>
      <c r="DFZ1" s="3"/>
      <c r="DGA1" s="3"/>
      <c r="DGB1" s="3"/>
      <c r="DGC1" s="3"/>
      <c r="DGD1" s="3"/>
      <c r="DGE1" s="3"/>
      <c r="DGF1" s="3"/>
      <c r="DGG1" s="3"/>
      <c r="DGH1" s="3"/>
      <c r="DGI1" s="3"/>
      <c r="DGJ1" s="3"/>
      <c r="DGK1" s="3"/>
      <c r="DGL1" s="3"/>
      <c r="DGM1" s="3"/>
      <c r="DGN1" s="3"/>
      <c r="DGO1" s="3"/>
      <c r="DGP1" s="3"/>
      <c r="DGQ1" s="3"/>
      <c r="DGR1" s="3"/>
      <c r="DGS1" s="3"/>
      <c r="DGT1" s="3"/>
      <c r="DGU1" s="3"/>
      <c r="DGV1" s="3"/>
      <c r="DGW1" s="3"/>
      <c r="DGX1" s="3"/>
      <c r="DGY1" s="3"/>
      <c r="DGZ1" s="3"/>
      <c r="DHA1" s="3"/>
      <c r="DHB1" s="3"/>
      <c r="DHC1" s="3"/>
      <c r="DHD1" s="3"/>
      <c r="DHE1" s="3"/>
      <c r="DHF1" s="3"/>
      <c r="DHG1" s="3"/>
      <c r="DHH1" s="3"/>
      <c r="DHI1" s="3"/>
      <c r="DHJ1" s="3"/>
      <c r="DHK1" s="3"/>
      <c r="DHL1" s="3"/>
      <c r="DHM1" s="3"/>
      <c r="DHN1" s="3"/>
      <c r="DHO1" s="3"/>
      <c r="DHP1" s="3"/>
      <c r="DHQ1" s="3"/>
      <c r="DHR1" s="3"/>
      <c r="DHS1" s="3"/>
      <c r="DHT1" s="3"/>
      <c r="DHU1" s="3"/>
      <c r="DHV1" s="3"/>
      <c r="DHW1" s="3"/>
      <c r="DHX1" s="3"/>
      <c r="DHY1" s="3"/>
      <c r="DHZ1" s="3"/>
      <c r="DIA1" s="3"/>
      <c r="DIB1" s="3"/>
      <c r="DIC1" s="3"/>
      <c r="DID1" s="3"/>
      <c r="DIE1" s="3"/>
      <c r="DIF1" s="3"/>
      <c r="DIG1" s="3"/>
      <c r="DIH1" s="3"/>
      <c r="DII1" s="3"/>
      <c r="DIJ1" s="3"/>
      <c r="DIK1" s="3"/>
      <c r="DIL1" s="3"/>
      <c r="DIM1" s="3"/>
      <c r="DIN1" s="3"/>
      <c r="DIO1" s="3"/>
      <c r="DIP1" s="3"/>
      <c r="DIQ1" s="3"/>
      <c r="DIR1" s="3"/>
      <c r="DIS1" s="3"/>
      <c r="DIT1" s="3"/>
      <c r="DIU1" s="3"/>
      <c r="DIV1" s="3"/>
      <c r="DIW1" s="3"/>
      <c r="DIX1" s="3"/>
      <c r="DIY1" s="3"/>
      <c r="DIZ1" s="3"/>
      <c r="DJA1" s="3"/>
      <c r="DJB1" s="3"/>
      <c r="DJC1" s="3"/>
      <c r="DJD1" s="3"/>
      <c r="DJE1" s="3"/>
      <c r="DJF1" s="3"/>
      <c r="DJG1" s="3"/>
      <c r="DJH1" s="3"/>
      <c r="DJI1" s="3"/>
      <c r="DJJ1" s="3"/>
      <c r="DJK1" s="3"/>
      <c r="DJL1" s="3"/>
      <c r="DJM1" s="3"/>
      <c r="DJN1" s="3"/>
      <c r="DJO1" s="3"/>
      <c r="DJP1" s="3"/>
      <c r="DJQ1" s="3"/>
      <c r="DJR1" s="3"/>
      <c r="DJS1" s="3"/>
      <c r="DJT1" s="3"/>
      <c r="DJU1" s="3"/>
      <c r="DJV1" s="3"/>
      <c r="DJW1" s="3"/>
      <c r="DJX1" s="3"/>
      <c r="DJY1" s="3"/>
      <c r="DJZ1" s="3"/>
      <c r="DKA1" s="3"/>
      <c r="DKB1" s="3"/>
      <c r="DKC1" s="3"/>
      <c r="DKD1" s="3"/>
      <c r="DKE1" s="3"/>
      <c r="DKF1" s="3"/>
      <c r="DKG1" s="3"/>
      <c r="DKH1" s="3"/>
      <c r="DKI1" s="3"/>
      <c r="DKJ1" s="3"/>
      <c r="DKK1" s="3"/>
      <c r="DKL1" s="3"/>
      <c r="DKM1" s="3"/>
      <c r="DKN1" s="3"/>
      <c r="DKO1" s="3"/>
      <c r="DKP1" s="3"/>
      <c r="DKQ1" s="3"/>
      <c r="DKR1" s="3"/>
      <c r="DKS1" s="3"/>
      <c r="DKT1" s="3"/>
      <c r="DKU1" s="3"/>
      <c r="DKV1" s="3"/>
      <c r="DKW1" s="3"/>
      <c r="DKX1" s="3"/>
      <c r="DKY1" s="3"/>
      <c r="DKZ1" s="3"/>
      <c r="DLA1" s="3"/>
      <c r="DLB1" s="3"/>
      <c r="DLC1" s="3"/>
      <c r="DLD1" s="3"/>
      <c r="DLE1" s="3"/>
      <c r="DLF1" s="3"/>
      <c r="DLG1" s="3"/>
      <c r="DLH1" s="3"/>
      <c r="DLI1" s="3"/>
      <c r="DLJ1" s="3"/>
      <c r="DLK1" s="3"/>
      <c r="DLL1" s="3"/>
      <c r="DLM1" s="3"/>
      <c r="DLN1" s="3"/>
      <c r="DLO1" s="3"/>
      <c r="DLP1" s="3"/>
      <c r="DLQ1" s="3"/>
      <c r="DLR1" s="3"/>
      <c r="DLS1" s="3"/>
      <c r="DLT1" s="3"/>
      <c r="DLU1" s="3"/>
      <c r="DLV1" s="3"/>
      <c r="DLW1" s="3"/>
      <c r="DLX1" s="3"/>
      <c r="DLY1" s="3"/>
      <c r="DLZ1" s="3"/>
      <c r="DMA1" s="3"/>
      <c r="DMB1" s="3"/>
      <c r="DMC1" s="3"/>
      <c r="DMD1" s="3"/>
      <c r="DME1" s="3"/>
      <c r="DMF1" s="3"/>
      <c r="DMG1" s="3"/>
      <c r="DMH1" s="3"/>
      <c r="DMI1" s="3"/>
      <c r="DMJ1" s="3"/>
      <c r="DMK1" s="3"/>
      <c r="DML1" s="3"/>
      <c r="DMM1" s="3"/>
      <c r="DMN1" s="3"/>
      <c r="DMO1" s="3"/>
      <c r="DMP1" s="3"/>
      <c r="DMQ1" s="3"/>
      <c r="DMR1" s="3"/>
      <c r="DMS1" s="3"/>
      <c r="DMT1" s="3"/>
      <c r="DMU1" s="3"/>
      <c r="DMV1" s="3"/>
      <c r="DMW1" s="3"/>
      <c r="DMX1" s="3"/>
      <c r="DMY1" s="3"/>
      <c r="DMZ1" s="3"/>
      <c r="DNA1" s="3"/>
      <c r="DNB1" s="3"/>
      <c r="DNC1" s="3"/>
      <c r="DND1" s="3"/>
      <c r="DNE1" s="3"/>
      <c r="DNF1" s="3"/>
      <c r="DNG1" s="3"/>
      <c r="DNH1" s="3"/>
      <c r="DNI1" s="3"/>
      <c r="DNJ1" s="3"/>
      <c r="DNK1" s="3"/>
      <c r="DNL1" s="3"/>
      <c r="DNM1" s="3"/>
      <c r="DNN1" s="3"/>
      <c r="DNO1" s="3"/>
      <c r="DNP1" s="3"/>
      <c r="DNQ1" s="3"/>
      <c r="DNR1" s="3"/>
      <c r="DNS1" s="3"/>
      <c r="DNT1" s="3"/>
      <c r="DNU1" s="3"/>
      <c r="DNV1" s="3"/>
      <c r="DNW1" s="3"/>
      <c r="DNX1" s="3"/>
      <c r="DNY1" s="3"/>
      <c r="DNZ1" s="3"/>
      <c r="DOA1" s="3"/>
      <c r="DOB1" s="3"/>
      <c r="DOC1" s="3"/>
      <c r="DOD1" s="3"/>
      <c r="DOE1" s="3"/>
      <c r="DOF1" s="3"/>
      <c r="DOG1" s="3"/>
      <c r="DOH1" s="3"/>
      <c r="DOI1" s="3"/>
      <c r="DOJ1" s="3"/>
      <c r="DOK1" s="3"/>
      <c r="DOL1" s="3"/>
      <c r="DOM1" s="3"/>
      <c r="DON1" s="3"/>
      <c r="DOO1" s="3"/>
      <c r="DOP1" s="3"/>
      <c r="DOQ1" s="3"/>
      <c r="DOR1" s="3"/>
      <c r="DOS1" s="3"/>
      <c r="DOT1" s="3"/>
      <c r="DOU1" s="3"/>
      <c r="DOV1" s="3"/>
      <c r="DOW1" s="3"/>
      <c r="DOX1" s="3"/>
      <c r="DOY1" s="3"/>
      <c r="DOZ1" s="3"/>
      <c r="DPA1" s="3"/>
      <c r="DPB1" s="3"/>
      <c r="DPC1" s="3"/>
      <c r="DPD1" s="3"/>
      <c r="DPE1" s="3"/>
      <c r="DPF1" s="3"/>
      <c r="DPG1" s="3"/>
      <c r="DPH1" s="3"/>
      <c r="DPI1" s="3"/>
      <c r="DPJ1" s="3"/>
      <c r="DPK1" s="3"/>
      <c r="DPL1" s="3"/>
      <c r="DPM1" s="3"/>
      <c r="DPN1" s="3"/>
      <c r="DPO1" s="3"/>
      <c r="DPP1" s="3"/>
      <c r="DPQ1" s="3"/>
      <c r="DPR1" s="3"/>
      <c r="DPS1" s="3"/>
      <c r="DPT1" s="3"/>
      <c r="DPU1" s="3"/>
      <c r="DPV1" s="3"/>
      <c r="DPW1" s="3"/>
      <c r="DPX1" s="3"/>
      <c r="DPY1" s="3"/>
      <c r="DPZ1" s="3"/>
      <c r="DQA1" s="3"/>
      <c r="DQB1" s="3"/>
      <c r="DQC1" s="3"/>
      <c r="DQD1" s="3"/>
      <c r="DQE1" s="3"/>
      <c r="DQF1" s="3"/>
      <c r="DQG1" s="3"/>
      <c r="DQH1" s="3"/>
      <c r="DQI1" s="3"/>
      <c r="DQJ1" s="3"/>
      <c r="DQK1" s="3"/>
      <c r="DQL1" s="3"/>
      <c r="DQM1" s="3"/>
      <c r="DQN1" s="3"/>
      <c r="DQO1" s="3"/>
      <c r="DQP1" s="3"/>
      <c r="DQQ1" s="3"/>
      <c r="DQR1" s="3"/>
      <c r="DQS1" s="3"/>
      <c r="DQT1" s="3"/>
      <c r="DQU1" s="3"/>
      <c r="DQV1" s="3"/>
      <c r="DQW1" s="3"/>
      <c r="DQX1" s="3"/>
      <c r="DQY1" s="3"/>
      <c r="DQZ1" s="3"/>
      <c r="DRA1" s="3"/>
      <c r="DRB1" s="3"/>
      <c r="DRC1" s="3"/>
      <c r="DRD1" s="3"/>
      <c r="DRE1" s="3"/>
      <c r="DRF1" s="3"/>
      <c r="DRG1" s="3"/>
      <c r="DRH1" s="3"/>
      <c r="DRI1" s="3"/>
      <c r="DRJ1" s="3"/>
      <c r="DRK1" s="3"/>
      <c r="DRL1" s="3"/>
      <c r="DRM1" s="3"/>
      <c r="DRN1" s="3"/>
      <c r="DRO1" s="3"/>
      <c r="DRP1" s="3"/>
      <c r="DRQ1" s="3"/>
      <c r="DRR1" s="3"/>
      <c r="DRS1" s="3"/>
      <c r="DRT1" s="3"/>
      <c r="DRU1" s="3"/>
      <c r="DRV1" s="3"/>
      <c r="DRW1" s="3"/>
      <c r="DRX1" s="3"/>
      <c r="DRY1" s="3"/>
      <c r="DRZ1" s="3"/>
      <c r="DSA1" s="3"/>
      <c r="DSB1" s="3"/>
      <c r="DSC1" s="3"/>
      <c r="DSD1" s="3"/>
      <c r="DSE1" s="3"/>
      <c r="DSF1" s="3"/>
      <c r="DSG1" s="3"/>
      <c r="DSH1" s="3"/>
      <c r="DSI1" s="3"/>
      <c r="DSJ1" s="3"/>
      <c r="DSK1" s="3"/>
      <c r="DSL1" s="3"/>
      <c r="DSM1" s="3"/>
      <c r="DSN1" s="3"/>
      <c r="DSO1" s="3"/>
      <c r="DSP1" s="3"/>
      <c r="DSQ1" s="3"/>
      <c r="DSR1" s="3"/>
      <c r="DSS1" s="3"/>
      <c r="DST1" s="3"/>
      <c r="DSU1" s="3"/>
      <c r="DSV1" s="3"/>
      <c r="DSW1" s="3"/>
      <c r="DSX1" s="3"/>
      <c r="DSY1" s="3"/>
      <c r="DSZ1" s="3"/>
      <c r="DTA1" s="3"/>
      <c r="DTB1" s="3"/>
      <c r="DTC1" s="3"/>
      <c r="DTD1" s="3"/>
      <c r="DTE1" s="3"/>
      <c r="DTF1" s="3"/>
      <c r="DTG1" s="3"/>
      <c r="DTH1" s="3"/>
      <c r="DTI1" s="3"/>
      <c r="DTJ1" s="3"/>
      <c r="DTK1" s="3"/>
      <c r="DTL1" s="3"/>
      <c r="DTM1" s="3"/>
      <c r="DTN1" s="3"/>
      <c r="DTO1" s="3"/>
      <c r="DTP1" s="3"/>
      <c r="DTQ1" s="3"/>
      <c r="DTR1" s="3"/>
      <c r="DTS1" s="3"/>
      <c r="DTT1" s="3"/>
      <c r="DTU1" s="3"/>
      <c r="DTV1" s="3"/>
      <c r="DTW1" s="3"/>
      <c r="DTX1" s="3"/>
      <c r="DTY1" s="3"/>
      <c r="DTZ1" s="3"/>
      <c r="DUA1" s="3"/>
      <c r="DUB1" s="3"/>
      <c r="DUC1" s="3"/>
      <c r="DUD1" s="3"/>
      <c r="DUE1" s="3"/>
      <c r="DUF1" s="3"/>
      <c r="DUG1" s="3"/>
      <c r="DUH1" s="3"/>
      <c r="DUI1" s="3"/>
      <c r="DUJ1" s="3"/>
      <c r="DUK1" s="3"/>
      <c r="DUL1" s="3"/>
      <c r="DUM1" s="3"/>
      <c r="DUN1" s="3"/>
      <c r="DUO1" s="3"/>
      <c r="DUP1" s="3"/>
      <c r="DUQ1" s="3"/>
      <c r="DUR1" s="3"/>
      <c r="DUS1" s="3"/>
      <c r="DUT1" s="3"/>
      <c r="DUU1" s="3"/>
      <c r="DUV1" s="3"/>
      <c r="DUW1" s="3"/>
      <c r="DUX1" s="3"/>
      <c r="DUY1" s="3"/>
      <c r="DUZ1" s="3"/>
      <c r="DVA1" s="3"/>
      <c r="DVB1" s="3"/>
      <c r="DVC1" s="3"/>
      <c r="DVD1" s="3"/>
      <c r="DVE1" s="3"/>
      <c r="DVF1" s="3"/>
      <c r="DVG1" s="3"/>
      <c r="DVH1" s="3"/>
      <c r="DVI1" s="3"/>
      <c r="DVJ1" s="3"/>
      <c r="DVK1" s="3"/>
      <c r="DVL1" s="3"/>
      <c r="DVM1" s="3"/>
      <c r="DVN1" s="3"/>
      <c r="DVO1" s="3"/>
      <c r="DVP1" s="3"/>
      <c r="DVQ1" s="3"/>
      <c r="DVR1" s="3"/>
      <c r="DVS1" s="3"/>
      <c r="DVT1" s="3"/>
      <c r="DVU1" s="3"/>
      <c r="DVV1" s="3"/>
      <c r="DVW1" s="3"/>
      <c r="DVX1" s="3"/>
      <c r="DVY1" s="3"/>
      <c r="DVZ1" s="3"/>
      <c r="DWA1" s="3"/>
      <c r="DWB1" s="3"/>
      <c r="DWC1" s="3"/>
      <c r="DWD1" s="3"/>
      <c r="DWE1" s="3"/>
      <c r="DWF1" s="3"/>
      <c r="DWG1" s="3"/>
      <c r="DWH1" s="3"/>
      <c r="DWI1" s="3"/>
      <c r="DWJ1" s="3"/>
      <c r="DWK1" s="3"/>
      <c r="DWL1" s="3"/>
      <c r="DWM1" s="3"/>
      <c r="DWN1" s="3"/>
      <c r="DWO1" s="3"/>
      <c r="DWP1" s="3"/>
      <c r="DWQ1" s="3"/>
      <c r="DWR1" s="3"/>
      <c r="DWS1" s="3"/>
      <c r="DWT1" s="3"/>
      <c r="DWU1" s="3"/>
      <c r="DWV1" s="3"/>
      <c r="DWW1" s="3"/>
      <c r="DWX1" s="3"/>
      <c r="DWY1" s="3"/>
      <c r="DWZ1" s="3"/>
      <c r="DXA1" s="3"/>
      <c r="DXB1" s="3"/>
      <c r="DXC1" s="3"/>
      <c r="DXD1" s="3"/>
      <c r="DXE1" s="3"/>
      <c r="DXF1" s="3"/>
      <c r="DXG1" s="3"/>
      <c r="DXH1" s="3"/>
      <c r="DXI1" s="3"/>
      <c r="DXJ1" s="3"/>
      <c r="DXK1" s="3"/>
      <c r="DXL1" s="3"/>
      <c r="DXM1" s="3"/>
      <c r="DXN1" s="3"/>
      <c r="DXO1" s="3"/>
      <c r="DXP1" s="3"/>
      <c r="DXQ1" s="3"/>
      <c r="DXR1" s="3"/>
      <c r="DXS1" s="3"/>
      <c r="DXT1" s="3"/>
      <c r="DXU1" s="3"/>
      <c r="DXV1" s="3"/>
      <c r="DXW1" s="3"/>
      <c r="DXX1" s="3"/>
      <c r="DXY1" s="3"/>
      <c r="DXZ1" s="3"/>
      <c r="DYA1" s="3"/>
      <c r="DYB1" s="3"/>
      <c r="DYC1" s="3"/>
      <c r="DYD1" s="3"/>
      <c r="DYE1" s="3"/>
      <c r="DYF1" s="3"/>
      <c r="DYG1" s="3"/>
      <c r="DYH1" s="3"/>
      <c r="DYI1" s="3"/>
      <c r="DYJ1" s="3"/>
      <c r="DYK1" s="3"/>
      <c r="DYL1" s="3"/>
      <c r="DYM1" s="3"/>
      <c r="DYN1" s="3"/>
      <c r="DYO1" s="3"/>
      <c r="DYP1" s="3"/>
      <c r="DYQ1" s="3"/>
      <c r="DYR1" s="3"/>
      <c r="DYS1" s="3"/>
      <c r="DYT1" s="3"/>
      <c r="DYU1" s="3"/>
      <c r="DYV1" s="3"/>
      <c r="DYW1" s="3"/>
      <c r="DYX1" s="3"/>
      <c r="DYY1" s="3"/>
      <c r="DYZ1" s="3"/>
      <c r="DZA1" s="3"/>
      <c r="DZB1" s="3"/>
      <c r="DZC1" s="3"/>
      <c r="DZD1" s="3"/>
      <c r="DZE1" s="3"/>
      <c r="DZF1" s="3"/>
      <c r="DZG1" s="3"/>
      <c r="DZH1" s="3"/>
      <c r="DZI1" s="3"/>
      <c r="DZJ1" s="3"/>
      <c r="DZK1" s="3"/>
      <c r="DZL1" s="3"/>
      <c r="DZM1" s="3"/>
      <c r="DZN1" s="3"/>
      <c r="DZO1" s="3"/>
      <c r="DZP1" s="3"/>
      <c r="DZQ1" s="3"/>
      <c r="DZR1" s="3"/>
      <c r="DZS1" s="3"/>
      <c r="DZT1" s="3"/>
      <c r="DZU1" s="3"/>
      <c r="DZV1" s="3"/>
      <c r="DZW1" s="3"/>
      <c r="DZX1" s="3"/>
      <c r="DZY1" s="3"/>
      <c r="DZZ1" s="3"/>
      <c r="EAA1" s="3"/>
      <c r="EAB1" s="3"/>
      <c r="EAC1" s="3"/>
      <c r="EAD1" s="3"/>
      <c r="EAE1" s="3"/>
      <c r="EAF1" s="3"/>
      <c r="EAG1" s="3"/>
      <c r="EAH1" s="3"/>
      <c r="EAI1" s="3"/>
      <c r="EAJ1" s="3"/>
      <c r="EAK1" s="3"/>
      <c r="EAL1" s="3"/>
      <c r="EAM1" s="3"/>
      <c r="EAN1" s="3"/>
      <c r="EAO1" s="3"/>
      <c r="EAP1" s="3"/>
      <c r="EAQ1" s="3"/>
      <c r="EAR1" s="3"/>
      <c r="EAS1" s="3"/>
      <c r="EAT1" s="3"/>
      <c r="EAU1" s="3"/>
      <c r="EAV1" s="3"/>
      <c r="EAW1" s="3"/>
      <c r="EAX1" s="3"/>
      <c r="EAY1" s="3"/>
      <c r="EAZ1" s="3"/>
      <c r="EBA1" s="3"/>
      <c r="EBB1" s="3"/>
      <c r="EBC1" s="3"/>
      <c r="EBD1" s="3"/>
      <c r="EBE1" s="3"/>
      <c r="EBF1" s="3"/>
      <c r="EBG1" s="3"/>
      <c r="EBH1" s="3"/>
      <c r="EBI1" s="3"/>
      <c r="EBJ1" s="3"/>
      <c r="EBK1" s="3"/>
      <c r="EBL1" s="3"/>
      <c r="EBM1" s="3"/>
      <c r="EBN1" s="3"/>
      <c r="EBO1" s="3"/>
      <c r="EBP1" s="3"/>
      <c r="EBQ1" s="3"/>
      <c r="EBR1" s="3"/>
      <c r="EBS1" s="3"/>
      <c r="EBT1" s="3"/>
      <c r="EBU1" s="3"/>
      <c r="EBV1" s="3"/>
      <c r="EBW1" s="3"/>
      <c r="EBX1" s="3"/>
      <c r="EBY1" s="3"/>
      <c r="EBZ1" s="3"/>
      <c r="ECA1" s="3"/>
      <c r="ECB1" s="3"/>
      <c r="ECC1" s="3"/>
      <c r="ECD1" s="3"/>
      <c r="ECE1" s="3"/>
      <c r="ECF1" s="3"/>
      <c r="ECG1" s="3"/>
      <c r="ECH1" s="3"/>
      <c r="ECI1" s="3"/>
      <c r="ECJ1" s="3"/>
      <c r="ECK1" s="3"/>
      <c r="ECL1" s="3"/>
      <c r="ECM1" s="3"/>
      <c r="ECN1" s="3"/>
      <c r="ECO1" s="3"/>
      <c r="ECP1" s="3"/>
      <c r="ECQ1" s="3"/>
      <c r="ECR1" s="3"/>
      <c r="ECS1" s="3"/>
      <c r="ECT1" s="3"/>
      <c r="ECU1" s="3"/>
      <c r="ECV1" s="3"/>
      <c r="ECW1" s="3"/>
      <c r="ECX1" s="3"/>
      <c r="ECY1" s="3"/>
      <c r="ECZ1" s="3"/>
      <c r="EDA1" s="3"/>
      <c r="EDB1" s="3"/>
      <c r="EDC1" s="3"/>
      <c r="EDD1" s="3"/>
      <c r="EDE1" s="3"/>
      <c r="EDF1" s="3"/>
      <c r="EDG1" s="3"/>
      <c r="EDH1" s="3"/>
      <c r="EDI1" s="3"/>
      <c r="EDJ1" s="3"/>
      <c r="EDK1" s="3"/>
      <c r="EDL1" s="3"/>
      <c r="EDM1" s="3"/>
      <c r="EDN1" s="3"/>
      <c r="EDO1" s="3"/>
      <c r="EDP1" s="3"/>
      <c r="EDQ1" s="3"/>
      <c r="EDR1" s="3"/>
      <c r="EDS1" s="3"/>
      <c r="EDT1" s="3"/>
      <c r="EDU1" s="3"/>
      <c r="EDV1" s="3"/>
      <c r="EDW1" s="3"/>
      <c r="EDX1" s="3"/>
      <c r="EDY1" s="3"/>
      <c r="EDZ1" s="3"/>
      <c r="EEA1" s="3"/>
      <c r="EEB1" s="3"/>
      <c r="EEC1" s="3"/>
      <c r="EED1" s="3"/>
      <c r="EEE1" s="3"/>
      <c r="EEF1" s="3"/>
      <c r="EEG1" s="3"/>
      <c r="EEH1" s="3"/>
      <c r="EEI1" s="3"/>
      <c r="EEJ1" s="3"/>
      <c r="EEK1" s="3"/>
      <c r="EEL1" s="3"/>
      <c r="EEM1" s="3"/>
      <c r="EEN1" s="3"/>
      <c r="EEO1" s="3"/>
      <c r="EEP1" s="3"/>
      <c r="EEQ1" s="3"/>
      <c r="EER1" s="3"/>
      <c r="EES1" s="3"/>
      <c r="EET1" s="3"/>
      <c r="EEU1" s="3"/>
      <c r="EEV1" s="3"/>
      <c r="EEW1" s="3"/>
      <c r="EEX1" s="3"/>
      <c r="EEY1" s="3"/>
      <c r="EEZ1" s="3"/>
      <c r="EFA1" s="3"/>
      <c r="EFB1" s="3"/>
      <c r="EFC1" s="3"/>
      <c r="EFD1" s="3"/>
      <c r="EFE1" s="3"/>
      <c r="EFF1" s="3"/>
      <c r="EFG1" s="3"/>
      <c r="EFH1" s="3"/>
      <c r="EFI1" s="3"/>
      <c r="EFJ1" s="3"/>
      <c r="EFK1" s="3"/>
      <c r="EFL1" s="3"/>
      <c r="EFM1" s="3"/>
      <c r="EFN1" s="3"/>
      <c r="EFO1" s="3"/>
      <c r="EFP1" s="3"/>
      <c r="EFQ1" s="3"/>
      <c r="EFR1" s="3"/>
      <c r="EFS1" s="3"/>
      <c r="EFT1" s="3"/>
      <c r="EFU1" s="3"/>
      <c r="EFV1" s="3"/>
      <c r="EFW1" s="3"/>
      <c r="EFX1" s="3"/>
      <c r="EFY1" s="3"/>
      <c r="EFZ1" s="3"/>
      <c r="EGA1" s="3"/>
      <c r="EGB1" s="3"/>
      <c r="EGC1" s="3"/>
      <c r="EGD1" s="3"/>
      <c r="EGE1" s="3"/>
      <c r="EGF1" s="3"/>
      <c r="EGG1" s="3"/>
      <c r="EGH1" s="3"/>
      <c r="EGI1" s="3"/>
      <c r="EGJ1" s="3"/>
      <c r="EGK1" s="3"/>
      <c r="EGL1" s="3"/>
      <c r="EGM1" s="3"/>
      <c r="EGN1" s="3"/>
      <c r="EGO1" s="3"/>
      <c r="EGP1" s="3"/>
      <c r="EGQ1" s="3"/>
      <c r="EGR1" s="3"/>
      <c r="EGS1" s="3"/>
      <c r="EGT1" s="3"/>
      <c r="EGU1" s="3"/>
      <c r="EGV1" s="3"/>
      <c r="EGW1" s="3"/>
      <c r="EGX1" s="3"/>
      <c r="EGY1" s="3"/>
      <c r="EGZ1" s="3"/>
      <c r="EHA1" s="3"/>
      <c r="EHB1" s="3"/>
      <c r="EHC1" s="3"/>
      <c r="EHD1" s="3"/>
      <c r="EHE1" s="3"/>
      <c r="EHF1" s="3"/>
      <c r="EHG1" s="3"/>
      <c r="EHH1" s="3"/>
      <c r="EHI1" s="3"/>
      <c r="EHJ1" s="3"/>
      <c r="EHK1" s="3"/>
      <c r="EHL1" s="3"/>
      <c r="EHM1" s="3"/>
      <c r="EHN1" s="3"/>
      <c r="EHO1" s="3"/>
      <c r="EHP1" s="3"/>
      <c r="EHQ1" s="3"/>
      <c r="EHR1" s="3"/>
      <c r="EHS1" s="3"/>
      <c r="EHT1" s="3"/>
      <c r="EHU1" s="3"/>
      <c r="EHV1" s="3"/>
      <c r="EHW1" s="3"/>
      <c r="EHX1" s="3"/>
      <c r="EHY1" s="3"/>
      <c r="EHZ1" s="3"/>
      <c r="EIA1" s="3"/>
      <c r="EIB1" s="3"/>
      <c r="EIC1" s="3"/>
      <c r="EID1" s="3"/>
      <c r="EIE1" s="3"/>
      <c r="EIF1" s="3"/>
      <c r="EIG1" s="3"/>
      <c r="EIH1" s="3"/>
      <c r="EII1" s="3"/>
      <c r="EIJ1" s="3"/>
      <c r="EIK1" s="3"/>
      <c r="EIL1" s="3"/>
      <c r="EIM1" s="3"/>
      <c r="EIN1" s="3"/>
      <c r="EIO1" s="3"/>
      <c r="EIP1" s="3"/>
      <c r="EIQ1" s="3"/>
      <c r="EIR1" s="3"/>
      <c r="EIS1" s="3"/>
      <c r="EIT1" s="3"/>
      <c r="EIU1" s="3"/>
      <c r="EIV1" s="3"/>
      <c r="EIW1" s="3"/>
      <c r="EIX1" s="3"/>
      <c r="EIY1" s="3"/>
      <c r="EIZ1" s="3"/>
      <c r="EJA1" s="3"/>
      <c r="EJB1" s="3"/>
      <c r="EJC1" s="3"/>
      <c r="EJD1" s="3"/>
      <c r="EJE1" s="3"/>
      <c r="EJF1" s="3"/>
      <c r="EJG1" s="3"/>
      <c r="EJH1" s="3"/>
      <c r="EJI1" s="3"/>
      <c r="EJJ1" s="3"/>
      <c r="EJK1" s="3"/>
      <c r="EJL1" s="3"/>
      <c r="EJM1" s="3"/>
      <c r="EJN1" s="3"/>
      <c r="EJO1" s="3"/>
      <c r="EJP1" s="3"/>
      <c r="EJQ1" s="3"/>
      <c r="EJR1" s="3"/>
      <c r="EJS1" s="3"/>
      <c r="EJT1" s="3"/>
      <c r="EJU1" s="3"/>
      <c r="EJV1" s="3"/>
      <c r="EJW1" s="3"/>
      <c r="EJX1" s="3"/>
      <c r="EJY1" s="3"/>
      <c r="EJZ1" s="3"/>
      <c r="EKA1" s="3"/>
      <c r="EKB1" s="3"/>
      <c r="EKC1" s="3"/>
      <c r="EKD1" s="3"/>
      <c r="EKE1" s="3"/>
      <c r="EKF1" s="3"/>
      <c r="EKG1" s="3"/>
      <c r="EKH1" s="3"/>
      <c r="EKI1" s="3"/>
      <c r="EKJ1" s="3"/>
      <c r="EKK1" s="3"/>
      <c r="EKL1" s="3"/>
      <c r="EKM1" s="3"/>
      <c r="EKN1" s="3"/>
      <c r="EKO1" s="3"/>
      <c r="EKP1" s="3"/>
      <c r="EKQ1" s="3"/>
      <c r="EKR1" s="3"/>
      <c r="EKS1" s="3"/>
      <c r="EKT1" s="3"/>
      <c r="EKU1" s="3"/>
      <c r="EKV1" s="3"/>
      <c r="EKW1" s="3"/>
      <c r="EKX1" s="3"/>
      <c r="EKY1" s="3"/>
      <c r="EKZ1" s="3"/>
      <c r="ELA1" s="3"/>
      <c r="ELB1" s="3"/>
      <c r="ELC1" s="3"/>
      <c r="ELD1" s="3"/>
      <c r="ELE1" s="3"/>
      <c r="ELF1" s="3"/>
      <c r="ELG1" s="3"/>
      <c r="ELH1" s="3"/>
      <c r="ELI1" s="3"/>
      <c r="ELJ1" s="3"/>
      <c r="ELK1" s="3"/>
      <c r="ELL1" s="3"/>
      <c r="ELM1" s="3"/>
      <c r="ELN1" s="3"/>
      <c r="ELO1" s="3"/>
      <c r="ELP1" s="3"/>
      <c r="ELQ1" s="3"/>
      <c r="ELR1" s="3"/>
      <c r="ELS1" s="3"/>
      <c r="ELT1" s="3"/>
      <c r="ELU1" s="3"/>
      <c r="ELV1" s="3"/>
      <c r="ELW1" s="3"/>
      <c r="ELX1" s="3"/>
      <c r="ELY1" s="3"/>
      <c r="ELZ1" s="3"/>
      <c r="EMA1" s="3"/>
      <c r="EMB1" s="3"/>
      <c r="EMC1" s="3"/>
      <c r="EMD1" s="3"/>
      <c r="EME1" s="3"/>
      <c r="EMF1" s="3"/>
      <c r="EMG1" s="3"/>
      <c r="EMH1" s="3"/>
      <c r="EMI1" s="3"/>
      <c r="EMJ1" s="3"/>
      <c r="EMK1" s="3"/>
      <c r="EML1" s="3"/>
      <c r="EMM1" s="3"/>
      <c r="EMN1" s="3"/>
      <c r="EMO1" s="3"/>
      <c r="EMP1" s="3"/>
      <c r="EMQ1" s="3"/>
      <c r="EMR1" s="3"/>
      <c r="EMS1" s="3"/>
      <c r="EMT1" s="3"/>
      <c r="EMU1" s="3"/>
      <c r="EMV1" s="3"/>
      <c r="EMW1" s="3"/>
      <c r="EMX1" s="3"/>
      <c r="EMY1" s="3"/>
      <c r="EMZ1" s="3"/>
      <c r="ENA1" s="3"/>
      <c r="ENB1" s="3"/>
      <c r="ENC1" s="3"/>
      <c r="END1" s="3"/>
      <c r="ENE1" s="3"/>
      <c r="ENF1" s="3"/>
      <c r="ENG1" s="3"/>
      <c r="ENH1" s="3"/>
      <c r="ENI1" s="3"/>
      <c r="ENJ1" s="3"/>
      <c r="ENK1" s="3"/>
      <c r="ENL1" s="3"/>
      <c r="ENM1" s="3"/>
      <c r="ENN1" s="3"/>
      <c r="ENO1" s="3"/>
      <c r="ENP1" s="3"/>
      <c r="ENQ1" s="3"/>
      <c r="ENR1" s="3"/>
      <c r="ENS1" s="3"/>
      <c r="ENT1" s="3"/>
      <c r="ENU1" s="3"/>
      <c r="ENV1" s="3"/>
      <c r="ENW1" s="3"/>
      <c r="ENX1" s="3"/>
      <c r="ENY1" s="3"/>
      <c r="ENZ1" s="3"/>
      <c r="EOA1" s="3"/>
      <c r="EOB1" s="3"/>
      <c r="EOC1" s="3"/>
      <c r="EOD1" s="3"/>
      <c r="EOE1" s="3"/>
      <c r="EOF1" s="3"/>
      <c r="EOG1" s="3"/>
      <c r="EOH1" s="3"/>
      <c r="EOI1" s="3"/>
      <c r="EOJ1" s="3"/>
      <c r="EOK1" s="3"/>
      <c r="EOL1" s="3"/>
      <c r="EOM1" s="3"/>
      <c r="EON1" s="3"/>
      <c r="EOO1" s="3"/>
      <c r="EOP1" s="3"/>
      <c r="EOQ1" s="3"/>
      <c r="EOR1" s="3"/>
      <c r="EOS1" s="3"/>
      <c r="EOT1" s="3"/>
      <c r="EOU1" s="3"/>
      <c r="EOV1" s="3"/>
      <c r="EOW1" s="3"/>
      <c r="EOX1" s="3"/>
      <c r="EOY1" s="3"/>
      <c r="EOZ1" s="3"/>
      <c r="EPA1" s="3"/>
      <c r="EPB1" s="3"/>
      <c r="EPC1" s="3"/>
      <c r="EPD1" s="3"/>
      <c r="EPE1" s="3"/>
      <c r="EPF1" s="3"/>
      <c r="EPG1" s="3"/>
      <c r="EPH1" s="3"/>
      <c r="EPI1" s="3"/>
      <c r="EPJ1" s="3"/>
      <c r="EPK1" s="3"/>
      <c r="EPL1" s="3"/>
      <c r="EPM1" s="3"/>
      <c r="EPN1" s="3"/>
      <c r="EPO1" s="3"/>
      <c r="EPP1" s="3"/>
      <c r="EPQ1" s="3"/>
      <c r="EPR1" s="3"/>
      <c r="EPS1" s="3"/>
      <c r="EPT1" s="3"/>
      <c r="EPU1" s="3"/>
      <c r="EPV1" s="3"/>
      <c r="EPW1" s="3"/>
      <c r="EPX1" s="3"/>
      <c r="EPY1" s="3"/>
      <c r="EPZ1" s="3"/>
      <c r="EQA1" s="3"/>
      <c r="EQB1" s="3"/>
      <c r="EQC1" s="3"/>
      <c r="EQD1" s="3"/>
      <c r="EQE1" s="3"/>
      <c r="EQF1" s="3"/>
      <c r="EQG1" s="3"/>
      <c r="EQH1" s="3"/>
      <c r="EQI1" s="3"/>
      <c r="EQJ1" s="3"/>
      <c r="EQK1" s="3"/>
      <c r="EQL1" s="3"/>
      <c r="EQM1" s="3"/>
      <c r="EQN1" s="3"/>
      <c r="EQO1" s="3"/>
      <c r="EQP1" s="3"/>
      <c r="EQQ1" s="3"/>
      <c r="EQR1" s="3"/>
      <c r="EQS1" s="3"/>
      <c r="EQT1" s="3"/>
      <c r="EQU1" s="3"/>
      <c r="EQV1" s="3"/>
      <c r="EQW1" s="3"/>
      <c r="EQX1" s="3"/>
      <c r="EQY1" s="3"/>
      <c r="EQZ1" s="3"/>
      <c r="ERA1" s="3"/>
      <c r="ERB1" s="3"/>
      <c r="ERC1" s="3"/>
      <c r="ERD1" s="3"/>
      <c r="ERE1" s="3"/>
      <c r="ERF1" s="3"/>
      <c r="ERG1" s="3"/>
      <c r="ERH1" s="3"/>
      <c r="ERI1" s="3"/>
      <c r="ERJ1" s="3"/>
      <c r="ERK1" s="3"/>
      <c r="ERL1" s="3"/>
      <c r="ERM1" s="3"/>
      <c r="ERN1" s="3"/>
      <c r="ERO1" s="3"/>
      <c r="ERP1" s="3"/>
      <c r="ERQ1" s="3"/>
      <c r="ERR1" s="3"/>
      <c r="ERS1" s="3"/>
      <c r="ERT1" s="3"/>
      <c r="ERU1" s="3"/>
      <c r="ERV1" s="3"/>
      <c r="ERW1" s="3"/>
      <c r="ERX1" s="3"/>
      <c r="ERY1" s="3"/>
      <c r="ERZ1" s="3"/>
      <c r="ESA1" s="3"/>
      <c r="ESB1" s="3"/>
      <c r="ESC1" s="3"/>
      <c r="ESD1" s="3"/>
      <c r="ESE1" s="3"/>
      <c r="ESF1" s="3"/>
      <c r="ESG1" s="3"/>
      <c r="ESH1" s="3"/>
      <c r="ESI1" s="3"/>
      <c r="ESJ1" s="3"/>
      <c r="ESK1" s="3"/>
      <c r="ESL1" s="3"/>
      <c r="ESM1" s="3"/>
      <c r="ESN1" s="3"/>
      <c r="ESO1" s="3"/>
      <c r="ESP1" s="3"/>
      <c r="ESQ1" s="3"/>
      <c r="ESR1" s="3"/>
      <c r="ESS1" s="3"/>
      <c r="EST1" s="3"/>
      <c r="ESU1" s="3"/>
      <c r="ESV1" s="3"/>
      <c r="ESW1" s="3"/>
      <c r="ESX1" s="3"/>
      <c r="ESY1" s="3"/>
      <c r="ESZ1" s="3"/>
      <c r="ETA1" s="3"/>
      <c r="ETB1" s="3"/>
      <c r="ETC1" s="3"/>
      <c r="ETD1" s="3"/>
      <c r="ETE1" s="3"/>
      <c r="ETF1" s="3"/>
      <c r="ETG1" s="3"/>
      <c r="ETH1" s="3"/>
      <c r="ETI1" s="3"/>
      <c r="ETJ1" s="3"/>
      <c r="ETK1" s="3"/>
      <c r="ETL1" s="3"/>
      <c r="ETM1" s="3"/>
      <c r="ETN1" s="3"/>
      <c r="ETO1" s="3"/>
      <c r="ETP1" s="3"/>
      <c r="ETQ1" s="3"/>
      <c r="ETR1" s="3"/>
      <c r="ETS1" s="3"/>
      <c r="ETT1" s="3"/>
      <c r="ETU1" s="3"/>
      <c r="ETV1" s="3"/>
      <c r="ETW1" s="3"/>
      <c r="ETX1" s="3"/>
      <c r="ETY1" s="3"/>
      <c r="ETZ1" s="3"/>
      <c r="EUA1" s="3"/>
      <c r="EUB1" s="3"/>
      <c r="EUC1" s="3"/>
      <c r="EUD1" s="3"/>
      <c r="EUE1" s="3"/>
      <c r="EUF1" s="3"/>
      <c r="EUG1" s="3"/>
      <c r="EUH1" s="3"/>
      <c r="EUI1" s="3"/>
      <c r="EUJ1" s="3"/>
      <c r="EUK1" s="3"/>
      <c r="EUL1" s="3"/>
      <c r="EUM1" s="3"/>
      <c r="EUN1" s="3"/>
      <c r="EUO1" s="3"/>
      <c r="EUP1" s="3"/>
      <c r="EUQ1" s="3"/>
      <c r="EUR1" s="3"/>
      <c r="EUS1" s="3"/>
      <c r="EUT1" s="3"/>
      <c r="EUU1" s="3"/>
      <c r="EUV1" s="3"/>
      <c r="EUW1" s="3"/>
      <c r="EUX1" s="3"/>
      <c r="EUY1" s="3"/>
      <c r="EUZ1" s="3"/>
      <c r="EVA1" s="3"/>
      <c r="EVB1" s="3"/>
      <c r="EVC1" s="3"/>
      <c r="EVD1" s="3"/>
      <c r="EVE1" s="3"/>
      <c r="EVF1" s="3"/>
      <c r="EVG1" s="3"/>
      <c r="EVH1" s="3"/>
      <c r="EVI1" s="3"/>
      <c r="EVJ1" s="3"/>
      <c r="EVK1" s="3"/>
      <c r="EVL1" s="3"/>
      <c r="EVM1" s="3"/>
      <c r="EVN1" s="3"/>
      <c r="EVO1" s="3"/>
      <c r="EVP1" s="3"/>
      <c r="EVQ1" s="3"/>
      <c r="EVR1" s="3"/>
      <c r="EVS1" s="3"/>
      <c r="EVT1" s="3"/>
      <c r="EVU1" s="3"/>
      <c r="EVV1" s="3"/>
      <c r="EVW1" s="3"/>
      <c r="EVX1" s="3"/>
      <c r="EVY1" s="3"/>
      <c r="EVZ1" s="3"/>
      <c r="EWA1" s="3"/>
      <c r="EWB1" s="3"/>
      <c r="EWC1" s="3"/>
      <c r="EWD1" s="3"/>
      <c r="EWE1" s="3"/>
      <c r="EWF1" s="3"/>
      <c r="EWG1" s="3"/>
      <c r="EWH1" s="3"/>
      <c r="EWI1" s="3"/>
      <c r="EWJ1" s="3"/>
      <c r="EWK1" s="3"/>
      <c r="EWL1" s="3"/>
      <c r="EWM1" s="3"/>
      <c r="EWN1" s="3"/>
      <c r="EWO1" s="3"/>
      <c r="EWP1" s="3"/>
      <c r="EWQ1" s="3"/>
      <c r="EWR1" s="3"/>
      <c r="EWS1" s="3"/>
      <c r="EWT1" s="3"/>
      <c r="EWU1" s="3"/>
      <c r="EWV1" s="3"/>
      <c r="EWW1" s="3"/>
      <c r="EWX1" s="3"/>
      <c r="EWY1" s="3"/>
      <c r="EWZ1" s="3"/>
      <c r="EXA1" s="3"/>
      <c r="EXB1" s="3"/>
      <c r="EXC1" s="3"/>
      <c r="EXD1" s="3"/>
      <c r="EXE1" s="3"/>
      <c r="EXF1" s="3"/>
      <c r="EXG1" s="3"/>
      <c r="EXH1" s="3"/>
      <c r="EXI1" s="3"/>
      <c r="EXJ1" s="3"/>
      <c r="EXK1" s="3"/>
      <c r="EXL1" s="3"/>
      <c r="EXM1" s="3"/>
      <c r="EXN1" s="3"/>
      <c r="EXO1" s="3"/>
      <c r="EXP1" s="3"/>
      <c r="EXQ1" s="3"/>
      <c r="EXR1" s="3"/>
      <c r="EXS1" s="3"/>
      <c r="EXT1" s="3"/>
      <c r="EXU1" s="3"/>
      <c r="EXV1" s="3"/>
      <c r="EXW1" s="3"/>
      <c r="EXX1" s="3"/>
      <c r="EXY1" s="3"/>
      <c r="EXZ1" s="3"/>
      <c r="EYA1" s="3"/>
      <c r="EYB1" s="3"/>
      <c r="EYC1" s="3"/>
      <c r="EYD1" s="3"/>
      <c r="EYE1" s="3"/>
      <c r="EYF1" s="3"/>
      <c r="EYG1" s="3"/>
      <c r="EYH1" s="3"/>
      <c r="EYI1" s="3"/>
      <c r="EYJ1" s="3"/>
      <c r="EYK1" s="3"/>
      <c r="EYL1" s="3"/>
      <c r="EYM1" s="3"/>
      <c r="EYN1" s="3"/>
      <c r="EYO1" s="3"/>
      <c r="EYP1" s="3"/>
      <c r="EYQ1" s="3"/>
      <c r="EYR1" s="3"/>
      <c r="EYS1" s="3"/>
      <c r="EYT1" s="3"/>
      <c r="EYU1" s="3"/>
      <c r="EYV1" s="3"/>
      <c r="EYW1" s="3"/>
      <c r="EYX1" s="3"/>
      <c r="EYY1" s="3"/>
      <c r="EYZ1" s="3"/>
      <c r="EZA1" s="3"/>
      <c r="EZB1" s="3"/>
      <c r="EZC1" s="3"/>
      <c r="EZD1" s="3"/>
      <c r="EZE1" s="3"/>
      <c r="EZF1" s="3"/>
      <c r="EZG1" s="3"/>
      <c r="EZH1" s="3"/>
      <c r="EZI1" s="3"/>
      <c r="EZJ1" s="3"/>
      <c r="EZK1" s="3"/>
      <c r="EZL1" s="3"/>
      <c r="EZM1" s="3"/>
      <c r="EZN1" s="3"/>
      <c r="EZO1" s="3"/>
      <c r="EZP1" s="3"/>
      <c r="EZQ1" s="3"/>
      <c r="EZR1" s="3"/>
      <c r="EZS1" s="3"/>
      <c r="EZT1" s="3"/>
      <c r="EZU1" s="3"/>
      <c r="EZV1" s="3"/>
      <c r="EZW1" s="3"/>
      <c r="EZX1" s="3"/>
      <c r="EZY1" s="3"/>
      <c r="EZZ1" s="3"/>
      <c r="FAA1" s="3"/>
      <c r="FAB1" s="3"/>
      <c r="FAC1" s="3"/>
      <c r="FAD1" s="3"/>
      <c r="FAE1" s="3"/>
      <c r="FAF1" s="3"/>
      <c r="FAG1" s="3"/>
      <c r="FAH1" s="3"/>
      <c r="FAI1" s="3"/>
      <c r="FAJ1" s="3"/>
      <c r="FAK1" s="3"/>
      <c r="FAL1" s="3"/>
      <c r="FAM1" s="3"/>
      <c r="FAN1" s="3"/>
      <c r="FAO1" s="3"/>
      <c r="FAP1" s="3"/>
      <c r="FAQ1" s="3"/>
      <c r="FAR1" s="3"/>
      <c r="FAS1" s="3"/>
      <c r="FAT1" s="3"/>
      <c r="FAU1" s="3"/>
      <c r="FAV1" s="3"/>
      <c r="FAW1" s="3"/>
      <c r="FAX1" s="3"/>
      <c r="FAY1" s="3"/>
      <c r="FAZ1" s="3"/>
      <c r="FBA1" s="3"/>
      <c r="FBB1" s="3"/>
      <c r="FBC1" s="3"/>
      <c r="FBD1" s="3"/>
      <c r="FBE1" s="3"/>
      <c r="FBF1" s="3"/>
      <c r="FBG1" s="3"/>
      <c r="FBH1" s="3"/>
      <c r="FBI1" s="3"/>
      <c r="FBJ1" s="3"/>
      <c r="FBK1" s="3"/>
      <c r="FBL1" s="3"/>
      <c r="FBM1" s="3"/>
      <c r="FBN1" s="3"/>
      <c r="FBO1" s="3"/>
      <c r="FBP1" s="3"/>
      <c r="FBQ1" s="3"/>
      <c r="FBR1" s="3"/>
      <c r="FBS1" s="3"/>
      <c r="FBT1" s="3"/>
      <c r="FBU1" s="3"/>
      <c r="FBV1" s="3"/>
      <c r="FBW1" s="3"/>
      <c r="FBX1" s="3"/>
      <c r="FBY1" s="3"/>
      <c r="FBZ1" s="3"/>
      <c r="FCA1" s="3"/>
      <c r="FCB1" s="3"/>
      <c r="FCC1" s="3"/>
      <c r="FCD1" s="3"/>
      <c r="FCE1" s="3"/>
      <c r="FCF1" s="3"/>
      <c r="FCG1" s="3"/>
      <c r="FCH1" s="3"/>
      <c r="FCI1" s="3"/>
      <c r="FCJ1" s="3"/>
      <c r="FCK1" s="3"/>
      <c r="FCL1" s="3"/>
      <c r="FCM1" s="3"/>
      <c r="FCN1" s="3"/>
      <c r="FCO1" s="3"/>
      <c r="FCP1" s="3"/>
      <c r="FCQ1" s="3"/>
      <c r="FCR1" s="3"/>
      <c r="FCS1" s="3"/>
      <c r="FCT1" s="3"/>
      <c r="FCU1" s="3"/>
      <c r="FCV1" s="3"/>
      <c r="FCW1" s="3"/>
      <c r="FCX1" s="3"/>
      <c r="FCY1" s="3"/>
      <c r="FCZ1" s="3"/>
      <c r="FDA1" s="3"/>
      <c r="FDB1" s="3"/>
      <c r="FDC1" s="3"/>
      <c r="FDD1" s="3"/>
      <c r="FDE1" s="3"/>
      <c r="FDF1" s="3"/>
      <c r="FDG1" s="3"/>
      <c r="FDH1" s="3"/>
      <c r="FDI1" s="3"/>
      <c r="FDJ1" s="3"/>
      <c r="FDK1" s="3"/>
      <c r="FDL1" s="3"/>
      <c r="FDM1" s="3"/>
      <c r="FDN1" s="3"/>
      <c r="FDO1" s="3"/>
      <c r="FDP1" s="3"/>
      <c r="FDQ1" s="3"/>
      <c r="FDR1" s="3"/>
      <c r="FDS1" s="3"/>
      <c r="FDT1" s="3"/>
      <c r="FDU1" s="3"/>
      <c r="FDV1" s="3"/>
      <c r="FDW1" s="3"/>
      <c r="FDX1" s="3"/>
      <c r="FDY1" s="3"/>
      <c r="FDZ1" s="3"/>
      <c r="FEA1" s="3"/>
      <c r="FEB1" s="3"/>
      <c r="FEC1" s="3"/>
      <c r="FED1" s="3"/>
      <c r="FEE1" s="3"/>
      <c r="FEF1" s="3"/>
      <c r="FEG1" s="3"/>
      <c r="FEH1" s="3"/>
      <c r="FEI1" s="3"/>
      <c r="FEJ1" s="3"/>
      <c r="FEK1" s="3"/>
      <c r="FEL1" s="3"/>
      <c r="FEM1" s="3"/>
      <c r="FEN1" s="3"/>
      <c r="FEO1" s="3"/>
      <c r="FEP1" s="3"/>
      <c r="FEQ1" s="3"/>
      <c r="FER1" s="3"/>
      <c r="FES1" s="3"/>
      <c r="FET1" s="3"/>
      <c r="FEU1" s="3"/>
      <c r="FEV1" s="3"/>
      <c r="FEW1" s="3"/>
      <c r="FEX1" s="3"/>
      <c r="FEY1" s="3"/>
      <c r="FEZ1" s="3"/>
      <c r="FFA1" s="3"/>
      <c r="FFB1" s="3"/>
      <c r="FFC1" s="3"/>
      <c r="FFD1" s="3"/>
      <c r="FFE1" s="3"/>
      <c r="FFF1" s="3"/>
      <c r="FFG1" s="3"/>
      <c r="FFH1" s="3"/>
      <c r="FFI1" s="3"/>
      <c r="FFJ1" s="3"/>
      <c r="FFK1" s="3"/>
      <c r="FFL1" s="3"/>
      <c r="FFM1" s="3"/>
      <c r="FFN1" s="3"/>
      <c r="FFO1" s="3"/>
      <c r="FFP1" s="3"/>
      <c r="FFQ1" s="3"/>
      <c r="FFR1" s="3"/>
      <c r="FFS1" s="3"/>
      <c r="FFT1" s="3"/>
      <c r="FFU1" s="3"/>
      <c r="FFV1" s="3"/>
      <c r="FFW1" s="3"/>
      <c r="FFX1" s="3"/>
      <c r="FFY1" s="3"/>
      <c r="FFZ1" s="3"/>
      <c r="FGA1" s="3"/>
      <c r="FGB1" s="3"/>
      <c r="FGC1" s="3"/>
      <c r="FGD1" s="3"/>
      <c r="FGE1" s="3"/>
      <c r="FGF1" s="3"/>
      <c r="FGG1" s="3"/>
      <c r="FGH1" s="3"/>
      <c r="FGI1" s="3"/>
      <c r="FGJ1" s="3"/>
      <c r="FGK1" s="3"/>
      <c r="FGL1" s="3"/>
      <c r="FGM1" s="3"/>
      <c r="FGN1" s="3"/>
      <c r="FGO1" s="3"/>
      <c r="FGP1" s="3"/>
      <c r="FGQ1" s="3"/>
      <c r="FGR1" s="3"/>
      <c r="FGS1" s="3"/>
      <c r="FGT1" s="3"/>
      <c r="FGU1" s="3"/>
      <c r="FGV1" s="3"/>
      <c r="FGW1" s="3"/>
      <c r="FGX1" s="3"/>
      <c r="FGY1" s="3"/>
      <c r="FGZ1" s="3"/>
      <c r="FHA1" s="3"/>
      <c r="FHB1" s="3"/>
      <c r="FHC1" s="3"/>
      <c r="FHD1" s="3"/>
      <c r="FHE1" s="3"/>
      <c r="FHF1" s="3"/>
      <c r="FHG1" s="3"/>
      <c r="FHH1" s="3"/>
      <c r="FHI1" s="3"/>
      <c r="FHJ1" s="3"/>
      <c r="FHK1" s="3"/>
      <c r="FHL1" s="3"/>
      <c r="FHM1" s="3"/>
      <c r="FHN1" s="3"/>
      <c r="FHO1" s="3"/>
      <c r="FHP1" s="3"/>
      <c r="FHQ1" s="3"/>
      <c r="FHR1" s="3"/>
      <c r="FHS1" s="3"/>
      <c r="FHT1" s="3"/>
      <c r="FHU1" s="3"/>
      <c r="FHV1" s="3"/>
      <c r="FHW1" s="3"/>
      <c r="FHX1" s="3"/>
      <c r="FHY1" s="3"/>
      <c r="FHZ1" s="3"/>
      <c r="FIA1" s="3"/>
      <c r="FIB1" s="3"/>
      <c r="FIC1" s="3"/>
      <c r="FID1" s="3"/>
      <c r="FIE1" s="3"/>
      <c r="FIF1" s="3"/>
      <c r="FIG1" s="3"/>
      <c r="FIH1" s="3"/>
      <c r="FII1" s="3"/>
      <c r="FIJ1" s="3"/>
      <c r="FIK1" s="3"/>
      <c r="FIL1" s="3"/>
      <c r="FIM1" s="3"/>
      <c r="FIN1" s="3"/>
      <c r="FIO1" s="3"/>
      <c r="FIP1" s="3"/>
      <c r="FIQ1" s="3"/>
      <c r="FIR1" s="3"/>
      <c r="FIS1" s="3"/>
      <c r="FIT1" s="3"/>
      <c r="FIU1" s="3"/>
      <c r="FIV1" s="3"/>
      <c r="FIW1" s="3"/>
      <c r="FIX1" s="3"/>
      <c r="FIY1" s="3"/>
      <c r="FIZ1" s="3"/>
      <c r="FJA1" s="3"/>
      <c r="FJB1" s="3"/>
      <c r="FJC1" s="3"/>
      <c r="FJD1" s="3"/>
      <c r="FJE1" s="3"/>
      <c r="FJF1" s="3"/>
      <c r="FJG1" s="3"/>
      <c r="FJH1" s="3"/>
      <c r="FJI1" s="3"/>
      <c r="FJJ1" s="3"/>
      <c r="FJK1" s="3"/>
      <c r="FJL1" s="3"/>
      <c r="FJM1" s="3"/>
      <c r="FJN1" s="3"/>
      <c r="FJO1" s="3"/>
      <c r="FJP1" s="3"/>
      <c r="FJQ1" s="3"/>
      <c r="FJR1" s="3"/>
      <c r="FJS1" s="3"/>
      <c r="FJT1" s="3"/>
      <c r="FJU1" s="3"/>
      <c r="FJV1" s="3"/>
      <c r="FJW1" s="3"/>
      <c r="FJX1" s="3"/>
      <c r="FJY1" s="3"/>
      <c r="FJZ1" s="3"/>
      <c r="FKA1" s="3"/>
      <c r="FKB1" s="3"/>
      <c r="FKC1" s="3"/>
      <c r="FKD1" s="3"/>
      <c r="FKE1" s="3"/>
      <c r="FKF1" s="3"/>
      <c r="FKG1" s="3"/>
      <c r="FKH1" s="3"/>
      <c r="FKI1" s="3"/>
      <c r="FKJ1" s="3"/>
      <c r="FKK1" s="3"/>
      <c r="FKL1" s="3"/>
      <c r="FKM1" s="3"/>
      <c r="FKN1" s="3"/>
      <c r="FKO1" s="3"/>
      <c r="FKP1" s="3"/>
      <c r="FKQ1" s="3"/>
      <c r="FKR1" s="3"/>
      <c r="FKS1" s="3"/>
      <c r="FKT1" s="3"/>
      <c r="FKU1" s="3"/>
      <c r="FKV1" s="3"/>
      <c r="FKW1" s="3"/>
      <c r="FKX1" s="3"/>
      <c r="FKY1" s="3"/>
      <c r="FKZ1" s="3"/>
      <c r="FLA1" s="3"/>
      <c r="FLB1" s="3"/>
      <c r="FLC1" s="3"/>
      <c r="FLD1" s="3"/>
      <c r="FLE1" s="3"/>
      <c r="FLF1" s="3"/>
      <c r="FLG1" s="3"/>
      <c r="FLH1" s="3"/>
      <c r="FLI1" s="3"/>
      <c r="FLJ1" s="3"/>
      <c r="FLK1" s="3"/>
      <c r="FLL1" s="3"/>
      <c r="FLM1" s="3"/>
      <c r="FLN1" s="3"/>
      <c r="FLO1" s="3"/>
      <c r="FLP1" s="3"/>
      <c r="FLQ1" s="3"/>
      <c r="FLR1" s="3"/>
      <c r="FLS1" s="3"/>
      <c r="FLT1" s="3"/>
      <c r="FLU1" s="3"/>
      <c r="FLV1" s="3"/>
      <c r="FLW1" s="3"/>
      <c r="FLX1" s="3"/>
      <c r="FLY1" s="3"/>
      <c r="FLZ1" s="3"/>
      <c r="FMA1" s="3"/>
      <c r="FMB1" s="3"/>
      <c r="FMC1" s="3"/>
      <c r="FMD1" s="3"/>
      <c r="FME1" s="3"/>
      <c r="FMF1" s="3"/>
      <c r="FMG1" s="3"/>
      <c r="FMH1" s="3"/>
      <c r="FMI1" s="3"/>
      <c r="FMJ1" s="3"/>
      <c r="FMK1" s="3"/>
      <c r="FML1" s="3"/>
      <c r="FMM1" s="3"/>
      <c r="FMN1" s="3"/>
      <c r="FMO1" s="3"/>
      <c r="FMP1" s="3"/>
      <c r="FMQ1" s="3"/>
      <c r="FMR1" s="3"/>
      <c r="FMS1" s="3"/>
      <c r="FMT1" s="3"/>
      <c r="FMU1" s="3"/>
      <c r="FMV1" s="3"/>
      <c r="FMW1" s="3"/>
      <c r="FMX1" s="3"/>
      <c r="FMY1" s="3"/>
      <c r="FMZ1" s="3"/>
      <c r="FNA1" s="3"/>
      <c r="FNB1" s="3"/>
      <c r="FNC1" s="3"/>
      <c r="FND1" s="3"/>
      <c r="FNE1" s="3"/>
      <c r="FNF1" s="3"/>
      <c r="FNG1" s="3"/>
      <c r="FNH1" s="3"/>
      <c r="FNI1" s="3"/>
      <c r="FNJ1" s="3"/>
      <c r="FNK1" s="3"/>
      <c r="FNL1" s="3"/>
      <c r="FNM1" s="3"/>
      <c r="FNN1" s="3"/>
      <c r="FNO1" s="3"/>
      <c r="FNP1" s="3"/>
      <c r="FNQ1" s="3"/>
      <c r="FNR1" s="3"/>
      <c r="FNS1" s="3"/>
      <c r="FNT1" s="3"/>
      <c r="FNU1" s="3"/>
      <c r="FNV1" s="3"/>
      <c r="FNW1" s="3"/>
      <c r="FNX1" s="3"/>
      <c r="FNY1" s="3"/>
      <c r="FNZ1" s="3"/>
      <c r="FOA1" s="3"/>
      <c r="FOB1" s="3"/>
      <c r="FOC1" s="3"/>
      <c r="FOD1" s="3"/>
      <c r="FOE1" s="3"/>
      <c r="FOF1" s="3"/>
      <c r="FOG1" s="3"/>
      <c r="FOH1" s="3"/>
      <c r="FOI1" s="3"/>
      <c r="FOJ1" s="3"/>
      <c r="FOK1" s="3"/>
      <c r="FOL1" s="3"/>
      <c r="FOM1" s="3"/>
      <c r="FON1" s="3"/>
      <c r="FOO1" s="3"/>
      <c r="FOP1" s="3"/>
      <c r="FOQ1" s="3"/>
      <c r="FOR1" s="3"/>
      <c r="FOS1" s="3"/>
      <c r="FOT1" s="3"/>
      <c r="FOU1" s="3"/>
      <c r="FOV1" s="3"/>
      <c r="FOW1" s="3"/>
      <c r="FOX1" s="3"/>
      <c r="FOY1" s="3"/>
      <c r="FOZ1" s="3"/>
      <c r="FPA1" s="3"/>
      <c r="FPB1" s="3"/>
      <c r="FPC1" s="3"/>
      <c r="FPD1" s="3"/>
      <c r="FPE1" s="3"/>
      <c r="FPF1" s="3"/>
      <c r="FPG1" s="3"/>
      <c r="FPH1" s="3"/>
      <c r="FPI1" s="3"/>
      <c r="FPJ1" s="3"/>
      <c r="FPK1" s="3"/>
      <c r="FPL1" s="3"/>
      <c r="FPM1" s="3"/>
      <c r="FPN1" s="3"/>
      <c r="FPO1" s="3"/>
      <c r="FPP1" s="3"/>
      <c r="FPQ1" s="3"/>
      <c r="FPR1" s="3"/>
      <c r="FPS1" s="3"/>
      <c r="FPT1" s="3"/>
      <c r="FPU1" s="3"/>
      <c r="FPV1" s="3"/>
      <c r="FPW1" s="3"/>
      <c r="FPX1" s="3"/>
      <c r="FPY1" s="3"/>
      <c r="FPZ1" s="3"/>
      <c r="FQA1" s="3"/>
      <c r="FQB1" s="3"/>
      <c r="FQC1" s="3"/>
      <c r="FQD1" s="3"/>
      <c r="FQE1" s="3"/>
      <c r="FQF1" s="3"/>
      <c r="FQG1" s="3"/>
      <c r="FQH1" s="3"/>
      <c r="FQI1" s="3"/>
      <c r="FQJ1" s="3"/>
      <c r="FQK1" s="3"/>
      <c r="FQL1" s="3"/>
      <c r="FQM1" s="3"/>
      <c r="FQN1" s="3"/>
      <c r="FQO1" s="3"/>
      <c r="FQP1" s="3"/>
      <c r="FQQ1" s="3"/>
      <c r="FQR1" s="3"/>
      <c r="FQS1" s="3"/>
      <c r="FQT1" s="3"/>
      <c r="FQU1" s="3"/>
      <c r="FQV1" s="3"/>
      <c r="FQW1" s="3"/>
      <c r="FQX1" s="3"/>
      <c r="FQY1" s="3"/>
      <c r="FQZ1" s="3"/>
      <c r="FRA1" s="3"/>
      <c r="FRB1" s="3"/>
      <c r="FRC1" s="3"/>
      <c r="FRD1" s="3"/>
      <c r="FRE1" s="3"/>
      <c r="FRF1" s="3"/>
      <c r="FRG1" s="3"/>
      <c r="FRH1" s="3"/>
      <c r="FRI1" s="3"/>
      <c r="FRJ1" s="3"/>
      <c r="FRK1" s="3"/>
      <c r="FRL1" s="3"/>
      <c r="FRM1" s="3"/>
      <c r="FRN1" s="3"/>
      <c r="FRO1" s="3"/>
      <c r="FRP1" s="3"/>
      <c r="FRQ1" s="3"/>
      <c r="FRR1" s="3"/>
      <c r="FRS1" s="3"/>
      <c r="FRT1" s="3"/>
      <c r="FRU1" s="3"/>
      <c r="FRV1" s="3"/>
      <c r="FRW1" s="3"/>
      <c r="FRX1" s="3"/>
      <c r="FRY1" s="3"/>
      <c r="FRZ1" s="3"/>
      <c r="FSA1" s="3"/>
      <c r="FSB1" s="3"/>
      <c r="FSC1" s="3"/>
      <c r="FSD1" s="3"/>
      <c r="FSE1" s="3"/>
      <c r="FSF1" s="3"/>
      <c r="FSG1" s="3"/>
      <c r="FSH1" s="3"/>
      <c r="FSI1" s="3"/>
      <c r="FSJ1" s="3"/>
      <c r="FSK1" s="3"/>
      <c r="FSL1" s="3"/>
      <c r="FSM1" s="3"/>
      <c r="FSN1" s="3"/>
      <c r="FSO1" s="3"/>
      <c r="FSP1" s="3"/>
      <c r="FSQ1" s="3"/>
      <c r="FSR1" s="3"/>
      <c r="FSS1" s="3"/>
      <c r="FST1" s="3"/>
      <c r="FSU1" s="3"/>
      <c r="FSV1" s="3"/>
      <c r="FSW1" s="3"/>
      <c r="FSX1" s="3"/>
      <c r="FSY1" s="3"/>
      <c r="FSZ1" s="3"/>
      <c r="FTA1" s="3"/>
      <c r="FTB1" s="3"/>
      <c r="FTC1" s="3"/>
      <c r="FTD1" s="3"/>
      <c r="FTE1" s="3"/>
      <c r="FTF1" s="3"/>
      <c r="FTG1" s="3"/>
      <c r="FTH1" s="3"/>
      <c r="FTI1" s="3"/>
      <c r="FTJ1" s="3"/>
      <c r="FTK1" s="3"/>
      <c r="FTL1" s="3"/>
      <c r="FTM1" s="3"/>
      <c r="FTN1" s="3"/>
      <c r="FTO1" s="3"/>
      <c r="FTP1" s="3"/>
      <c r="FTQ1" s="3"/>
      <c r="FTR1" s="3"/>
      <c r="FTS1" s="3"/>
      <c r="FTT1" s="3"/>
      <c r="FTU1" s="3"/>
      <c r="FTV1" s="3"/>
      <c r="FTW1" s="3"/>
      <c r="FTX1" s="3"/>
      <c r="FTY1" s="3"/>
      <c r="FTZ1" s="3"/>
      <c r="FUA1" s="3"/>
      <c r="FUB1" s="3"/>
      <c r="FUC1" s="3"/>
      <c r="FUD1" s="3"/>
      <c r="FUE1" s="3"/>
      <c r="FUF1" s="3"/>
      <c r="FUG1" s="3"/>
      <c r="FUH1" s="3"/>
      <c r="FUI1" s="3"/>
      <c r="FUJ1" s="3"/>
      <c r="FUK1" s="3"/>
      <c r="FUL1" s="3"/>
      <c r="FUM1" s="3"/>
      <c r="FUN1" s="3"/>
      <c r="FUO1" s="3"/>
      <c r="FUP1" s="3"/>
      <c r="FUQ1" s="3"/>
      <c r="FUR1" s="3"/>
      <c r="FUS1" s="3"/>
      <c r="FUT1" s="3"/>
      <c r="FUU1" s="3"/>
      <c r="FUV1" s="3"/>
      <c r="FUW1" s="3"/>
      <c r="FUX1" s="3"/>
      <c r="FUY1" s="3"/>
      <c r="FUZ1" s="3"/>
      <c r="FVA1" s="3"/>
      <c r="FVB1" s="3"/>
      <c r="FVC1" s="3"/>
      <c r="FVD1" s="3"/>
      <c r="FVE1" s="3"/>
      <c r="FVF1" s="3"/>
      <c r="FVG1" s="3"/>
      <c r="FVH1" s="3"/>
      <c r="FVI1" s="3"/>
      <c r="FVJ1" s="3"/>
      <c r="FVK1" s="3"/>
      <c r="FVL1" s="3"/>
      <c r="FVM1" s="3"/>
      <c r="FVN1" s="3"/>
      <c r="FVO1" s="3"/>
      <c r="FVP1" s="3"/>
      <c r="FVQ1" s="3"/>
      <c r="FVR1" s="3"/>
      <c r="FVS1" s="3"/>
      <c r="FVT1" s="3"/>
      <c r="FVU1" s="3"/>
      <c r="FVV1" s="3"/>
      <c r="FVW1" s="3"/>
      <c r="FVX1" s="3"/>
      <c r="FVY1" s="3"/>
      <c r="FVZ1" s="3"/>
      <c r="FWA1" s="3"/>
      <c r="FWB1" s="3"/>
      <c r="FWC1" s="3"/>
      <c r="FWD1" s="3"/>
      <c r="FWE1" s="3"/>
      <c r="FWF1" s="3"/>
      <c r="FWG1" s="3"/>
      <c r="FWH1" s="3"/>
      <c r="FWI1" s="3"/>
      <c r="FWJ1" s="3"/>
      <c r="FWK1" s="3"/>
      <c r="FWL1" s="3"/>
      <c r="FWM1" s="3"/>
      <c r="FWN1" s="3"/>
      <c r="FWO1" s="3"/>
      <c r="FWP1" s="3"/>
      <c r="FWQ1" s="3"/>
      <c r="FWR1" s="3"/>
      <c r="FWS1" s="3"/>
      <c r="FWT1" s="3"/>
      <c r="FWU1" s="3"/>
      <c r="FWV1" s="3"/>
      <c r="FWW1" s="3"/>
      <c r="FWX1" s="3"/>
      <c r="FWY1" s="3"/>
      <c r="FWZ1" s="3"/>
      <c r="FXA1" s="3"/>
      <c r="FXB1" s="3"/>
      <c r="FXC1" s="3"/>
      <c r="FXD1" s="3"/>
      <c r="FXE1" s="3"/>
      <c r="FXF1" s="3"/>
      <c r="FXG1" s="3"/>
      <c r="FXH1" s="3"/>
      <c r="FXI1" s="3"/>
      <c r="FXJ1" s="3"/>
      <c r="FXK1" s="3"/>
      <c r="FXL1" s="3"/>
      <c r="FXM1" s="3"/>
      <c r="FXN1" s="3"/>
      <c r="FXO1" s="3"/>
      <c r="FXP1" s="3"/>
      <c r="FXQ1" s="3"/>
      <c r="FXR1" s="3"/>
      <c r="FXS1" s="3"/>
      <c r="FXT1" s="3"/>
      <c r="FXU1" s="3"/>
      <c r="FXV1" s="3"/>
      <c r="FXW1" s="3"/>
      <c r="FXX1" s="3"/>
      <c r="FXY1" s="3"/>
      <c r="FXZ1" s="3"/>
      <c r="FYA1" s="3"/>
      <c r="FYB1" s="3"/>
      <c r="FYC1" s="3"/>
      <c r="FYD1" s="3"/>
      <c r="FYE1" s="3"/>
      <c r="FYF1" s="3"/>
      <c r="FYG1" s="3"/>
      <c r="FYH1" s="3"/>
      <c r="FYI1" s="3"/>
      <c r="FYJ1" s="3"/>
      <c r="FYK1" s="3"/>
      <c r="FYL1" s="3"/>
      <c r="FYM1" s="3"/>
      <c r="FYN1" s="3"/>
      <c r="FYO1" s="3"/>
      <c r="FYP1" s="3"/>
      <c r="FYQ1" s="3"/>
      <c r="FYR1" s="3"/>
      <c r="FYS1" s="3"/>
      <c r="FYT1" s="3"/>
      <c r="FYU1" s="3"/>
      <c r="FYV1" s="3"/>
      <c r="FYW1" s="3"/>
      <c r="FYX1" s="3"/>
      <c r="FYY1" s="3"/>
      <c r="FYZ1" s="3"/>
      <c r="FZA1" s="3"/>
      <c r="FZB1" s="3"/>
      <c r="FZC1" s="3"/>
      <c r="FZD1" s="3"/>
      <c r="FZE1" s="3"/>
      <c r="FZF1" s="3"/>
      <c r="FZG1" s="3"/>
      <c r="FZH1" s="3"/>
      <c r="FZI1" s="3"/>
      <c r="FZJ1" s="3"/>
      <c r="FZK1" s="3"/>
      <c r="FZL1" s="3"/>
      <c r="FZM1" s="3"/>
      <c r="FZN1" s="3"/>
      <c r="FZO1" s="3"/>
      <c r="FZP1" s="3"/>
      <c r="FZQ1" s="3"/>
      <c r="FZR1" s="3"/>
      <c r="FZS1" s="3"/>
      <c r="FZT1" s="3"/>
      <c r="FZU1" s="3"/>
      <c r="FZV1" s="3"/>
      <c r="FZW1" s="3"/>
      <c r="FZX1" s="3"/>
      <c r="FZY1" s="3"/>
      <c r="FZZ1" s="3"/>
      <c r="GAA1" s="3"/>
      <c r="GAB1" s="3"/>
      <c r="GAC1" s="3"/>
      <c r="GAD1" s="3"/>
      <c r="GAE1" s="3"/>
      <c r="GAF1" s="3"/>
      <c r="GAG1" s="3"/>
      <c r="GAH1" s="3"/>
      <c r="GAI1" s="3"/>
      <c r="GAJ1" s="3"/>
      <c r="GAK1" s="3"/>
      <c r="GAL1" s="3"/>
      <c r="GAM1" s="3"/>
      <c r="GAN1" s="3"/>
      <c r="GAO1" s="3"/>
      <c r="GAP1" s="3"/>
      <c r="GAQ1" s="3"/>
      <c r="GAR1" s="3"/>
      <c r="GAS1" s="3"/>
      <c r="GAT1" s="3"/>
      <c r="GAU1" s="3"/>
      <c r="GAV1" s="3"/>
      <c r="GAW1" s="3"/>
      <c r="GAX1" s="3"/>
      <c r="GAY1" s="3"/>
      <c r="GAZ1" s="3"/>
      <c r="GBA1" s="3"/>
      <c r="GBB1" s="3"/>
      <c r="GBC1" s="3"/>
      <c r="GBD1" s="3"/>
      <c r="GBE1" s="3"/>
      <c r="GBF1" s="3"/>
      <c r="GBG1" s="3"/>
      <c r="GBH1" s="3"/>
      <c r="GBI1" s="3"/>
      <c r="GBJ1" s="3"/>
      <c r="GBK1" s="3"/>
      <c r="GBL1" s="3"/>
      <c r="GBM1" s="3"/>
      <c r="GBN1" s="3"/>
      <c r="GBO1" s="3"/>
      <c r="GBP1" s="3"/>
      <c r="GBQ1" s="3"/>
      <c r="GBR1" s="3"/>
      <c r="GBS1" s="3"/>
      <c r="GBT1" s="3"/>
      <c r="GBU1" s="3"/>
      <c r="GBV1" s="3"/>
      <c r="GBW1" s="3"/>
      <c r="GBX1" s="3"/>
      <c r="GBY1" s="3"/>
      <c r="GBZ1" s="3"/>
      <c r="GCA1" s="3"/>
      <c r="GCB1" s="3"/>
      <c r="GCC1" s="3"/>
      <c r="GCD1" s="3"/>
      <c r="GCE1" s="3"/>
      <c r="GCF1" s="3"/>
      <c r="GCG1" s="3"/>
      <c r="GCH1" s="3"/>
      <c r="GCI1" s="3"/>
      <c r="GCJ1" s="3"/>
      <c r="GCK1" s="3"/>
      <c r="GCL1" s="3"/>
      <c r="GCM1" s="3"/>
      <c r="GCN1" s="3"/>
      <c r="GCO1" s="3"/>
      <c r="GCP1" s="3"/>
      <c r="GCQ1" s="3"/>
      <c r="GCR1" s="3"/>
      <c r="GCS1" s="3"/>
      <c r="GCT1" s="3"/>
      <c r="GCU1" s="3"/>
      <c r="GCV1" s="3"/>
      <c r="GCW1" s="3"/>
      <c r="GCX1" s="3"/>
      <c r="GCY1" s="3"/>
      <c r="GCZ1" s="3"/>
      <c r="GDA1" s="3"/>
      <c r="GDB1" s="3"/>
      <c r="GDC1" s="3"/>
      <c r="GDD1" s="3"/>
      <c r="GDE1" s="3"/>
      <c r="GDF1" s="3"/>
      <c r="GDG1" s="3"/>
      <c r="GDH1" s="3"/>
      <c r="GDI1" s="3"/>
      <c r="GDJ1" s="3"/>
      <c r="GDK1" s="3"/>
      <c r="GDL1" s="3"/>
      <c r="GDM1" s="3"/>
      <c r="GDN1" s="3"/>
      <c r="GDO1" s="3"/>
      <c r="GDP1" s="3"/>
      <c r="GDQ1" s="3"/>
      <c r="GDR1" s="3"/>
      <c r="GDS1" s="3"/>
      <c r="GDT1" s="3"/>
      <c r="GDU1" s="3"/>
      <c r="GDV1" s="3"/>
      <c r="GDW1" s="3"/>
      <c r="GDX1" s="3"/>
      <c r="GDY1" s="3"/>
      <c r="GDZ1" s="3"/>
      <c r="GEA1" s="3"/>
      <c r="GEB1" s="3"/>
      <c r="GEC1" s="3"/>
      <c r="GED1" s="3"/>
      <c r="GEE1" s="3"/>
      <c r="GEF1" s="3"/>
      <c r="GEG1" s="3"/>
      <c r="GEH1" s="3"/>
      <c r="GEI1" s="3"/>
      <c r="GEJ1" s="3"/>
      <c r="GEK1" s="3"/>
      <c r="GEL1" s="3"/>
      <c r="GEM1" s="3"/>
      <c r="GEN1" s="3"/>
      <c r="GEO1" s="3"/>
      <c r="GEP1" s="3"/>
      <c r="GEQ1" s="3"/>
      <c r="GER1" s="3"/>
      <c r="GES1" s="3"/>
      <c r="GET1" s="3"/>
      <c r="GEU1" s="3"/>
      <c r="GEV1" s="3"/>
      <c r="GEW1" s="3"/>
      <c r="GEX1" s="3"/>
      <c r="GEY1" s="3"/>
      <c r="GEZ1" s="3"/>
      <c r="GFA1" s="3"/>
      <c r="GFB1" s="3"/>
      <c r="GFC1" s="3"/>
      <c r="GFD1" s="3"/>
      <c r="GFE1" s="3"/>
      <c r="GFF1" s="3"/>
      <c r="GFG1" s="3"/>
      <c r="GFH1" s="3"/>
      <c r="GFI1" s="3"/>
      <c r="GFJ1" s="3"/>
      <c r="GFK1" s="3"/>
      <c r="GFL1" s="3"/>
      <c r="GFM1" s="3"/>
      <c r="GFN1" s="3"/>
      <c r="GFO1" s="3"/>
      <c r="GFP1" s="3"/>
      <c r="GFQ1" s="3"/>
      <c r="GFR1" s="3"/>
      <c r="GFS1" s="3"/>
      <c r="GFT1" s="3"/>
      <c r="GFU1" s="3"/>
      <c r="GFV1" s="3"/>
      <c r="GFW1" s="3"/>
      <c r="GFX1" s="3"/>
      <c r="GFY1" s="3"/>
      <c r="GFZ1" s="3"/>
      <c r="GGA1" s="3"/>
      <c r="GGB1" s="3"/>
      <c r="GGC1" s="3"/>
      <c r="GGD1" s="3"/>
      <c r="GGE1" s="3"/>
      <c r="GGF1" s="3"/>
      <c r="GGG1" s="3"/>
      <c r="GGH1" s="3"/>
      <c r="GGI1" s="3"/>
      <c r="GGJ1" s="3"/>
      <c r="GGK1" s="3"/>
      <c r="GGL1" s="3"/>
      <c r="GGM1" s="3"/>
      <c r="GGN1" s="3"/>
      <c r="GGO1" s="3"/>
      <c r="GGP1" s="3"/>
      <c r="GGQ1" s="3"/>
      <c r="GGR1" s="3"/>
      <c r="GGS1" s="3"/>
      <c r="GGT1" s="3"/>
      <c r="GGU1" s="3"/>
      <c r="GGV1" s="3"/>
      <c r="GGW1" s="3"/>
      <c r="GGX1" s="3"/>
      <c r="GGY1" s="3"/>
      <c r="GGZ1" s="3"/>
      <c r="GHA1" s="3"/>
      <c r="GHB1" s="3"/>
      <c r="GHC1" s="3"/>
      <c r="GHD1" s="3"/>
      <c r="GHE1" s="3"/>
      <c r="GHF1" s="3"/>
      <c r="GHG1" s="3"/>
      <c r="GHH1" s="3"/>
      <c r="GHI1" s="3"/>
      <c r="GHJ1" s="3"/>
      <c r="GHK1" s="3"/>
      <c r="GHL1" s="3"/>
      <c r="GHM1" s="3"/>
      <c r="GHN1" s="3"/>
      <c r="GHO1" s="3"/>
      <c r="GHP1" s="3"/>
      <c r="GHQ1" s="3"/>
      <c r="GHR1" s="3"/>
      <c r="GHS1" s="3"/>
      <c r="GHT1" s="3"/>
      <c r="GHU1" s="3"/>
      <c r="GHV1" s="3"/>
      <c r="GHW1" s="3"/>
      <c r="GHX1" s="3"/>
      <c r="GHY1" s="3"/>
      <c r="GHZ1" s="3"/>
      <c r="GIA1" s="3"/>
      <c r="GIB1" s="3"/>
      <c r="GIC1" s="3"/>
      <c r="GID1" s="3"/>
      <c r="GIE1" s="3"/>
      <c r="GIF1" s="3"/>
      <c r="GIG1" s="3"/>
      <c r="GIH1" s="3"/>
      <c r="GII1" s="3"/>
      <c r="GIJ1" s="3"/>
      <c r="GIK1" s="3"/>
      <c r="GIL1" s="3"/>
      <c r="GIM1" s="3"/>
      <c r="GIN1" s="3"/>
      <c r="GIO1" s="3"/>
      <c r="GIP1" s="3"/>
      <c r="GIQ1" s="3"/>
      <c r="GIR1" s="3"/>
      <c r="GIS1" s="3"/>
      <c r="GIT1" s="3"/>
      <c r="GIU1" s="3"/>
      <c r="GIV1" s="3"/>
      <c r="GIW1" s="3"/>
      <c r="GIX1" s="3"/>
      <c r="GIY1" s="3"/>
      <c r="GIZ1" s="3"/>
      <c r="GJA1" s="3"/>
      <c r="GJB1" s="3"/>
      <c r="GJC1" s="3"/>
      <c r="GJD1" s="3"/>
      <c r="GJE1" s="3"/>
      <c r="GJF1" s="3"/>
      <c r="GJG1" s="3"/>
      <c r="GJH1" s="3"/>
      <c r="GJI1" s="3"/>
      <c r="GJJ1" s="3"/>
      <c r="GJK1" s="3"/>
      <c r="GJL1" s="3"/>
      <c r="GJM1" s="3"/>
      <c r="GJN1" s="3"/>
      <c r="GJO1" s="3"/>
      <c r="GJP1" s="3"/>
      <c r="GJQ1" s="3"/>
      <c r="GJR1" s="3"/>
      <c r="GJS1" s="3"/>
      <c r="GJT1" s="3"/>
      <c r="GJU1" s="3"/>
      <c r="GJV1" s="3"/>
      <c r="GJW1" s="3"/>
      <c r="GJX1" s="3"/>
      <c r="GJY1" s="3"/>
      <c r="GJZ1" s="3"/>
      <c r="GKA1" s="3"/>
      <c r="GKB1" s="3"/>
      <c r="GKC1" s="3"/>
      <c r="GKD1" s="3"/>
      <c r="GKE1" s="3"/>
      <c r="GKF1" s="3"/>
      <c r="GKG1" s="3"/>
      <c r="GKH1" s="3"/>
      <c r="GKI1" s="3"/>
      <c r="GKJ1" s="3"/>
      <c r="GKK1" s="3"/>
      <c r="GKL1" s="3"/>
      <c r="GKM1" s="3"/>
      <c r="GKN1" s="3"/>
      <c r="GKO1" s="3"/>
      <c r="GKP1" s="3"/>
      <c r="GKQ1" s="3"/>
      <c r="GKR1" s="3"/>
      <c r="GKS1" s="3"/>
      <c r="GKT1" s="3"/>
      <c r="GKU1" s="3"/>
      <c r="GKV1" s="3"/>
      <c r="GKW1" s="3"/>
      <c r="GKX1" s="3"/>
      <c r="GKY1" s="3"/>
      <c r="GKZ1" s="3"/>
      <c r="GLA1" s="3"/>
      <c r="GLB1" s="3"/>
      <c r="GLC1" s="3"/>
      <c r="GLD1" s="3"/>
      <c r="GLE1" s="3"/>
      <c r="GLF1" s="3"/>
      <c r="GLG1" s="3"/>
      <c r="GLH1" s="3"/>
      <c r="GLI1" s="3"/>
      <c r="GLJ1" s="3"/>
      <c r="GLK1" s="3"/>
      <c r="GLL1" s="3"/>
      <c r="GLM1" s="3"/>
      <c r="GLN1" s="3"/>
      <c r="GLO1" s="3"/>
      <c r="GLP1" s="3"/>
      <c r="GLQ1" s="3"/>
      <c r="GLR1" s="3"/>
      <c r="GLS1" s="3"/>
      <c r="GLT1" s="3"/>
      <c r="GLU1" s="3"/>
      <c r="GLV1" s="3"/>
      <c r="GLW1" s="3"/>
      <c r="GLX1" s="3"/>
      <c r="GLY1" s="3"/>
      <c r="GLZ1" s="3"/>
      <c r="GMA1" s="3"/>
      <c r="GMB1" s="3"/>
      <c r="GMC1" s="3"/>
      <c r="GMD1" s="3"/>
      <c r="GME1" s="3"/>
      <c r="GMF1" s="3"/>
      <c r="GMG1" s="3"/>
      <c r="GMH1" s="3"/>
      <c r="GMI1" s="3"/>
      <c r="GMJ1" s="3"/>
      <c r="GMK1" s="3"/>
      <c r="GML1" s="3"/>
      <c r="GMM1" s="3"/>
      <c r="GMN1" s="3"/>
      <c r="GMO1" s="3"/>
      <c r="GMP1" s="3"/>
      <c r="GMQ1" s="3"/>
      <c r="GMR1" s="3"/>
      <c r="GMS1" s="3"/>
      <c r="GMT1" s="3"/>
      <c r="GMU1" s="3"/>
      <c r="GMV1" s="3"/>
      <c r="GMW1" s="3"/>
      <c r="GMX1" s="3"/>
      <c r="GMY1" s="3"/>
      <c r="GMZ1" s="3"/>
      <c r="GNA1" s="3"/>
      <c r="GNB1" s="3"/>
      <c r="GNC1" s="3"/>
      <c r="GND1" s="3"/>
      <c r="GNE1" s="3"/>
      <c r="GNF1" s="3"/>
      <c r="GNG1" s="3"/>
      <c r="GNH1" s="3"/>
      <c r="GNI1" s="3"/>
      <c r="GNJ1" s="3"/>
      <c r="GNK1" s="3"/>
      <c r="GNL1" s="3"/>
      <c r="GNM1" s="3"/>
      <c r="GNN1" s="3"/>
      <c r="GNO1" s="3"/>
      <c r="GNP1" s="3"/>
      <c r="GNQ1" s="3"/>
      <c r="GNR1" s="3"/>
      <c r="GNS1" s="3"/>
      <c r="GNT1" s="3"/>
      <c r="GNU1" s="3"/>
      <c r="GNV1" s="3"/>
      <c r="GNW1" s="3"/>
      <c r="GNX1" s="3"/>
      <c r="GNY1" s="3"/>
      <c r="GNZ1" s="3"/>
      <c r="GOA1" s="3"/>
      <c r="GOB1" s="3"/>
      <c r="GOC1" s="3"/>
      <c r="GOD1" s="3"/>
      <c r="GOE1" s="3"/>
      <c r="GOF1" s="3"/>
      <c r="GOG1" s="3"/>
      <c r="GOH1" s="3"/>
      <c r="GOI1" s="3"/>
      <c r="GOJ1" s="3"/>
      <c r="GOK1" s="3"/>
      <c r="GOL1" s="3"/>
      <c r="GOM1" s="3"/>
      <c r="GON1" s="3"/>
      <c r="GOO1" s="3"/>
      <c r="GOP1" s="3"/>
      <c r="GOQ1" s="3"/>
      <c r="GOR1" s="3"/>
      <c r="GOS1" s="3"/>
      <c r="GOT1" s="3"/>
      <c r="GOU1" s="3"/>
      <c r="GOV1" s="3"/>
      <c r="GOW1" s="3"/>
      <c r="GOX1" s="3"/>
      <c r="GOY1" s="3"/>
      <c r="GOZ1" s="3"/>
      <c r="GPA1" s="3"/>
      <c r="GPB1" s="3"/>
      <c r="GPC1" s="3"/>
      <c r="GPD1" s="3"/>
      <c r="GPE1" s="3"/>
      <c r="GPF1" s="3"/>
      <c r="GPG1" s="3"/>
      <c r="GPH1" s="3"/>
      <c r="GPI1" s="3"/>
      <c r="GPJ1" s="3"/>
      <c r="GPK1" s="3"/>
      <c r="GPL1" s="3"/>
      <c r="GPM1" s="3"/>
      <c r="GPN1" s="3"/>
      <c r="GPO1" s="3"/>
      <c r="GPP1" s="3"/>
      <c r="GPQ1" s="3"/>
      <c r="GPR1" s="3"/>
      <c r="GPS1" s="3"/>
      <c r="GPT1" s="3"/>
      <c r="GPU1" s="3"/>
      <c r="GPV1" s="3"/>
      <c r="GPW1" s="3"/>
      <c r="GPX1" s="3"/>
      <c r="GPY1" s="3"/>
      <c r="GPZ1" s="3"/>
      <c r="GQA1" s="3"/>
      <c r="GQB1" s="3"/>
      <c r="GQC1" s="3"/>
      <c r="GQD1" s="3"/>
      <c r="GQE1" s="3"/>
      <c r="GQF1" s="3"/>
      <c r="GQG1" s="3"/>
      <c r="GQH1" s="3"/>
      <c r="GQI1" s="3"/>
      <c r="GQJ1" s="3"/>
      <c r="GQK1" s="3"/>
      <c r="GQL1" s="3"/>
      <c r="GQM1" s="3"/>
      <c r="GQN1" s="3"/>
      <c r="GQO1" s="3"/>
      <c r="GQP1" s="3"/>
      <c r="GQQ1" s="3"/>
      <c r="GQR1" s="3"/>
      <c r="GQS1" s="3"/>
      <c r="GQT1" s="3"/>
      <c r="GQU1" s="3"/>
      <c r="GQV1" s="3"/>
      <c r="GQW1" s="3"/>
      <c r="GQX1" s="3"/>
      <c r="GQY1" s="3"/>
      <c r="GQZ1" s="3"/>
      <c r="GRA1" s="3"/>
      <c r="GRB1" s="3"/>
      <c r="GRC1" s="3"/>
      <c r="GRD1" s="3"/>
      <c r="GRE1" s="3"/>
      <c r="GRF1" s="3"/>
      <c r="GRG1" s="3"/>
      <c r="GRH1" s="3"/>
      <c r="GRI1" s="3"/>
      <c r="GRJ1" s="3"/>
      <c r="GRK1" s="3"/>
      <c r="GRL1" s="3"/>
      <c r="GRM1" s="3"/>
      <c r="GRN1" s="3"/>
      <c r="GRO1" s="3"/>
      <c r="GRP1" s="3"/>
      <c r="GRQ1" s="3"/>
      <c r="GRR1" s="3"/>
      <c r="GRS1" s="3"/>
      <c r="GRT1" s="3"/>
      <c r="GRU1" s="3"/>
      <c r="GRV1" s="3"/>
      <c r="GRW1" s="3"/>
      <c r="GRX1" s="3"/>
      <c r="GRY1" s="3"/>
      <c r="GRZ1" s="3"/>
      <c r="GSA1" s="3"/>
      <c r="GSB1" s="3"/>
      <c r="GSC1" s="3"/>
      <c r="GSD1" s="3"/>
      <c r="GSE1" s="3"/>
      <c r="GSF1" s="3"/>
      <c r="GSG1" s="3"/>
      <c r="GSH1" s="3"/>
      <c r="GSI1" s="3"/>
      <c r="GSJ1" s="3"/>
      <c r="GSK1" s="3"/>
      <c r="GSL1" s="3"/>
      <c r="GSM1" s="3"/>
      <c r="GSN1" s="3"/>
      <c r="GSO1" s="3"/>
      <c r="GSP1" s="3"/>
      <c r="GSQ1" s="3"/>
      <c r="GSR1" s="3"/>
      <c r="GSS1" s="3"/>
      <c r="GST1" s="3"/>
      <c r="GSU1" s="3"/>
      <c r="GSV1" s="3"/>
      <c r="GSW1" s="3"/>
      <c r="GSX1" s="3"/>
      <c r="GSY1" s="3"/>
      <c r="GSZ1" s="3"/>
      <c r="GTA1" s="3"/>
      <c r="GTB1" s="3"/>
      <c r="GTC1" s="3"/>
      <c r="GTD1" s="3"/>
      <c r="GTE1" s="3"/>
      <c r="GTF1" s="3"/>
      <c r="GTG1" s="3"/>
      <c r="GTH1" s="3"/>
      <c r="GTI1" s="3"/>
      <c r="GTJ1" s="3"/>
      <c r="GTK1" s="3"/>
      <c r="GTL1" s="3"/>
      <c r="GTM1" s="3"/>
      <c r="GTN1" s="3"/>
      <c r="GTO1" s="3"/>
      <c r="GTP1" s="3"/>
      <c r="GTQ1" s="3"/>
      <c r="GTR1" s="3"/>
      <c r="GTS1" s="3"/>
      <c r="GTT1" s="3"/>
      <c r="GTU1" s="3"/>
      <c r="GTV1" s="3"/>
      <c r="GTW1" s="3"/>
      <c r="GTX1" s="3"/>
      <c r="GTY1" s="3"/>
      <c r="GTZ1" s="3"/>
      <c r="GUA1" s="3"/>
      <c r="GUB1" s="3"/>
      <c r="GUC1" s="3"/>
      <c r="GUD1" s="3"/>
      <c r="GUE1" s="3"/>
      <c r="GUF1" s="3"/>
      <c r="GUG1" s="3"/>
      <c r="GUH1" s="3"/>
      <c r="GUI1" s="3"/>
      <c r="GUJ1" s="3"/>
      <c r="GUK1" s="3"/>
      <c r="GUL1" s="3"/>
      <c r="GUM1" s="3"/>
      <c r="GUN1" s="3"/>
      <c r="GUO1" s="3"/>
      <c r="GUP1" s="3"/>
      <c r="GUQ1" s="3"/>
      <c r="GUR1" s="3"/>
      <c r="GUS1" s="3"/>
      <c r="GUT1" s="3"/>
      <c r="GUU1" s="3"/>
      <c r="GUV1" s="3"/>
      <c r="GUW1" s="3"/>
      <c r="GUX1" s="3"/>
      <c r="GUY1" s="3"/>
      <c r="GUZ1" s="3"/>
      <c r="GVA1" s="3"/>
      <c r="GVB1" s="3"/>
      <c r="GVC1" s="3"/>
      <c r="GVD1" s="3"/>
      <c r="GVE1" s="3"/>
      <c r="GVF1" s="3"/>
      <c r="GVG1" s="3"/>
      <c r="GVH1" s="3"/>
      <c r="GVI1" s="3"/>
      <c r="GVJ1" s="3"/>
      <c r="GVK1" s="3"/>
      <c r="GVL1" s="3"/>
      <c r="GVM1" s="3"/>
      <c r="GVN1" s="3"/>
      <c r="GVO1" s="3"/>
      <c r="GVP1" s="3"/>
      <c r="GVQ1" s="3"/>
      <c r="GVR1" s="3"/>
      <c r="GVS1" s="3"/>
      <c r="GVT1" s="3"/>
      <c r="GVU1" s="3"/>
      <c r="GVV1" s="3"/>
      <c r="GVW1" s="3"/>
      <c r="GVX1" s="3"/>
      <c r="GVY1" s="3"/>
      <c r="GVZ1" s="3"/>
      <c r="GWA1" s="3"/>
      <c r="GWB1" s="3"/>
      <c r="GWC1" s="3"/>
      <c r="GWD1" s="3"/>
      <c r="GWE1" s="3"/>
      <c r="GWF1" s="3"/>
      <c r="GWG1" s="3"/>
      <c r="GWH1" s="3"/>
      <c r="GWI1" s="3"/>
      <c r="GWJ1" s="3"/>
      <c r="GWK1" s="3"/>
      <c r="GWL1" s="3"/>
      <c r="GWM1" s="3"/>
      <c r="GWN1" s="3"/>
      <c r="GWO1" s="3"/>
      <c r="GWP1" s="3"/>
      <c r="GWQ1" s="3"/>
      <c r="GWR1" s="3"/>
      <c r="GWS1" s="3"/>
      <c r="GWT1" s="3"/>
      <c r="GWU1" s="3"/>
      <c r="GWV1" s="3"/>
      <c r="GWW1" s="3"/>
      <c r="GWX1" s="3"/>
      <c r="GWY1" s="3"/>
      <c r="GWZ1" s="3"/>
      <c r="GXA1" s="3"/>
      <c r="GXB1" s="3"/>
      <c r="GXC1" s="3"/>
      <c r="GXD1" s="3"/>
      <c r="GXE1" s="3"/>
      <c r="GXF1" s="3"/>
      <c r="GXG1" s="3"/>
      <c r="GXH1" s="3"/>
      <c r="GXI1" s="3"/>
      <c r="GXJ1" s="3"/>
      <c r="GXK1" s="3"/>
      <c r="GXL1" s="3"/>
      <c r="GXM1" s="3"/>
      <c r="GXN1" s="3"/>
      <c r="GXO1" s="3"/>
      <c r="GXP1" s="3"/>
      <c r="GXQ1" s="3"/>
      <c r="GXR1" s="3"/>
      <c r="GXS1" s="3"/>
      <c r="GXT1" s="3"/>
      <c r="GXU1" s="3"/>
      <c r="GXV1" s="3"/>
      <c r="GXW1" s="3"/>
      <c r="GXX1" s="3"/>
      <c r="GXY1" s="3"/>
      <c r="GXZ1" s="3"/>
      <c r="GYA1" s="3"/>
      <c r="GYB1" s="3"/>
      <c r="GYC1" s="3"/>
      <c r="GYD1" s="3"/>
      <c r="GYE1" s="3"/>
      <c r="GYF1" s="3"/>
      <c r="GYG1" s="3"/>
      <c r="GYH1" s="3"/>
      <c r="GYI1" s="3"/>
      <c r="GYJ1" s="3"/>
      <c r="GYK1" s="3"/>
      <c r="GYL1" s="3"/>
      <c r="GYM1" s="3"/>
      <c r="GYN1" s="3"/>
      <c r="GYO1" s="3"/>
      <c r="GYP1" s="3"/>
      <c r="GYQ1" s="3"/>
      <c r="GYR1" s="3"/>
      <c r="GYS1" s="3"/>
      <c r="GYT1" s="3"/>
      <c r="GYU1" s="3"/>
      <c r="GYV1" s="3"/>
      <c r="GYW1" s="3"/>
      <c r="GYX1" s="3"/>
      <c r="GYY1" s="3"/>
      <c r="GYZ1" s="3"/>
      <c r="GZA1" s="3"/>
      <c r="GZB1" s="3"/>
      <c r="GZC1" s="3"/>
      <c r="GZD1" s="3"/>
      <c r="GZE1" s="3"/>
      <c r="GZF1" s="3"/>
      <c r="GZG1" s="3"/>
      <c r="GZH1" s="3"/>
      <c r="GZI1" s="3"/>
      <c r="GZJ1" s="3"/>
      <c r="GZK1" s="3"/>
      <c r="GZL1" s="3"/>
      <c r="GZM1" s="3"/>
      <c r="GZN1" s="3"/>
      <c r="GZO1" s="3"/>
      <c r="GZP1" s="3"/>
      <c r="GZQ1" s="3"/>
      <c r="GZR1" s="3"/>
      <c r="GZS1" s="3"/>
      <c r="GZT1" s="3"/>
      <c r="GZU1" s="3"/>
      <c r="GZV1" s="3"/>
      <c r="GZW1" s="3"/>
      <c r="GZX1" s="3"/>
      <c r="GZY1" s="3"/>
      <c r="GZZ1" s="3"/>
      <c r="HAA1" s="3"/>
      <c r="HAB1" s="3"/>
      <c r="HAC1" s="3"/>
      <c r="HAD1" s="3"/>
      <c r="HAE1" s="3"/>
      <c r="HAF1" s="3"/>
      <c r="HAG1" s="3"/>
      <c r="HAH1" s="3"/>
      <c r="HAI1" s="3"/>
      <c r="HAJ1" s="3"/>
      <c r="HAK1" s="3"/>
      <c r="HAL1" s="3"/>
      <c r="HAM1" s="3"/>
      <c r="HAN1" s="3"/>
      <c r="HAO1" s="3"/>
      <c r="HAP1" s="3"/>
      <c r="HAQ1" s="3"/>
      <c r="HAR1" s="3"/>
      <c r="HAS1" s="3"/>
      <c r="HAT1" s="3"/>
      <c r="HAU1" s="3"/>
      <c r="HAV1" s="3"/>
      <c r="HAW1" s="3"/>
      <c r="HAX1" s="3"/>
      <c r="HAY1" s="3"/>
      <c r="HAZ1" s="3"/>
      <c r="HBA1" s="3"/>
      <c r="HBB1" s="3"/>
      <c r="HBC1" s="3"/>
      <c r="HBD1" s="3"/>
      <c r="HBE1" s="3"/>
      <c r="HBF1" s="3"/>
      <c r="HBG1" s="3"/>
      <c r="HBH1" s="3"/>
      <c r="HBI1" s="3"/>
      <c r="HBJ1" s="3"/>
      <c r="HBK1" s="3"/>
      <c r="HBL1" s="3"/>
      <c r="HBM1" s="3"/>
      <c r="HBN1" s="3"/>
      <c r="HBO1" s="3"/>
      <c r="HBP1" s="3"/>
      <c r="HBQ1" s="3"/>
      <c r="HBR1" s="3"/>
      <c r="HBS1" s="3"/>
      <c r="HBT1" s="3"/>
      <c r="HBU1" s="3"/>
      <c r="HBV1" s="3"/>
      <c r="HBW1" s="3"/>
      <c r="HBX1" s="3"/>
      <c r="HBY1" s="3"/>
      <c r="HBZ1" s="3"/>
      <c r="HCA1" s="3"/>
      <c r="HCB1" s="3"/>
      <c r="HCC1" s="3"/>
      <c r="HCD1" s="3"/>
      <c r="HCE1" s="3"/>
      <c r="HCF1" s="3"/>
      <c r="HCG1" s="3"/>
      <c r="HCH1" s="3"/>
      <c r="HCI1" s="3"/>
      <c r="HCJ1" s="3"/>
      <c r="HCK1" s="3"/>
      <c r="HCL1" s="3"/>
      <c r="HCM1" s="3"/>
      <c r="HCN1" s="3"/>
      <c r="HCO1" s="3"/>
      <c r="HCP1" s="3"/>
      <c r="HCQ1" s="3"/>
      <c r="HCR1" s="3"/>
      <c r="HCS1" s="3"/>
      <c r="HCT1" s="3"/>
      <c r="HCU1" s="3"/>
      <c r="HCV1" s="3"/>
      <c r="HCW1" s="3"/>
      <c r="HCX1" s="3"/>
      <c r="HCY1" s="3"/>
      <c r="HCZ1" s="3"/>
      <c r="HDA1" s="3"/>
      <c r="HDB1" s="3"/>
      <c r="HDC1" s="3"/>
      <c r="HDD1" s="3"/>
      <c r="HDE1" s="3"/>
      <c r="HDF1" s="3"/>
      <c r="HDG1" s="3"/>
      <c r="HDH1" s="3"/>
      <c r="HDI1" s="3"/>
      <c r="HDJ1" s="3"/>
      <c r="HDK1" s="3"/>
      <c r="HDL1" s="3"/>
      <c r="HDM1" s="3"/>
      <c r="HDN1" s="3"/>
      <c r="HDO1" s="3"/>
      <c r="HDP1" s="3"/>
      <c r="HDQ1" s="3"/>
      <c r="HDR1" s="3"/>
      <c r="HDS1" s="3"/>
      <c r="HDT1" s="3"/>
      <c r="HDU1" s="3"/>
      <c r="HDV1" s="3"/>
      <c r="HDW1" s="3"/>
      <c r="HDX1" s="3"/>
      <c r="HDY1" s="3"/>
      <c r="HDZ1" s="3"/>
      <c r="HEA1" s="3"/>
      <c r="HEB1" s="3"/>
      <c r="HEC1" s="3"/>
      <c r="HED1" s="3"/>
      <c r="HEE1" s="3"/>
      <c r="HEF1" s="3"/>
      <c r="HEG1" s="3"/>
      <c r="HEH1" s="3"/>
      <c r="HEI1" s="3"/>
      <c r="HEJ1" s="3"/>
      <c r="HEK1" s="3"/>
      <c r="HEL1" s="3"/>
      <c r="HEM1" s="3"/>
      <c r="HEN1" s="3"/>
      <c r="HEO1" s="3"/>
      <c r="HEP1" s="3"/>
      <c r="HEQ1" s="3"/>
      <c r="HER1" s="3"/>
      <c r="HES1" s="3"/>
      <c r="HET1" s="3"/>
      <c r="HEU1" s="3"/>
      <c r="HEV1" s="3"/>
      <c r="HEW1" s="3"/>
      <c r="HEX1" s="3"/>
      <c r="HEY1" s="3"/>
      <c r="HEZ1" s="3"/>
      <c r="HFA1" s="3"/>
      <c r="HFB1" s="3"/>
      <c r="HFC1" s="3"/>
      <c r="HFD1" s="3"/>
      <c r="HFE1" s="3"/>
      <c r="HFF1" s="3"/>
      <c r="HFG1" s="3"/>
      <c r="HFH1" s="3"/>
      <c r="HFI1" s="3"/>
      <c r="HFJ1" s="3"/>
      <c r="HFK1" s="3"/>
      <c r="HFL1" s="3"/>
      <c r="HFM1" s="3"/>
      <c r="HFN1" s="3"/>
      <c r="HFO1" s="3"/>
      <c r="HFP1" s="3"/>
      <c r="HFQ1" s="3"/>
      <c r="HFR1" s="3"/>
      <c r="HFS1" s="3"/>
      <c r="HFT1" s="3"/>
      <c r="HFU1" s="3"/>
      <c r="HFV1" s="3"/>
      <c r="HFW1" s="3"/>
      <c r="HFX1" s="3"/>
      <c r="HFY1" s="3"/>
      <c r="HFZ1" s="3"/>
      <c r="HGA1" s="3"/>
      <c r="HGB1" s="3"/>
      <c r="HGC1" s="3"/>
      <c r="HGD1" s="3"/>
      <c r="HGE1" s="3"/>
      <c r="HGF1" s="3"/>
      <c r="HGG1" s="3"/>
      <c r="HGH1" s="3"/>
      <c r="HGI1" s="3"/>
      <c r="HGJ1" s="3"/>
      <c r="HGK1" s="3"/>
      <c r="HGL1" s="3"/>
      <c r="HGM1" s="3"/>
      <c r="HGN1" s="3"/>
      <c r="HGO1" s="3"/>
      <c r="HGP1" s="3"/>
      <c r="HGQ1" s="3"/>
      <c r="HGR1" s="3"/>
      <c r="HGS1" s="3"/>
      <c r="HGT1" s="3"/>
      <c r="HGU1" s="3"/>
      <c r="HGV1" s="3"/>
      <c r="HGW1" s="3"/>
      <c r="HGX1" s="3"/>
      <c r="HGY1" s="3"/>
      <c r="HGZ1" s="3"/>
      <c r="HHA1" s="3"/>
      <c r="HHB1" s="3"/>
      <c r="HHC1" s="3"/>
      <c r="HHD1" s="3"/>
      <c r="HHE1" s="3"/>
      <c r="HHF1" s="3"/>
      <c r="HHG1" s="3"/>
      <c r="HHH1" s="3"/>
      <c r="HHI1" s="3"/>
      <c r="HHJ1" s="3"/>
      <c r="HHK1" s="3"/>
      <c r="HHL1" s="3"/>
      <c r="HHM1" s="3"/>
      <c r="HHN1" s="3"/>
      <c r="HHO1" s="3"/>
      <c r="HHP1" s="3"/>
      <c r="HHQ1" s="3"/>
      <c r="HHR1" s="3"/>
      <c r="HHS1" s="3"/>
      <c r="HHT1" s="3"/>
      <c r="HHU1" s="3"/>
      <c r="HHV1" s="3"/>
      <c r="HHW1" s="3"/>
      <c r="HHX1" s="3"/>
      <c r="HHY1" s="3"/>
      <c r="HHZ1" s="3"/>
      <c r="HIA1" s="3"/>
      <c r="HIB1" s="3"/>
      <c r="HIC1" s="3"/>
      <c r="HID1" s="3"/>
      <c r="HIE1" s="3"/>
      <c r="HIF1" s="3"/>
      <c r="HIG1" s="3"/>
      <c r="HIH1" s="3"/>
      <c r="HII1" s="3"/>
      <c r="HIJ1" s="3"/>
      <c r="HIK1" s="3"/>
      <c r="HIL1" s="3"/>
      <c r="HIM1" s="3"/>
      <c r="HIN1" s="3"/>
      <c r="HIO1" s="3"/>
      <c r="HIP1" s="3"/>
      <c r="HIQ1" s="3"/>
      <c r="HIR1" s="3"/>
      <c r="HIS1" s="3"/>
      <c r="HIT1" s="3"/>
      <c r="HIU1" s="3"/>
      <c r="HIV1" s="3"/>
      <c r="HIW1" s="3"/>
      <c r="HIX1" s="3"/>
      <c r="HIY1" s="3"/>
      <c r="HIZ1" s="3"/>
      <c r="HJA1" s="3"/>
      <c r="HJB1" s="3"/>
      <c r="HJC1" s="3"/>
      <c r="HJD1" s="3"/>
      <c r="HJE1" s="3"/>
      <c r="HJF1" s="3"/>
      <c r="HJG1" s="3"/>
      <c r="HJH1" s="3"/>
      <c r="HJI1" s="3"/>
      <c r="HJJ1" s="3"/>
      <c r="HJK1" s="3"/>
      <c r="HJL1" s="3"/>
      <c r="HJM1" s="3"/>
      <c r="HJN1" s="3"/>
      <c r="HJO1" s="3"/>
      <c r="HJP1" s="3"/>
      <c r="HJQ1" s="3"/>
      <c r="HJR1" s="3"/>
      <c r="HJS1" s="3"/>
      <c r="HJT1" s="3"/>
      <c r="HJU1" s="3"/>
      <c r="HJV1" s="3"/>
      <c r="HJW1" s="3"/>
      <c r="HJX1" s="3"/>
      <c r="HJY1" s="3"/>
      <c r="HJZ1" s="3"/>
      <c r="HKA1" s="3"/>
      <c r="HKB1" s="3"/>
      <c r="HKC1" s="3"/>
      <c r="HKD1" s="3"/>
      <c r="HKE1" s="3"/>
      <c r="HKF1" s="3"/>
      <c r="HKG1" s="3"/>
      <c r="HKH1" s="3"/>
      <c r="HKI1" s="3"/>
      <c r="HKJ1" s="3"/>
      <c r="HKK1" s="3"/>
      <c r="HKL1" s="3"/>
      <c r="HKM1" s="3"/>
      <c r="HKN1" s="3"/>
      <c r="HKO1" s="3"/>
      <c r="HKP1" s="3"/>
      <c r="HKQ1" s="3"/>
      <c r="HKR1" s="3"/>
      <c r="HKS1" s="3"/>
      <c r="HKT1" s="3"/>
      <c r="HKU1" s="3"/>
      <c r="HKV1" s="3"/>
      <c r="HKW1" s="3"/>
      <c r="HKX1" s="3"/>
      <c r="HKY1" s="3"/>
      <c r="HKZ1" s="3"/>
      <c r="HLA1" s="3"/>
      <c r="HLB1" s="3"/>
      <c r="HLC1" s="3"/>
      <c r="HLD1" s="3"/>
      <c r="HLE1" s="3"/>
      <c r="HLF1" s="3"/>
      <c r="HLG1" s="3"/>
      <c r="HLH1" s="3"/>
      <c r="HLI1" s="3"/>
      <c r="HLJ1" s="3"/>
      <c r="HLK1" s="3"/>
      <c r="HLL1" s="3"/>
      <c r="HLM1" s="3"/>
      <c r="HLN1" s="3"/>
      <c r="HLO1" s="3"/>
      <c r="HLP1" s="3"/>
      <c r="HLQ1" s="3"/>
      <c r="HLR1" s="3"/>
      <c r="HLS1" s="3"/>
      <c r="HLT1" s="3"/>
      <c r="HLU1" s="3"/>
      <c r="HLV1" s="3"/>
      <c r="HLW1" s="3"/>
      <c r="HLX1" s="3"/>
      <c r="HLY1" s="3"/>
      <c r="HLZ1" s="3"/>
      <c r="HMA1" s="3"/>
      <c r="HMB1" s="3"/>
      <c r="HMC1" s="3"/>
      <c r="HMD1" s="3"/>
      <c r="HME1" s="3"/>
      <c r="HMF1" s="3"/>
      <c r="HMG1" s="3"/>
      <c r="HMH1" s="3"/>
      <c r="HMI1" s="3"/>
      <c r="HMJ1" s="3"/>
      <c r="HMK1" s="3"/>
      <c r="HML1" s="3"/>
      <c r="HMM1" s="3"/>
      <c r="HMN1" s="3"/>
      <c r="HMO1" s="3"/>
      <c r="HMP1" s="3"/>
      <c r="HMQ1" s="3"/>
      <c r="HMR1" s="3"/>
      <c r="HMS1" s="3"/>
      <c r="HMT1" s="3"/>
      <c r="HMU1" s="3"/>
      <c r="HMV1" s="3"/>
      <c r="HMW1" s="3"/>
      <c r="HMX1" s="3"/>
      <c r="HMY1" s="3"/>
      <c r="HMZ1" s="3"/>
      <c r="HNA1" s="3"/>
      <c r="HNB1" s="3"/>
      <c r="HNC1" s="3"/>
      <c r="HND1" s="3"/>
      <c r="HNE1" s="3"/>
      <c r="HNF1" s="3"/>
      <c r="HNG1" s="3"/>
      <c r="HNH1" s="3"/>
      <c r="HNI1" s="3"/>
      <c r="HNJ1" s="3"/>
      <c r="HNK1" s="3"/>
      <c r="HNL1" s="3"/>
      <c r="HNM1" s="3"/>
      <c r="HNN1" s="3"/>
      <c r="HNO1" s="3"/>
      <c r="HNP1" s="3"/>
      <c r="HNQ1" s="3"/>
      <c r="HNR1" s="3"/>
      <c r="HNS1" s="3"/>
      <c r="HNT1" s="3"/>
      <c r="HNU1" s="3"/>
      <c r="HNV1" s="3"/>
      <c r="HNW1" s="3"/>
      <c r="HNX1" s="3"/>
      <c r="HNY1" s="3"/>
      <c r="HNZ1" s="3"/>
      <c r="HOA1" s="3"/>
      <c r="HOB1" s="3"/>
      <c r="HOC1" s="3"/>
      <c r="HOD1" s="3"/>
      <c r="HOE1" s="3"/>
      <c r="HOF1" s="3"/>
      <c r="HOG1" s="3"/>
      <c r="HOH1" s="3"/>
      <c r="HOI1" s="3"/>
      <c r="HOJ1" s="3"/>
      <c r="HOK1" s="3"/>
      <c r="HOL1" s="3"/>
      <c r="HOM1" s="3"/>
      <c r="HON1" s="3"/>
      <c r="HOO1" s="3"/>
      <c r="HOP1" s="3"/>
      <c r="HOQ1" s="3"/>
      <c r="HOR1" s="3"/>
      <c r="HOS1" s="3"/>
      <c r="HOT1" s="3"/>
      <c r="HOU1" s="3"/>
      <c r="HOV1" s="3"/>
      <c r="HOW1" s="3"/>
      <c r="HOX1" s="3"/>
      <c r="HOY1" s="3"/>
      <c r="HOZ1" s="3"/>
      <c r="HPA1" s="3"/>
      <c r="HPB1" s="3"/>
      <c r="HPC1" s="3"/>
      <c r="HPD1" s="3"/>
      <c r="HPE1" s="3"/>
      <c r="HPF1" s="3"/>
      <c r="HPG1" s="3"/>
      <c r="HPH1" s="3"/>
      <c r="HPI1" s="3"/>
      <c r="HPJ1" s="3"/>
      <c r="HPK1" s="3"/>
      <c r="HPL1" s="3"/>
      <c r="HPM1" s="3"/>
      <c r="HPN1" s="3"/>
      <c r="HPO1" s="3"/>
      <c r="HPP1" s="3"/>
      <c r="HPQ1" s="3"/>
      <c r="HPR1" s="3"/>
      <c r="HPS1" s="3"/>
      <c r="HPT1" s="3"/>
      <c r="HPU1" s="3"/>
      <c r="HPV1" s="3"/>
      <c r="HPW1" s="3"/>
      <c r="HPX1" s="3"/>
      <c r="HPY1" s="3"/>
      <c r="HPZ1" s="3"/>
      <c r="HQA1" s="3"/>
      <c r="HQB1" s="3"/>
      <c r="HQC1" s="3"/>
      <c r="HQD1" s="3"/>
      <c r="HQE1" s="3"/>
      <c r="HQF1" s="3"/>
      <c r="HQG1" s="3"/>
      <c r="HQH1" s="3"/>
      <c r="HQI1" s="3"/>
      <c r="HQJ1" s="3"/>
      <c r="HQK1" s="3"/>
      <c r="HQL1" s="3"/>
      <c r="HQM1" s="3"/>
      <c r="HQN1" s="3"/>
      <c r="HQO1" s="3"/>
      <c r="HQP1" s="3"/>
      <c r="HQQ1" s="3"/>
      <c r="HQR1" s="3"/>
      <c r="HQS1" s="3"/>
      <c r="HQT1" s="3"/>
      <c r="HQU1" s="3"/>
      <c r="HQV1" s="3"/>
      <c r="HQW1" s="3"/>
      <c r="HQX1" s="3"/>
      <c r="HQY1" s="3"/>
      <c r="HQZ1" s="3"/>
      <c r="HRA1" s="3"/>
      <c r="HRB1" s="3"/>
      <c r="HRC1" s="3"/>
      <c r="HRD1" s="3"/>
      <c r="HRE1" s="3"/>
      <c r="HRF1" s="3"/>
      <c r="HRG1" s="3"/>
      <c r="HRH1" s="3"/>
      <c r="HRI1" s="3"/>
      <c r="HRJ1" s="3"/>
      <c r="HRK1" s="3"/>
      <c r="HRL1" s="3"/>
      <c r="HRM1" s="3"/>
      <c r="HRN1" s="3"/>
      <c r="HRO1" s="3"/>
      <c r="HRP1" s="3"/>
      <c r="HRQ1" s="3"/>
      <c r="HRR1" s="3"/>
      <c r="HRS1" s="3"/>
      <c r="HRT1" s="3"/>
      <c r="HRU1" s="3"/>
      <c r="HRV1" s="3"/>
      <c r="HRW1" s="3"/>
      <c r="HRX1" s="3"/>
      <c r="HRY1" s="3"/>
      <c r="HRZ1" s="3"/>
      <c r="HSA1" s="3"/>
      <c r="HSB1" s="3"/>
      <c r="HSC1" s="3"/>
      <c r="HSD1" s="3"/>
      <c r="HSE1" s="3"/>
      <c r="HSF1" s="3"/>
      <c r="HSG1" s="3"/>
      <c r="HSH1" s="3"/>
      <c r="HSI1" s="3"/>
      <c r="HSJ1" s="3"/>
      <c r="HSK1" s="3"/>
      <c r="HSL1" s="3"/>
      <c r="HSM1" s="3"/>
      <c r="HSN1" s="3"/>
      <c r="HSO1" s="3"/>
      <c r="HSP1" s="3"/>
      <c r="HSQ1" s="3"/>
      <c r="HSR1" s="3"/>
      <c r="HSS1" s="3"/>
      <c r="HST1" s="3"/>
      <c r="HSU1" s="3"/>
      <c r="HSV1" s="3"/>
      <c r="HSW1" s="3"/>
      <c r="HSX1" s="3"/>
      <c r="HSY1" s="3"/>
      <c r="HSZ1" s="3"/>
      <c r="HTA1" s="3"/>
      <c r="HTB1" s="3"/>
      <c r="HTC1" s="3"/>
      <c r="HTD1" s="3"/>
      <c r="HTE1" s="3"/>
      <c r="HTF1" s="3"/>
      <c r="HTG1" s="3"/>
      <c r="HTH1" s="3"/>
      <c r="HTI1" s="3"/>
      <c r="HTJ1" s="3"/>
      <c r="HTK1" s="3"/>
      <c r="HTL1" s="3"/>
      <c r="HTM1" s="3"/>
      <c r="HTN1" s="3"/>
      <c r="HTO1" s="3"/>
      <c r="HTP1" s="3"/>
      <c r="HTQ1" s="3"/>
      <c r="HTR1" s="3"/>
      <c r="HTS1" s="3"/>
      <c r="HTT1" s="3"/>
      <c r="HTU1" s="3"/>
      <c r="HTV1" s="3"/>
      <c r="HTW1" s="3"/>
      <c r="HTX1" s="3"/>
      <c r="HTY1" s="3"/>
      <c r="HTZ1" s="3"/>
      <c r="HUA1" s="3"/>
      <c r="HUB1" s="3"/>
      <c r="HUC1" s="3"/>
      <c r="HUD1" s="3"/>
      <c r="HUE1" s="3"/>
      <c r="HUF1" s="3"/>
      <c r="HUG1" s="3"/>
      <c r="HUH1" s="3"/>
      <c r="HUI1" s="3"/>
      <c r="HUJ1" s="3"/>
      <c r="HUK1" s="3"/>
      <c r="HUL1" s="3"/>
      <c r="HUM1" s="3"/>
      <c r="HUN1" s="3"/>
      <c r="HUO1" s="3"/>
      <c r="HUP1" s="3"/>
      <c r="HUQ1" s="3"/>
      <c r="HUR1" s="3"/>
      <c r="HUS1" s="3"/>
      <c r="HUT1" s="3"/>
      <c r="HUU1" s="3"/>
      <c r="HUV1" s="3"/>
      <c r="HUW1" s="3"/>
      <c r="HUX1" s="3"/>
      <c r="HUY1" s="3"/>
      <c r="HUZ1" s="3"/>
      <c r="HVA1" s="3"/>
      <c r="HVB1" s="3"/>
      <c r="HVC1" s="3"/>
      <c r="HVD1" s="3"/>
      <c r="HVE1" s="3"/>
      <c r="HVF1" s="3"/>
      <c r="HVG1" s="3"/>
      <c r="HVH1" s="3"/>
      <c r="HVI1" s="3"/>
      <c r="HVJ1" s="3"/>
      <c r="HVK1" s="3"/>
      <c r="HVL1" s="3"/>
      <c r="HVM1" s="3"/>
      <c r="HVN1" s="3"/>
      <c r="HVO1" s="3"/>
      <c r="HVP1" s="3"/>
      <c r="HVQ1" s="3"/>
      <c r="HVR1" s="3"/>
      <c r="HVS1" s="3"/>
      <c r="HVT1" s="3"/>
      <c r="HVU1" s="3"/>
      <c r="HVV1" s="3"/>
      <c r="HVW1" s="3"/>
      <c r="HVX1" s="3"/>
      <c r="HVY1" s="3"/>
      <c r="HVZ1" s="3"/>
      <c r="HWA1" s="3"/>
      <c r="HWB1" s="3"/>
      <c r="HWC1" s="3"/>
      <c r="HWD1" s="3"/>
      <c r="HWE1" s="3"/>
      <c r="HWF1" s="3"/>
      <c r="HWG1" s="3"/>
      <c r="HWH1" s="3"/>
      <c r="HWI1" s="3"/>
      <c r="HWJ1" s="3"/>
      <c r="HWK1" s="3"/>
      <c r="HWL1" s="3"/>
      <c r="HWM1" s="3"/>
      <c r="HWN1" s="3"/>
      <c r="HWO1" s="3"/>
      <c r="HWP1" s="3"/>
      <c r="HWQ1" s="3"/>
      <c r="HWR1" s="3"/>
      <c r="HWS1" s="3"/>
      <c r="HWT1" s="3"/>
      <c r="HWU1" s="3"/>
      <c r="HWV1" s="3"/>
      <c r="HWW1" s="3"/>
      <c r="HWX1" s="3"/>
      <c r="HWY1" s="3"/>
      <c r="HWZ1" s="3"/>
      <c r="HXA1" s="3"/>
      <c r="HXB1" s="3"/>
      <c r="HXC1" s="3"/>
      <c r="HXD1" s="3"/>
      <c r="HXE1" s="3"/>
      <c r="HXF1" s="3"/>
      <c r="HXG1" s="3"/>
      <c r="HXH1" s="3"/>
      <c r="HXI1" s="3"/>
      <c r="HXJ1" s="3"/>
      <c r="HXK1" s="3"/>
      <c r="HXL1" s="3"/>
      <c r="HXM1" s="3"/>
      <c r="HXN1" s="3"/>
      <c r="HXO1" s="3"/>
      <c r="HXP1" s="3"/>
      <c r="HXQ1" s="3"/>
      <c r="HXR1" s="3"/>
      <c r="HXS1" s="3"/>
      <c r="HXT1" s="3"/>
      <c r="HXU1" s="3"/>
      <c r="HXV1" s="3"/>
      <c r="HXW1" s="3"/>
      <c r="HXX1" s="3"/>
      <c r="HXY1" s="3"/>
      <c r="HXZ1" s="3"/>
      <c r="HYA1" s="3"/>
      <c r="HYB1" s="3"/>
      <c r="HYC1" s="3"/>
      <c r="HYD1" s="3"/>
      <c r="HYE1" s="3"/>
      <c r="HYF1" s="3"/>
      <c r="HYG1" s="3"/>
      <c r="HYH1" s="3"/>
      <c r="HYI1" s="3"/>
      <c r="HYJ1" s="3"/>
      <c r="HYK1" s="3"/>
      <c r="HYL1" s="3"/>
      <c r="HYM1" s="3"/>
      <c r="HYN1" s="3"/>
      <c r="HYO1" s="3"/>
      <c r="HYP1" s="3"/>
      <c r="HYQ1" s="3"/>
      <c r="HYR1" s="3"/>
      <c r="HYS1" s="3"/>
      <c r="HYT1" s="3"/>
      <c r="HYU1" s="3"/>
      <c r="HYV1" s="3"/>
      <c r="HYW1" s="3"/>
      <c r="HYX1" s="3"/>
      <c r="HYY1" s="3"/>
      <c r="HYZ1" s="3"/>
      <c r="HZA1" s="3"/>
      <c r="HZB1" s="3"/>
      <c r="HZC1" s="3"/>
      <c r="HZD1" s="3"/>
      <c r="HZE1" s="3"/>
      <c r="HZF1" s="3"/>
      <c r="HZG1" s="3"/>
      <c r="HZH1" s="3"/>
      <c r="HZI1" s="3"/>
      <c r="HZJ1" s="3"/>
      <c r="HZK1" s="3"/>
      <c r="HZL1" s="3"/>
      <c r="HZM1" s="3"/>
      <c r="HZN1" s="3"/>
      <c r="HZO1" s="3"/>
      <c r="HZP1" s="3"/>
      <c r="HZQ1" s="3"/>
      <c r="HZR1" s="3"/>
      <c r="HZS1" s="3"/>
      <c r="HZT1" s="3"/>
      <c r="HZU1" s="3"/>
      <c r="HZV1" s="3"/>
      <c r="HZW1" s="3"/>
      <c r="HZX1" s="3"/>
      <c r="HZY1" s="3"/>
      <c r="HZZ1" s="3"/>
      <c r="IAA1" s="3"/>
      <c r="IAB1" s="3"/>
      <c r="IAC1" s="3"/>
      <c r="IAD1" s="3"/>
      <c r="IAE1" s="3"/>
      <c r="IAF1" s="3"/>
      <c r="IAG1" s="3"/>
      <c r="IAH1" s="3"/>
      <c r="IAI1" s="3"/>
      <c r="IAJ1" s="3"/>
      <c r="IAK1" s="3"/>
      <c r="IAL1" s="3"/>
      <c r="IAM1" s="3"/>
      <c r="IAN1" s="3"/>
      <c r="IAO1" s="3"/>
      <c r="IAP1" s="3"/>
      <c r="IAQ1" s="3"/>
      <c r="IAR1" s="3"/>
      <c r="IAS1" s="3"/>
      <c r="IAT1" s="3"/>
      <c r="IAU1" s="3"/>
      <c r="IAV1" s="3"/>
      <c r="IAW1" s="3"/>
      <c r="IAX1" s="3"/>
      <c r="IAY1" s="3"/>
      <c r="IAZ1" s="3"/>
      <c r="IBA1" s="3"/>
      <c r="IBB1" s="3"/>
      <c r="IBC1" s="3"/>
      <c r="IBD1" s="3"/>
      <c r="IBE1" s="3"/>
      <c r="IBF1" s="3"/>
      <c r="IBG1" s="3"/>
      <c r="IBH1" s="3"/>
      <c r="IBI1" s="3"/>
      <c r="IBJ1" s="3"/>
      <c r="IBK1" s="3"/>
      <c r="IBL1" s="3"/>
      <c r="IBM1" s="3"/>
      <c r="IBN1" s="3"/>
      <c r="IBO1" s="3"/>
      <c r="IBP1" s="3"/>
      <c r="IBQ1" s="3"/>
      <c r="IBR1" s="3"/>
      <c r="IBS1" s="3"/>
      <c r="IBT1" s="3"/>
      <c r="IBU1" s="3"/>
      <c r="IBV1" s="3"/>
      <c r="IBW1" s="3"/>
      <c r="IBX1" s="3"/>
      <c r="IBY1" s="3"/>
      <c r="IBZ1" s="3"/>
      <c r="ICA1" s="3"/>
      <c r="ICB1" s="3"/>
      <c r="ICC1" s="3"/>
      <c r="ICD1" s="3"/>
      <c r="ICE1" s="3"/>
      <c r="ICF1" s="3"/>
      <c r="ICG1" s="3"/>
      <c r="ICH1" s="3"/>
      <c r="ICI1" s="3"/>
      <c r="ICJ1" s="3"/>
      <c r="ICK1" s="3"/>
      <c r="ICL1" s="3"/>
      <c r="ICM1" s="3"/>
      <c r="ICN1" s="3"/>
      <c r="ICO1" s="3"/>
      <c r="ICP1" s="3"/>
      <c r="ICQ1" s="3"/>
      <c r="ICR1" s="3"/>
      <c r="ICS1" s="3"/>
      <c r="ICT1" s="3"/>
      <c r="ICU1" s="3"/>
      <c r="ICV1" s="3"/>
      <c r="ICW1" s="3"/>
      <c r="ICX1" s="3"/>
      <c r="ICY1" s="3"/>
      <c r="ICZ1" s="3"/>
      <c r="IDA1" s="3"/>
      <c r="IDB1" s="3"/>
      <c r="IDC1" s="3"/>
      <c r="IDD1" s="3"/>
      <c r="IDE1" s="3"/>
      <c r="IDF1" s="3"/>
      <c r="IDG1" s="3"/>
      <c r="IDH1" s="3"/>
      <c r="IDI1" s="3"/>
      <c r="IDJ1" s="3"/>
      <c r="IDK1" s="3"/>
      <c r="IDL1" s="3"/>
      <c r="IDM1" s="3"/>
      <c r="IDN1" s="3"/>
      <c r="IDO1" s="3"/>
      <c r="IDP1" s="3"/>
      <c r="IDQ1" s="3"/>
      <c r="IDR1" s="3"/>
      <c r="IDS1" s="3"/>
      <c r="IDT1" s="3"/>
      <c r="IDU1" s="3"/>
      <c r="IDV1" s="3"/>
      <c r="IDW1" s="3"/>
      <c r="IDX1" s="3"/>
      <c r="IDY1" s="3"/>
      <c r="IDZ1" s="3"/>
      <c r="IEA1" s="3"/>
      <c r="IEB1" s="3"/>
      <c r="IEC1" s="3"/>
      <c r="IED1" s="3"/>
      <c r="IEE1" s="3"/>
      <c r="IEF1" s="3"/>
      <c r="IEG1" s="3"/>
      <c r="IEH1" s="3"/>
      <c r="IEI1" s="3"/>
      <c r="IEJ1" s="3"/>
      <c r="IEK1" s="3"/>
      <c r="IEL1" s="3"/>
      <c r="IEM1" s="3"/>
      <c r="IEN1" s="3"/>
      <c r="IEO1" s="3"/>
      <c r="IEP1" s="3"/>
      <c r="IEQ1" s="3"/>
      <c r="IER1" s="3"/>
      <c r="IES1" s="3"/>
      <c r="IET1" s="3"/>
      <c r="IEU1" s="3"/>
      <c r="IEV1" s="3"/>
      <c r="IEW1" s="3"/>
      <c r="IEX1" s="3"/>
      <c r="IEY1" s="3"/>
      <c r="IEZ1" s="3"/>
      <c r="IFA1" s="3"/>
      <c r="IFB1" s="3"/>
      <c r="IFC1" s="3"/>
      <c r="IFD1" s="3"/>
      <c r="IFE1" s="3"/>
      <c r="IFF1" s="3"/>
      <c r="IFG1" s="3"/>
      <c r="IFH1" s="3"/>
      <c r="IFI1" s="3"/>
      <c r="IFJ1" s="3"/>
      <c r="IFK1" s="3"/>
      <c r="IFL1" s="3"/>
      <c r="IFM1" s="3"/>
      <c r="IFN1" s="3"/>
      <c r="IFO1" s="3"/>
      <c r="IFP1" s="3"/>
      <c r="IFQ1" s="3"/>
      <c r="IFR1" s="3"/>
      <c r="IFS1" s="3"/>
      <c r="IFT1" s="3"/>
      <c r="IFU1" s="3"/>
      <c r="IFV1" s="3"/>
      <c r="IFW1" s="3"/>
      <c r="IFX1" s="3"/>
      <c r="IFY1" s="3"/>
      <c r="IFZ1" s="3"/>
      <c r="IGA1" s="3"/>
      <c r="IGB1" s="3"/>
      <c r="IGC1" s="3"/>
      <c r="IGD1" s="3"/>
      <c r="IGE1" s="3"/>
      <c r="IGF1" s="3"/>
      <c r="IGG1" s="3"/>
      <c r="IGH1" s="3"/>
      <c r="IGI1" s="3"/>
      <c r="IGJ1" s="3"/>
      <c r="IGK1" s="3"/>
      <c r="IGL1" s="3"/>
      <c r="IGM1" s="3"/>
      <c r="IGN1" s="3"/>
      <c r="IGO1" s="3"/>
      <c r="IGP1" s="3"/>
      <c r="IGQ1" s="3"/>
      <c r="IGR1" s="3"/>
      <c r="IGS1" s="3"/>
      <c r="IGT1" s="3"/>
      <c r="IGU1" s="3"/>
      <c r="IGV1" s="3"/>
      <c r="IGW1" s="3"/>
      <c r="IGX1" s="3"/>
      <c r="IGY1" s="3"/>
      <c r="IGZ1" s="3"/>
      <c r="IHA1" s="3"/>
      <c r="IHB1" s="3"/>
      <c r="IHC1" s="3"/>
      <c r="IHD1" s="3"/>
      <c r="IHE1" s="3"/>
      <c r="IHF1" s="3"/>
      <c r="IHG1" s="3"/>
      <c r="IHH1" s="3"/>
      <c r="IHI1" s="3"/>
      <c r="IHJ1" s="3"/>
      <c r="IHK1" s="3"/>
      <c r="IHL1" s="3"/>
      <c r="IHM1" s="3"/>
      <c r="IHN1" s="3"/>
      <c r="IHO1" s="3"/>
      <c r="IHP1" s="3"/>
      <c r="IHQ1" s="3"/>
      <c r="IHR1" s="3"/>
      <c r="IHS1" s="3"/>
      <c r="IHT1" s="3"/>
      <c r="IHU1" s="3"/>
      <c r="IHV1" s="3"/>
      <c r="IHW1" s="3"/>
      <c r="IHX1" s="3"/>
      <c r="IHY1" s="3"/>
      <c r="IHZ1" s="3"/>
      <c r="IIA1" s="3"/>
      <c r="IIB1" s="3"/>
      <c r="IIC1" s="3"/>
      <c r="IID1" s="3"/>
      <c r="IIE1" s="3"/>
      <c r="IIF1" s="3"/>
      <c r="IIG1" s="3"/>
      <c r="IIH1" s="3"/>
      <c r="III1" s="3"/>
      <c r="IIJ1" s="3"/>
      <c r="IIK1" s="3"/>
      <c r="IIL1" s="3"/>
      <c r="IIM1" s="3"/>
      <c r="IIN1" s="3"/>
      <c r="IIO1" s="3"/>
      <c r="IIP1" s="3"/>
      <c r="IIQ1" s="3"/>
      <c r="IIR1" s="3"/>
      <c r="IIS1" s="3"/>
      <c r="IIT1" s="3"/>
      <c r="IIU1" s="3"/>
      <c r="IIV1" s="3"/>
      <c r="IIW1" s="3"/>
      <c r="IIX1" s="3"/>
      <c r="IIY1" s="3"/>
      <c r="IIZ1" s="3"/>
      <c r="IJA1" s="3"/>
      <c r="IJB1" s="3"/>
      <c r="IJC1" s="3"/>
      <c r="IJD1" s="3"/>
      <c r="IJE1" s="3"/>
      <c r="IJF1" s="3"/>
      <c r="IJG1" s="3"/>
      <c r="IJH1" s="3"/>
      <c r="IJI1" s="3"/>
      <c r="IJJ1" s="3"/>
      <c r="IJK1" s="3"/>
      <c r="IJL1" s="3"/>
      <c r="IJM1" s="3"/>
      <c r="IJN1" s="3"/>
      <c r="IJO1" s="3"/>
      <c r="IJP1" s="3"/>
      <c r="IJQ1" s="3"/>
      <c r="IJR1" s="3"/>
      <c r="IJS1" s="3"/>
      <c r="IJT1" s="3"/>
      <c r="IJU1" s="3"/>
      <c r="IJV1" s="3"/>
      <c r="IJW1" s="3"/>
      <c r="IJX1" s="3"/>
      <c r="IJY1" s="3"/>
      <c r="IJZ1" s="3"/>
      <c r="IKA1" s="3"/>
      <c r="IKB1" s="3"/>
      <c r="IKC1" s="3"/>
      <c r="IKD1" s="3"/>
      <c r="IKE1" s="3"/>
      <c r="IKF1" s="3"/>
      <c r="IKG1" s="3"/>
      <c r="IKH1" s="3"/>
      <c r="IKI1" s="3"/>
      <c r="IKJ1" s="3"/>
      <c r="IKK1" s="3"/>
      <c r="IKL1" s="3"/>
      <c r="IKM1" s="3"/>
      <c r="IKN1" s="3"/>
      <c r="IKO1" s="3"/>
      <c r="IKP1" s="3"/>
      <c r="IKQ1" s="3"/>
      <c r="IKR1" s="3"/>
      <c r="IKS1" s="3"/>
      <c r="IKT1" s="3"/>
      <c r="IKU1" s="3"/>
      <c r="IKV1" s="3"/>
      <c r="IKW1" s="3"/>
      <c r="IKX1" s="3"/>
      <c r="IKY1" s="3"/>
      <c r="IKZ1" s="3"/>
      <c r="ILA1" s="3"/>
      <c r="ILB1" s="3"/>
      <c r="ILC1" s="3"/>
      <c r="ILD1" s="3"/>
      <c r="ILE1" s="3"/>
      <c r="ILF1" s="3"/>
      <c r="ILG1" s="3"/>
      <c r="ILH1" s="3"/>
      <c r="ILI1" s="3"/>
      <c r="ILJ1" s="3"/>
      <c r="ILK1" s="3"/>
      <c r="ILL1" s="3"/>
      <c r="ILM1" s="3"/>
      <c r="ILN1" s="3"/>
      <c r="ILO1" s="3"/>
      <c r="ILP1" s="3"/>
      <c r="ILQ1" s="3"/>
      <c r="ILR1" s="3"/>
      <c r="ILS1" s="3"/>
      <c r="ILT1" s="3"/>
      <c r="ILU1" s="3"/>
      <c r="ILV1" s="3"/>
      <c r="ILW1" s="3"/>
      <c r="ILX1" s="3"/>
      <c r="ILY1" s="3"/>
      <c r="ILZ1" s="3"/>
      <c r="IMA1" s="3"/>
      <c r="IMB1" s="3"/>
      <c r="IMC1" s="3"/>
      <c r="IMD1" s="3"/>
      <c r="IME1" s="3"/>
      <c r="IMF1" s="3"/>
      <c r="IMG1" s="3"/>
      <c r="IMH1" s="3"/>
      <c r="IMI1" s="3"/>
      <c r="IMJ1" s="3"/>
      <c r="IMK1" s="3"/>
      <c r="IML1" s="3"/>
      <c r="IMM1" s="3"/>
      <c r="IMN1" s="3"/>
      <c r="IMO1" s="3"/>
      <c r="IMP1" s="3"/>
      <c r="IMQ1" s="3"/>
      <c r="IMR1" s="3"/>
      <c r="IMS1" s="3"/>
      <c r="IMT1" s="3"/>
      <c r="IMU1" s="3"/>
      <c r="IMV1" s="3"/>
      <c r="IMW1" s="3"/>
      <c r="IMX1" s="3"/>
      <c r="IMY1" s="3"/>
      <c r="IMZ1" s="3"/>
      <c r="INA1" s="3"/>
      <c r="INB1" s="3"/>
      <c r="INC1" s="3"/>
      <c r="IND1" s="3"/>
      <c r="INE1" s="3"/>
      <c r="INF1" s="3"/>
      <c r="ING1" s="3"/>
      <c r="INH1" s="3"/>
      <c r="INI1" s="3"/>
      <c r="INJ1" s="3"/>
      <c r="INK1" s="3"/>
      <c r="INL1" s="3"/>
      <c r="INM1" s="3"/>
      <c r="INN1" s="3"/>
      <c r="INO1" s="3"/>
      <c r="INP1" s="3"/>
      <c r="INQ1" s="3"/>
      <c r="INR1" s="3"/>
      <c r="INS1" s="3"/>
      <c r="INT1" s="3"/>
      <c r="INU1" s="3"/>
      <c r="INV1" s="3"/>
      <c r="INW1" s="3"/>
      <c r="INX1" s="3"/>
      <c r="INY1" s="3"/>
      <c r="INZ1" s="3"/>
      <c r="IOA1" s="3"/>
      <c r="IOB1" s="3"/>
      <c r="IOC1" s="3"/>
      <c r="IOD1" s="3"/>
      <c r="IOE1" s="3"/>
      <c r="IOF1" s="3"/>
      <c r="IOG1" s="3"/>
      <c r="IOH1" s="3"/>
      <c r="IOI1" s="3"/>
      <c r="IOJ1" s="3"/>
      <c r="IOK1" s="3"/>
      <c r="IOL1" s="3"/>
      <c r="IOM1" s="3"/>
      <c r="ION1" s="3"/>
      <c r="IOO1" s="3"/>
      <c r="IOP1" s="3"/>
      <c r="IOQ1" s="3"/>
      <c r="IOR1" s="3"/>
      <c r="IOS1" s="3"/>
      <c r="IOT1" s="3"/>
      <c r="IOU1" s="3"/>
      <c r="IOV1" s="3"/>
      <c r="IOW1" s="3"/>
      <c r="IOX1" s="3"/>
      <c r="IOY1" s="3"/>
      <c r="IOZ1" s="3"/>
      <c r="IPA1" s="3"/>
      <c r="IPB1" s="3"/>
      <c r="IPC1" s="3"/>
      <c r="IPD1" s="3"/>
      <c r="IPE1" s="3"/>
      <c r="IPF1" s="3"/>
      <c r="IPG1" s="3"/>
      <c r="IPH1" s="3"/>
      <c r="IPI1" s="3"/>
      <c r="IPJ1" s="3"/>
      <c r="IPK1" s="3"/>
      <c r="IPL1" s="3"/>
      <c r="IPM1" s="3"/>
      <c r="IPN1" s="3"/>
      <c r="IPO1" s="3"/>
      <c r="IPP1" s="3"/>
      <c r="IPQ1" s="3"/>
      <c r="IPR1" s="3"/>
      <c r="IPS1" s="3"/>
      <c r="IPT1" s="3"/>
      <c r="IPU1" s="3"/>
      <c r="IPV1" s="3"/>
      <c r="IPW1" s="3"/>
      <c r="IPX1" s="3"/>
      <c r="IPY1" s="3"/>
      <c r="IPZ1" s="3"/>
      <c r="IQA1" s="3"/>
      <c r="IQB1" s="3"/>
      <c r="IQC1" s="3"/>
      <c r="IQD1" s="3"/>
      <c r="IQE1" s="3"/>
      <c r="IQF1" s="3"/>
      <c r="IQG1" s="3"/>
      <c r="IQH1" s="3"/>
      <c r="IQI1" s="3"/>
      <c r="IQJ1" s="3"/>
      <c r="IQK1" s="3"/>
      <c r="IQL1" s="3"/>
      <c r="IQM1" s="3"/>
      <c r="IQN1" s="3"/>
      <c r="IQO1" s="3"/>
      <c r="IQP1" s="3"/>
      <c r="IQQ1" s="3"/>
      <c r="IQR1" s="3"/>
      <c r="IQS1" s="3"/>
      <c r="IQT1" s="3"/>
      <c r="IQU1" s="3"/>
      <c r="IQV1" s="3"/>
      <c r="IQW1" s="3"/>
      <c r="IQX1" s="3"/>
      <c r="IQY1" s="3"/>
      <c r="IQZ1" s="3"/>
      <c r="IRA1" s="3"/>
      <c r="IRB1" s="3"/>
      <c r="IRC1" s="3"/>
      <c r="IRD1" s="3"/>
      <c r="IRE1" s="3"/>
      <c r="IRF1" s="3"/>
      <c r="IRG1" s="3"/>
      <c r="IRH1" s="3"/>
      <c r="IRI1" s="3"/>
      <c r="IRJ1" s="3"/>
      <c r="IRK1" s="3"/>
      <c r="IRL1" s="3"/>
      <c r="IRM1" s="3"/>
      <c r="IRN1" s="3"/>
      <c r="IRO1" s="3"/>
      <c r="IRP1" s="3"/>
      <c r="IRQ1" s="3"/>
      <c r="IRR1" s="3"/>
      <c r="IRS1" s="3"/>
      <c r="IRT1" s="3"/>
      <c r="IRU1" s="3"/>
      <c r="IRV1" s="3"/>
      <c r="IRW1" s="3"/>
      <c r="IRX1" s="3"/>
      <c r="IRY1" s="3"/>
      <c r="IRZ1" s="3"/>
      <c r="ISA1" s="3"/>
      <c r="ISB1" s="3"/>
      <c r="ISC1" s="3"/>
      <c r="ISD1" s="3"/>
      <c r="ISE1" s="3"/>
      <c r="ISF1" s="3"/>
      <c r="ISG1" s="3"/>
      <c r="ISH1" s="3"/>
      <c r="ISI1" s="3"/>
      <c r="ISJ1" s="3"/>
      <c r="ISK1" s="3"/>
      <c r="ISL1" s="3"/>
      <c r="ISM1" s="3"/>
      <c r="ISN1" s="3"/>
      <c r="ISO1" s="3"/>
      <c r="ISP1" s="3"/>
      <c r="ISQ1" s="3"/>
      <c r="ISR1" s="3"/>
      <c r="ISS1" s="3"/>
      <c r="IST1" s="3"/>
      <c r="ISU1" s="3"/>
      <c r="ISV1" s="3"/>
      <c r="ISW1" s="3"/>
      <c r="ISX1" s="3"/>
      <c r="ISY1" s="3"/>
      <c r="ISZ1" s="3"/>
      <c r="ITA1" s="3"/>
      <c r="ITB1" s="3"/>
      <c r="ITC1" s="3"/>
      <c r="ITD1" s="3"/>
      <c r="ITE1" s="3"/>
      <c r="ITF1" s="3"/>
      <c r="ITG1" s="3"/>
      <c r="ITH1" s="3"/>
      <c r="ITI1" s="3"/>
      <c r="ITJ1" s="3"/>
      <c r="ITK1" s="3"/>
      <c r="ITL1" s="3"/>
      <c r="ITM1" s="3"/>
      <c r="ITN1" s="3"/>
      <c r="ITO1" s="3"/>
      <c r="ITP1" s="3"/>
      <c r="ITQ1" s="3"/>
      <c r="ITR1" s="3"/>
      <c r="ITS1" s="3"/>
      <c r="ITT1" s="3"/>
      <c r="ITU1" s="3"/>
      <c r="ITV1" s="3"/>
      <c r="ITW1" s="3"/>
      <c r="ITX1" s="3"/>
      <c r="ITY1" s="3"/>
      <c r="ITZ1" s="3"/>
      <c r="IUA1" s="3"/>
      <c r="IUB1" s="3"/>
      <c r="IUC1" s="3"/>
      <c r="IUD1" s="3"/>
      <c r="IUE1" s="3"/>
      <c r="IUF1" s="3"/>
      <c r="IUG1" s="3"/>
      <c r="IUH1" s="3"/>
      <c r="IUI1" s="3"/>
      <c r="IUJ1" s="3"/>
      <c r="IUK1" s="3"/>
      <c r="IUL1" s="3"/>
      <c r="IUM1" s="3"/>
      <c r="IUN1" s="3"/>
      <c r="IUO1" s="3"/>
      <c r="IUP1" s="3"/>
      <c r="IUQ1" s="3"/>
      <c r="IUR1" s="3"/>
      <c r="IUS1" s="3"/>
      <c r="IUT1" s="3"/>
      <c r="IUU1" s="3"/>
      <c r="IUV1" s="3"/>
      <c r="IUW1" s="3"/>
      <c r="IUX1" s="3"/>
      <c r="IUY1" s="3"/>
      <c r="IUZ1" s="3"/>
      <c r="IVA1" s="3"/>
      <c r="IVB1" s="3"/>
      <c r="IVC1" s="3"/>
      <c r="IVD1" s="3"/>
      <c r="IVE1" s="3"/>
      <c r="IVF1" s="3"/>
      <c r="IVG1" s="3"/>
      <c r="IVH1" s="3"/>
      <c r="IVI1" s="3"/>
      <c r="IVJ1" s="3"/>
      <c r="IVK1" s="3"/>
      <c r="IVL1" s="3"/>
      <c r="IVM1" s="3"/>
      <c r="IVN1" s="3"/>
      <c r="IVO1" s="3"/>
      <c r="IVP1" s="3"/>
      <c r="IVQ1" s="3"/>
      <c r="IVR1" s="3"/>
      <c r="IVS1" s="3"/>
      <c r="IVT1" s="3"/>
      <c r="IVU1" s="3"/>
      <c r="IVV1" s="3"/>
      <c r="IVW1" s="3"/>
      <c r="IVX1" s="3"/>
      <c r="IVY1" s="3"/>
      <c r="IVZ1" s="3"/>
      <c r="IWA1" s="3"/>
      <c r="IWB1" s="3"/>
      <c r="IWC1" s="3"/>
      <c r="IWD1" s="3"/>
      <c r="IWE1" s="3"/>
      <c r="IWF1" s="3"/>
      <c r="IWG1" s="3"/>
      <c r="IWH1" s="3"/>
      <c r="IWI1" s="3"/>
      <c r="IWJ1" s="3"/>
      <c r="IWK1" s="3"/>
      <c r="IWL1" s="3"/>
      <c r="IWM1" s="3"/>
      <c r="IWN1" s="3"/>
      <c r="IWO1" s="3"/>
      <c r="IWP1" s="3"/>
      <c r="IWQ1" s="3"/>
      <c r="IWR1" s="3"/>
      <c r="IWS1" s="3"/>
      <c r="IWT1" s="3"/>
      <c r="IWU1" s="3"/>
      <c r="IWV1" s="3"/>
      <c r="IWW1" s="3"/>
      <c r="IWX1" s="3"/>
      <c r="IWY1" s="3"/>
      <c r="IWZ1" s="3"/>
      <c r="IXA1" s="3"/>
      <c r="IXB1" s="3"/>
      <c r="IXC1" s="3"/>
      <c r="IXD1" s="3"/>
      <c r="IXE1" s="3"/>
      <c r="IXF1" s="3"/>
      <c r="IXG1" s="3"/>
      <c r="IXH1" s="3"/>
      <c r="IXI1" s="3"/>
      <c r="IXJ1" s="3"/>
      <c r="IXK1" s="3"/>
      <c r="IXL1" s="3"/>
      <c r="IXM1" s="3"/>
      <c r="IXN1" s="3"/>
      <c r="IXO1" s="3"/>
      <c r="IXP1" s="3"/>
      <c r="IXQ1" s="3"/>
      <c r="IXR1" s="3"/>
      <c r="IXS1" s="3"/>
      <c r="IXT1" s="3"/>
      <c r="IXU1" s="3"/>
      <c r="IXV1" s="3"/>
      <c r="IXW1" s="3"/>
      <c r="IXX1" s="3"/>
      <c r="IXY1" s="3"/>
      <c r="IXZ1" s="3"/>
      <c r="IYA1" s="3"/>
      <c r="IYB1" s="3"/>
      <c r="IYC1" s="3"/>
      <c r="IYD1" s="3"/>
      <c r="IYE1" s="3"/>
      <c r="IYF1" s="3"/>
      <c r="IYG1" s="3"/>
      <c r="IYH1" s="3"/>
      <c r="IYI1" s="3"/>
      <c r="IYJ1" s="3"/>
      <c r="IYK1" s="3"/>
      <c r="IYL1" s="3"/>
      <c r="IYM1" s="3"/>
      <c r="IYN1" s="3"/>
      <c r="IYO1" s="3"/>
      <c r="IYP1" s="3"/>
      <c r="IYQ1" s="3"/>
      <c r="IYR1" s="3"/>
      <c r="IYS1" s="3"/>
      <c r="IYT1" s="3"/>
      <c r="IYU1" s="3"/>
      <c r="IYV1" s="3"/>
      <c r="IYW1" s="3"/>
      <c r="IYX1" s="3"/>
      <c r="IYY1" s="3"/>
      <c r="IYZ1" s="3"/>
      <c r="IZA1" s="3"/>
      <c r="IZB1" s="3"/>
      <c r="IZC1" s="3"/>
      <c r="IZD1" s="3"/>
      <c r="IZE1" s="3"/>
      <c r="IZF1" s="3"/>
      <c r="IZG1" s="3"/>
      <c r="IZH1" s="3"/>
      <c r="IZI1" s="3"/>
      <c r="IZJ1" s="3"/>
      <c r="IZK1" s="3"/>
      <c r="IZL1" s="3"/>
      <c r="IZM1" s="3"/>
      <c r="IZN1" s="3"/>
      <c r="IZO1" s="3"/>
      <c r="IZP1" s="3"/>
      <c r="IZQ1" s="3"/>
      <c r="IZR1" s="3"/>
      <c r="IZS1" s="3"/>
      <c r="IZT1" s="3"/>
      <c r="IZU1" s="3"/>
      <c r="IZV1" s="3"/>
      <c r="IZW1" s="3"/>
      <c r="IZX1" s="3"/>
      <c r="IZY1" s="3"/>
      <c r="IZZ1" s="3"/>
      <c r="JAA1" s="3"/>
      <c r="JAB1" s="3"/>
      <c r="JAC1" s="3"/>
      <c r="JAD1" s="3"/>
      <c r="JAE1" s="3"/>
      <c r="JAF1" s="3"/>
      <c r="JAG1" s="3"/>
      <c r="JAH1" s="3"/>
      <c r="JAI1" s="3"/>
      <c r="JAJ1" s="3"/>
      <c r="JAK1" s="3"/>
      <c r="JAL1" s="3"/>
      <c r="JAM1" s="3"/>
      <c r="JAN1" s="3"/>
      <c r="JAO1" s="3"/>
      <c r="JAP1" s="3"/>
      <c r="JAQ1" s="3"/>
      <c r="JAR1" s="3"/>
      <c r="JAS1" s="3"/>
      <c r="JAT1" s="3"/>
      <c r="JAU1" s="3"/>
      <c r="JAV1" s="3"/>
      <c r="JAW1" s="3"/>
      <c r="JAX1" s="3"/>
      <c r="JAY1" s="3"/>
      <c r="JAZ1" s="3"/>
      <c r="JBA1" s="3"/>
      <c r="JBB1" s="3"/>
      <c r="JBC1" s="3"/>
      <c r="JBD1" s="3"/>
      <c r="JBE1" s="3"/>
      <c r="JBF1" s="3"/>
      <c r="JBG1" s="3"/>
      <c r="JBH1" s="3"/>
      <c r="JBI1" s="3"/>
      <c r="JBJ1" s="3"/>
      <c r="JBK1" s="3"/>
      <c r="JBL1" s="3"/>
      <c r="JBM1" s="3"/>
      <c r="JBN1" s="3"/>
      <c r="JBO1" s="3"/>
      <c r="JBP1" s="3"/>
      <c r="JBQ1" s="3"/>
      <c r="JBR1" s="3"/>
      <c r="JBS1" s="3"/>
      <c r="JBT1" s="3"/>
      <c r="JBU1" s="3"/>
      <c r="JBV1" s="3"/>
      <c r="JBW1" s="3"/>
      <c r="JBX1" s="3"/>
      <c r="JBY1" s="3"/>
      <c r="JBZ1" s="3"/>
      <c r="JCA1" s="3"/>
      <c r="JCB1" s="3"/>
      <c r="JCC1" s="3"/>
      <c r="JCD1" s="3"/>
      <c r="JCE1" s="3"/>
      <c r="JCF1" s="3"/>
      <c r="JCG1" s="3"/>
      <c r="JCH1" s="3"/>
      <c r="JCI1" s="3"/>
      <c r="JCJ1" s="3"/>
      <c r="JCK1" s="3"/>
      <c r="JCL1" s="3"/>
      <c r="JCM1" s="3"/>
      <c r="JCN1" s="3"/>
      <c r="JCO1" s="3"/>
      <c r="JCP1" s="3"/>
      <c r="JCQ1" s="3"/>
      <c r="JCR1" s="3"/>
      <c r="JCS1" s="3"/>
      <c r="JCT1" s="3"/>
      <c r="JCU1" s="3"/>
      <c r="JCV1" s="3"/>
      <c r="JCW1" s="3"/>
      <c r="JCX1" s="3"/>
      <c r="JCY1" s="3"/>
      <c r="JCZ1" s="3"/>
      <c r="JDA1" s="3"/>
      <c r="JDB1" s="3"/>
      <c r="JDC1" s="3"/>
      <c r="JDD1" s="3"/>
      <c r="JDE1" s="3"/>
      <c r="JDF1" s="3"/>
      <c r="JDG1" s="3"/>
      <c r="JDH1" s="3"/>
      <c r="JDI1" s="3"/>
      <c r="JDJ1" s="3"/>
      <c r="JDK1" s="3"/>
      <c r="JDL1" s="3"/>
      <c r="JDM1" s="3"/>
      <c r="JDN1" s="3"/>
      <c r="JDO1" s="3"/>
      <c r="JDP1" s="3"/>
      <c r="JDQ1" s="3"/>
      <c r="JDR1" s="3"/>
      <c r="JDS1" s="3"/>
      <c r="JDT1" s="3"/>
      <c r="JDU1" s="3"/>
      <c r="JDV1" s="3"/>
      <c r="JDW1" s="3"/>
      <c r="JDX1" s="3"/>
      <c r="JDY1" s="3"/>
      <c r="JDZ1" s="3"/>
      <c r="JEA1" s="3"/>
      <c r="JEB1" s="3"/>
      <c r="JEC1" s="3"/>
      <c r="JED1" s="3"/>
      <c r="JEE1" s="3"/>
      <c r="JEF1" s="3"/>
      <c r="JEG1" s="3"/>
      <c r="JEH1" s="3"/>
      <c r="JEI1" s="3"/>
      <c r="JEJ1" s="3"/>
      <c r="JEK1" s="3"/>
      <c r="JEL1" s="3"/>
      <c r="JEM1" s="3"/>
      <c r="JEN1" s="3"/>
      <c r="JEO1" s="3"/>
      <c r="JEP1" s="3"/>
      <c r="JEQ1" s="3"/>
      <c r="JER1" s="3"/>
      <c r="JES1" s="3"/>
      <c r="JET1" s="3"/>
      <c r="JEU1" s="3"/>
      <c r="JEV1" s="3"/>
      <c r="JEW1" s="3"/>
      <c r="JEX1" s="3"/>
      <c r="JEY1" s="3"/>
      <c r="JEZ1" s="3"/>
      <c r="JFA1" s="3"/>
      <c r="JFB1" s="3"/>
      <c r="JFC1" s="3"/>
      <c r="JFD1" s="3"/>
      <c r="JFE1" s="3"/>
      <c r="JFF1" s="3"/>
      <c r="JFG1" s="3"/>
      <c r="JFH1" s="3"/>
      <c r="JFI1" s="3"/>
      <c r="JFJ1" s="3"/>
      <c r="JFK1" s="3"/>
      <c r="JFL1" s="3"/>
      <c r="JFM1" s="3"/>
      <c r="JFN1" s="3"/>
      <c r="JFO1" s="3"/>
      <c r="JFP1" s="3"/>
      <c r="JFQ1" s="3"/>
      <c r="JFR1" s="3"/>
      <c r="JFS1" s="3"/>
      <c r="JFT1" s="3"/>
      <c r="JFU1" s="3"/>
      <c r="JFV1" s="3"/>
      <c r="JFW1" s="3"/>
      <c r="JFX1" s="3"/>
      <c r="JFY1" s="3"/>
      <c r="JFZ1" s="3"/>
      <c r="JGA1" s="3"/>
      <c r="JGB1" s="3"/>
      <c r="JGC1" s="3"/>
      <c r="JGD1" s="3"/>
      <c r="JGE1" s="3"/>
      <c r="JGF1" s="3"/>
      <c r="JGG1" s="3"/>
      <c r="JGH1" s="3"/>
      <c r="JGI1" s="3"/>
      <c r="JGJ1" s="3"/>
      <c r="JGK1" s="3"/>
      <c r="JGL1" s="3"/>
      <c r="JGM1" s="3"/>
      <c r="JGN1" s="3"/>
      <c r="JGO1" s="3"/>
      <c r="JGP1" s="3"/>
      <c r="JGQ1" s="3"/>
      <c r="JGR1" s="3"/>
      <c r="JGS1" s="3"/>
      <c r="JGT1" s="3"/>
      <c r="JGU1" s="3"/>
      <c r="JGV1" s="3"/>
      <c r="JGW1" s="3"/>
      <c r="JGX1" s="3"/>
      <c r="JGY1" s="3"/>
      <c r="JGZ1" s="3"/>
      <c r="JHA1" s="3"/>
      <c r="JHB1" s="3"/>
      <c r="JHC1" s="3"/>
      <c r="JHD1" s="3"/>
      <c r="JHE1" s="3"/>
      <c r="JHF1" s="3"/>
      <c r="JHG1" s="3"/>
      <c r="JHH1" s="3"/>
      <c r="JHI1" s="3"/>
      <c r="JHJ1" s="3"/>
      <c r="JHK1" s="3"/>
      <c r="JHL1" s="3"/>
      <c r="JHM1" s="3"/>
      <c r="JHN1" s="3"/>
      <c r="JHO1" s="3"/>
      <c r="JHP1" s="3"/>
      <c r="JHQ1" s="3"/>
      <c r="JHR1" s="3"/>
      <c r="JHS1" s="3"/>
      <c r="JHT1" s="3"/>
      <c r="JHU1" s="3"/>
      <c r="JHV1" s="3"/>
      <c r="JHW1" s="3"/>
      <c r="JHX1" s="3"/>
      <c r="JHY1" s="3"/>
      <c r="JHZ1" s="3"/>
      <c r="JIA1" s="3"/>
      <c r="JIB1" s="3"/>
      <c r="JIC1" s="3"/>
      <c r="JID1" s="3"/>
      <c r="JIE1" s="3"/>
      <c r="JIF1" s="3"/>
      <c r="JIG1" s="3"/>
      <c r="JIH1" s="3"/>
      <c r="JII1" s="3"/>
      <c r="JIJ1" s="3"/>
      <c r="JIK1" s="3"/>
      <c r="JIL1" s="3"/>
      <c r="JIM1" s="3"/>
      <c r="JIN1" s="3"/>
      <c r="JIO1" s="3"/>
      <c r="JIP1" s="3"/>
      <c r="JIQ1" s="3"/>
      <c r="JIR1" s="3"/>
      <c r="JIS1" s="3"/>
      <c r="JIT1" s="3"/>
      <c r="JIU1" s="3"/>
      <c r="JIV1" s="3"/>
      <c r="JIW1" s="3"/>
      <c r="JIX1" s="3"/>
      <c r="JIY1" s="3"/>
      <c r="JIZ1" s="3"/>
      <c r="JJA1" s="3"/>
      <c r="JJB1" s="3"/>
      <c r="JJC1" s="3"/>
      <c r="JJD1" s="3"/>
      <c r="JJE1" s="3"/>
      <c r="JJF1" s="3"/>
      <c r="JJG1" s="3"/>
      <c r="JJH1" s="3"/>
      <c r="JJI1" s="3"/>
      <c r="JJJ1" s="3"/>
      <c r="JJK1" s="3"/>
      <c r="JJL1" s="3"/>
      <c r="JJM1" s="3"/>
      <c r="JJN1" s="3"/>
      <c r="JJO1" s="3"/>
      <c r="JJP1" s="3"/>
      <c r="JJQ1" s="3"/>
      <c r="JJR1" s="3"/>
      <c r="JJS1" s="3"/>
      <c r="JJT1" s="3"/>
      <c r="JJU1" s="3"/>
      <c r="JJV1" s="3"/>
      <c r="JJW1" s="3"/>
      <c r="JJX1" s="3"/>
      <c r="JJY1" s="3"/>
      <c r="JJZ1" s="3"/>
      <c r="JKA1" s="3"/>
      <c r="JKB1" s="3"/>
      <c r="JKC1" s="3"/>
      <c r="JKD1" s="3"/>
      <c r="JKE1" s="3"/>
      <c r="JKF1" s="3"/>
      <c r="JKG1" s="3"/>
      <c r="JKH1" s="3"/>
      <c r="JKI1" s="3"/>
      <c r="JKJ1" s="3"/>
      <c r="JKK1" s="3"/>
      <c r="JKL1" s="3"/>
      <c r="JKM1" s="3"/>
      <c r="JKN1" s="3"/>
      <c r="JKO1" s="3"/>
      <c r="JKP1" s="3"/>
      <c r="JKQ1" s="3"/>
      <c r="JKR1" s="3"/>
      <c r="JKS1" s="3"/>
      <c r="JKT1" s="3"/>
      <c r="JKU1" s="3"/>
      <c r="JKV1" s="3"/>
      <c r="JKW1" s="3"/>
      <c r="JKX1" s="3"/>
      <c r="JKY1" s="3"/>
      <c r="JKZ1" s="3"/>
      <c r="JLA1" s="3"/>
      <c r="JLB1" s="3"/>
      <c r="JLC1" s="3"/>
      <c r="JLD1" s="3"/>
      <c r="JLE1" s="3"/>
      <c r="JLF1" s="3"/>
      <c r="JLG1" s="3"/>
      <c r="JLH1" s="3"/>
      <c r="JLI1" s="3"/>
      <c r="JLJ1" s="3"/>
      <c r="JLK1" s="3"/>
      <c r="JLL1" s="3"/>
      <c r="JLM1" s="3"/>
      <c r="JLN1" s="3"/>
      <c r="JLO1" s="3"/>
      <c r="JLP1" s="3"/>
      <c r="JLQ1" s="3"/>
      <c r="JLR1" s="3"/>
      <c r="JLS1" s="3"/>
      <c r="JLT1" s="3"/>
      <c r="JLU1" s="3"/>
      <c r="JLV1" s="3"/>
      <c r="JLW1" s="3"/>
      <c r="JLX1" s="3"/>
      <c r="JLY1" s="3"/>
      <c r="JLZ1" s="3"/>
      <c r="JMA1" s="3"/>
      <c r="JMB1" s="3"/>
      <c r="JMC1" s="3"/>
      <c r="JMD1" s="3"/>
      <c r="JME1" s="3"/>
      <c r="JMF1" s="3"/>
      <c r="JMG1" s="3"/>
      <c r="JMH1" s="3"/>
      <c r="JMI1" s="3"/>
      <c r="JMJ1" s="3"/>
      <c r="JMK1" s="3"/>
      <c r="JML1" s="3"/>
      <c r="JMM1" s="3"/>
      <c r="JMN1" s="3"/>
      <c r="JMO1" s="3"/>
      <c r="JMP1" s="3"/>
      <c r="JMQ1" s="3"/>
      <c r="JMR1" s="3"/>
      <c r="JMS1" s="3"/>
      <c r="JMT1" s="3"/>
      <c r="JMU1" s="3"/>
      <c r="JMV1" s="3"/>
      <c r="JMW1" s="3"/>
      <c r="JMX1" s="3"/>
      <c r="JMY1" s="3"/>
      <c r="JMZ1" s="3"/>
      <c r="JNA1" s="3"/>
      <c r="JNB1" s="3"/>
      <c r="JNC1" s="3"/>
      <c r="JND1" s="3"/>
      <c r="JNE1" s="3"/>
      <c r="JNF1" s="3"/>
      <c r="JNG1" s="3"/>
      <c r="JNH1" s="3"/>
      <c r="JNI1" s="3"/>
      <c r="JNJ1" s="3"/>
      <c r="JNK1" s="3"/>
      <c r="JNL1" s="3"/>
      <c r="JNM1" s="3"/>
      <c r="JNN1" s="3"/>
      <c r="JNO1" s="3"/>
      <c r="JNP1" s="3"/>
      <c r="JNQ1" s="3"/>
      <c r="JNR1" s="3"/>
      <c r="JNS1" s="3"/>
      <c r="JNT1" s="3"/>
      <c r="JNU1" s="3"/>
      <c r="JNV1" s="3"/>
      <c r="JNW1" s="3"/>
      <c r="JNX1" s="3"/>
      <c r="JNY1" s="3"/>
      <c r="JNZ1" s="3"/>
      <c r="JOA1" s="3"/>
      <c r="JOB1" s="3"/>
      <c r="JOC1" s="3"/>
      <c r="JOD1" s="3"/>
      <c r="JOE1" s="3"/>
      <c r="JOF1" s="3"/>
      <c r="JOG1" s="3"/>
      <c r="JOH1" s="3"/>
      <c r="JOI1" s="3"/>
      <c r="JOJ1" s="3"/>
      <c r="JOK1" s="3"/>
      <c r="JOL1" s="3"/>
      <c r="JOM1" s="3"/>
      <c r="JON1" s="3"/>
      <c r="JOO1" s="3"/>
      <c r="JOP1" s="3"/>
      <c r="JOQ1" s="3"/>
      <c r="JOR1" s="3"/>
      <c r="JOS1" s="3"/>
      <c r="JOT1" s="3"/>
      <c r="JOU1" s="3"/>
      <c r="JOV1" s="3"/>
      <c r="JOW1" s="3"/>
      <c r="JOX1" s="3"/>
      <c r="JOY1" s="3"/>
      <c r="JOZ1" s="3"/>
      <c r="JPA1" s="3"/>
      <c r="JPB1" s="3"/>
      <c r="JPC1" s="3"/>
      <c r="JPD1" s="3"/>
      <c r="JPE1" s="3"/>
      <c r="JPF1" s="3"/>
      <c r="JPG1" s="3"/>
      <c r="JPH1" s="3"/>
      <c r="JPI1" s="3"/>
      <c r="JPJ1" s="3"/>
      <c r="JPK1" s="3"/>
      <c r="JPL1" s="3"/>
      <c r="JPM1" s="3"/>
      <c r="JPN1" s="3"/>
      <c r="JPO1" s="3"/>
      <c r="JPP1" s="3"/>
      <c r="JPQ1" s="3"/>
      <c r="JPR1" s="3"/>
      <c r="JPS1" s="3"/>
      <c r="JPT1" s="3"/>
      <c r="JPU1" s="3"/>
      <c r="JPV1" s="3"/>
      <c r="JPW1" s="3"/>
      <c r="JPX1" s="3"/>
      <c r="JPY1" s="3"/>
      <c r="JPZ1" s="3"/>
      <c r="JQA1" s="3"/>
      <c r="JQB1" s="3"/>
      <c r="JQC1" s="3"/>
      <c r="JQD1" s="3"/>
      <c r="JQE1" s="3"/>
      <c r="JQF1" s="3"/>
      <c r="JQG1" s="3"/>
      <c r="JQH1" s="3"/>
      <c r="JQI1" s="3"/>
      <c r="JQJ1" s="3"/>
      <c r="JQK1" s="3"/>
      <c r="JQL1" s="3"/>
      <c r="JQM1" s="3"/>
      <c r="JQN1" s="3"/>
      <c r="JQO1" s="3"/>
      <c r="JQP1" s="3"/>
      <c r="JQQ1" s="3"/>
      <c r="JQR1" s="3"/>
      <c r="JQS1" s="3"/>
      <c r="JQT1" s="3"/>
      <c r="JQU1" s="3"/>
      <c r="JQV1" s="3"/>
      <c r="JQW1" s="3"/>
      <c r="JQX1" s="3"/>
      <c r="JQY1" s="3"/>
      <c r="JQZ1" s="3"/>
      <c r="JRA1" s="3"/>
      <c r="JRB1" s="3"/>
      <c r="JRC1" s="3"/>
      <c r="JRD1" s="3"/>
      <c r="JRE1" s="3"/>
      <c r="JRF1" s="3"/>
      <c r="JRG1" s="3"/>
      <c r="JRH1" s="3"/>
      <c r="JRI1" s="3"/>
      <c r="JRJ1" s="3"/>
      <c r="JRK1" s="3"/>
      <c r="JRL1" s="3"/>
      <c r="JRM1" s="3"/>
      <c r="JRN1" s="3"/>
      <c r="JRO1" s="3"/>
      <c r="JRP1" s="3"/>
      <c r="JRQ1" s="3"/>
      <c r="JRR1" s="3"/>
      <c r="JRS1" s="3"/>
      <c r="JRT1" s="3"/>
      <c r="JRU1" s="3"/>
      <c r="JRV1" s="3"/>
      <c r="JRW1" s="3"/>
      <c r="JRX1" s="3"/>
      <c r="JRY1" s="3"/>
      <c r="JRZ1" s="3"/>
      <c r="JSA1" s="3"/>
      <c r="JSB1" s="3"/>
      <c r="JSC1" s="3"/>
      <c r="JSD1" s="3"/>
      <c r="JSE1" s="3"/>
      <c r="JSF1" s="3"/>
      <c r="JSG1" s="3"/>
      <c r="JSH1" s="3"/>
      <c r="JSI1" s="3"/>
      <c r="JSJ1" s="3"/>
      <c r="JSK1" s="3"/>
      <c r="JSL1" s="3"/>
      <c r="JSM1" s="3"/>
      <c r="JSN1" s="3"/>
      <c r="JSO1" s="3"/>
      <c r="JSP1" s="3"/>
      <c r="JSQ1" s="3"/>
      <c r="JSR1" s="3"/>
      <c r="JSS1" s="3"/>
      <c r="JST1" s="3"/>
      <c r="JSU1" s="3"/>
      <c r="JSV1" s="3"/>
      <c r="JSW1" s="3"/>
      <c r="JSX1" s="3"/>
      <c r="JSY1" s="3"/>
      <c r="JSZ1" s="3"/>
      <c r="JTA1" s="3"/>
      <c r="JTB1" s="3"/>
      <c r="JTC1" s="3"/>
      <c r="JTD1" s="3"/>
      <c r="JTE1" s="3"/>
      <c r="JTF1" s="3"/>
      <c r="JTG1" s="3"/>
      <c r="JTH1" s="3"/>
      <c r="JTI1" s="3"/>
      <c r="JTJ1" s="3"/>
      <c r="JTK1" s="3"/>
      <c r="JTL1" s="3"/>
      <c r="JTM1" s="3"/>
      <c r="JTN1" s="3"/>
      <c r="JTO1" s="3"/>
      <c r="JTP1" s="3"/>
      <c r="JTQ1" s="3"/>
      <c r="JTR1" s="3"/>
      <c r="JTS1" s="3"/>
      <c r="JTT1" s="3"/>
      <c r="JTU1" s="3"/>
      <c r="JTV1" s="3"/>
      <c r="JTW1" s="3"/>
      <c r="JTX1" s="3"/>
      <c r="JTY1" s="3"/>
      <c r="JTZ1" s="3"/>
      <c r="JUA1" s="3"/>
      <c r="JUB1" s="3"/>
      <c r="JUC1" s="3"/>
      <c r="JUD1" s="3"/>
      <c r="JUE1" s="3"/>
      <c r="JUF1" s="3"/>
      <c r="JUG1" s="3"/>
      <c r="JUH1" s="3"/>
      <c r="JUI1" s="3"/>
      <c r="JUJ1" s="3"/>
      <c r="JUK1" s="3"/>
      <c r="JUL1" s="3"/>
      <c r="JUM1" s="3"/>
      <c r="JUN1" s="3"/>
      <c r="JUO1" s="3"/>
      <c r="JUP1" s="3"/>
      <c r="JUQ1" s="3"/>
      <c r="JUR1" s="3"/>
      <c r="JUS1" s="3"/>
      <c r="JUT1" s="3"/>
      <c r="JUU1" s="3"/>
      <c r="JUV1" s="3"/>
      <c r="JUW1" s="3"/>
      <c r="JUX1" s="3"/>
      <c r="JUY1" s="3"/>
      <c r="JUZ1" s="3"/>
      <c r="JVA1" s="3"/>
      <c r="JVB1" s="3"/>
      <c r="JVC1" s="3"/>
      <c r="JVD1" s="3"/>
      <c r="JVE1" s="3"/>
      <c r="JVF1" s="3"/>
      <c r="JVG1" s="3"/>
      <c r="JVH1" s="3"/>
      <c r="JVI1" s="3"/>
      <c r="JVJ1" s="3"/>
      <c r="JVK1" s="3"/>
      <c r="JVL1" s="3"/>
      <c r="JVM1" s="3"/>
      <c r="JVN1" s="3"/>
      <c r="JVO1" s="3"/>
      <c r="JVP1" s="3"/>
      <c r="JVQ1" s="3"/>
      <c r="JVR1" s="3"/>
      <c r="JVS1" s="3"/>
      <c r="JVT1" s="3"/>
      <c r="JVU1" s="3"/>
      <c r="JVV1" s="3"/>
      <c r="JVW1" s="3"/>
      <c r="JVX1" s="3"/>
      <c r="JVY1" s="3"/>
      <c r="JVZ1" s="3"/>
      <c r="JWA1" s="3"/>
      <c r="JWB1" s="3"/>
      <c r="JWC1" s="3"/>
      <c r="JWD1" s="3"/>
      <c r="JWE1" s="3"/>
      <c r="JWF1" s="3"/>
      <c r="JWG1" s="3"/>
      <c r="JWH1" s="3"/>
      <c r="JWI1" s="3"/>
      <c r="JWJ1" s="3"/>
      <c r="JWK1" s="3"/>
      <c r="JWL1" s="3"/>
      <c r="JWM1" s="3"/>
      <c r="JWN1" s="3"/>
      <c r="JWO1" s="3"/>
      <c r="JWP1" s="3"/>
      <c r="JWQ1" s="3"/>
      <c r="JWR1" s="3"/>
      <c r="JWS1" s="3"/>
      <c r="JWT1" s="3"/>
      <c r="JWU1" s="3"/>
      <c r="JWV1" s="3"/>
      <c r="JWW1" s="3"/>
      <c r="JWX1" s="3"/>
      <c r="JWY1" s="3"/>
      <c r="JWZ1" s="3"/>
      <c r="JXA1" s="3"/>
      <c r="JXB1" s="3"/>
      <c r="JXC1" s="3"/>
      <c r="JXD1" s="3"/>
      <c r="JXE1" s="3"/>
      <c r="JXF1" s="3"/>
      <c r="JXG1" s="3"/>
      <c r="JXH1" s="3"/>
      <c r="JXI1" s="3"/>
      <c r="JXJ1" s="3"/>
      <c r="JXK1" s="3"/>
      <c r="JXL1" s="3"/>
      <c r="JXM1" s="3"/>
      <c r="JXN1" s="3"/>
      <c r="JXO1" s="3"/>
      <c r="JXP1" s="3"/>
      <c r="JXQ1" s="3"/>
      <c r="JXR1" s="3"/>
      <c r="JXS1" s="3"/>
      <c r="JXT1" s="3"/>
      <c r="JXU1" s="3"/>
      <c r="JXV1" s="3"/>
      <c r="JXW1" s="3"/>
      <c r="JXX1" s="3"/>
      <c r="JXY1" s="3"/>
      <c r="JXZ1" s="3"/>
      <c r="JYA1" s="3"/>
      <c r="JYB1" s="3"/>
      <c r="JYC1" s="3"/>
      <c r="JYD1" s="3"/>
      <c r="JYE1" s="3"/>
      <c r="JYF1" s="3"/>
      <c r="JYG1" s="3"/>
      <c r="JYH1" s="3"/>
      <c r="JYI1" s="3"/>
      <c r="JYJ1" s="3"/>
      <c r="JYK1" s="3"/>
      <c r="JYL1" s="3"/>
      <c r="JYM1" s="3"/>
      <c r="JYN1" s="3"/>
      <c r="JYO1" s="3"/>
      <c r="JYP1" s="3"/>
      <c r="JYQ1" s="3"/>
      <c r="JYR1" s="3"/>
      <c r="JYS1" s="3"/>
      <c r="JYT1" s="3"/>
      <c r="JYU1" s="3"/>
      <c r="JYV1" s="3"/>
      <c r="JYW1" s="3"/>
      <c r="JYX1" s="3"/>
      <c r="JYY1" s="3"/>
      <c r="JYZ1" s="3"/>
      <c r="JZA1" s="3"/>
      <c r="JZB1" s="3"/>
      <c r="JZC1" s="3"/>
      <c r="JZD1" s="3"/>
      <c r="JZE1" s="3"/>
      <c r="JZF1" s="3"/>
      <c r="JZG1" s="3"/>
      <c r="JZH1" s="3"/>
      <c r="JZI1" s="3"/>
      <c r="JZJ1" s="3"/>
      <c r="JZK1" s="3"/>
      <c r="JZL1" s="3"/>
      <c r="JZM1" s="3"/>
      <c r="JZN1" s="3"/>
      <c r="JZO1" s="3"/>
      <c r="JZP1" s="3"/>
      <c r="JZQ1" s="3"/>
      <c r="JZR1" s="3"/>
      <c r="JZS1" s="3"/>
      <c r="JZT1" s="3"/>
      <c r="JZU1" s="3"/>
      <c r="JZV1" s="3"/>
      <c r="JZW1" s="3"/>
      <c r="JZX1" s="3"/>
      <c r="JZY1" s="3"/>
      <c r="JZZ1" s="3"/>
      <c r="KAA1" s="3"/>
      <c r="KAB1" s="3"/>
      <c r="KAC1" s="3"/>
      <c r="KAD1" s="3"/>
      <c r="KAE1" s="3"/>
      <c r="KAF1" s="3"/>
      <c r="KAG1" s="3"/>
      <c r="KAH1" s="3"/>
      <c r="KAI1" s="3"/>
      <c r="KAJ1" s="3"/>
      <c r="KAK1" s="3"/>
      <c r="KAL1" s="3"/>
      <c r="KAM1" s="3"/>
      <c r="KAN1" s="3"/>
      <c r="KAO1" s="3"/>
      <c r="KAP1" s="3"/>
      <c r="KAQ1" s="3"/>
      <c r="KAR1" s="3"/>
      <c r="KAS1" s="3"/>
      <c r="KAT1" s="3"/>
      <c r="KAU1" s="3"/>
      <c r="KAV1" s="3"/>
      <c r="KAW1" s="3"/>
      <c r="KAX1" s="3"/>
      <c r="KAY1" s="3"/>
      <c r="KAZ1" s="3"/>
      <c r="KBA1" s="3"/>
      <c r="KBB1" s="3"/>
      <c r="KBC1" s="3"/>
      <c r="KBD1" s="3"/>
      <c r="KBE1" s="3"/>
      <c r="KBF1" s="3"/>
      <c r="KBG1" s="3"/>
      <c r="KBH1" s="3"/>
      <c r="KBI1" s="3"/>
      <c r="KBJ1" s="3"/>
      <c r="KBK1" s="3"/>
      <c r="KBL1" s="3"/>
      <c r="KBM1" s="3"/>
      <c r="KBN1" s="3"/>
      <c r="KBO1" s="3"/>
      <c r="KBP1" s="3"/>
      <c r="KBQ1" s="3"/>
      <c r="KBR1" s="3"/>
      <c r="KBS1" s="3"/>
      <c r="KBT1" s="3"/>
      <c r="KBU1" s="3"/>
      <c r="KBV1" s="3"/>
      <c r="KBW1" s="3"/>
      <c r="KBX1" s="3"/>
      <c r="KBY1" s="3"/>
      <c r="KBZ1" s="3"/>
      <c r="KCA1" s="3"/>
      <c r="KCB1" s="3"/>
      <c r="KCC1" s="3"/>
      <c r="KCD1" s="3"/>
      <c r="KCE1" s="3"/>
      <c r="KCF1" s="3"/>
      <c r="KCG1" s="3"/>
      <c r="KCH1" s="3"/>
      <c r="KCI1" s="3"/>
      <c r="KCJ1" s="3"/>
      <c r="KCK1" s="3"/>
      <c r="KCL1" s="3"/>
      <c r="KCM1" s="3"/>
      <c r="KCN1" s="3"/>
      <c r="KCO1" s="3"/>
      <c r="KCP1" s="3"/>
      <c r="KCQ1" s="3"/>
      <c r="KCR1" s="3"/>
      <c r="KCS1" s="3"/>
      <c r="KCT1" s="3"/>
      <c r="KCU1" s="3"/>
      <c r="KCV1" s="3"/>
      <c r="KCW1" s="3"/>
      <c r="KCX1" s="3"/>
      <c r="KCY1" s="3"/>
      <c r="KCZ1" s="3"/>
      <c r="KDA1" s="3"/>
      <c r="KDB1" s="3"/>
      <c r="KDC1" s="3"/>
      <c r="KDD1" s="3"/>
      <c r="KDE1" s="3"/>
      <c r="KDF1" s="3"/>
      <c r="KDG1" s="3"/>
      <c r="KDH1" s="3"/>
      <c r="KDI1" s="3"/>
      <c r="KDJ1" s="3"/>
      <c r="KDK1" s="3"/>
      <c r="KDL1" s="3"/>
      <c r="KDM1" s="3"/>
      <c r="KDN1" s="3"/>
      <c r="KDO1" s="3"/>
      <c r="KDP1" s="3"/>
      <c r="KDQ1" s="3"/>
      <c r="KDR1" s="3"/>
      <c r="KDS1" s="3"/>
      <c r="KDT1" s="3"/>
      <c r="KDU1" s="3"/>
      <c r="KDV1" s="3"/>
      <c r="KDW1" s="3"/>
      <c r="KDX1" s="3"/>
      <c r="KDY1" s="3"/>
      <c r="KDZ1" s="3"/>
      <c r="KEA1" s="3"/>
      <c r="KEB1" s="3"/>
      <c r="KEC1" s="3"/>
      <c r="KED1" s="3"/>
      <c r="KEE1" s="3"/>
      <c r="KEF1" s="3"/>
      <c r="KEG1" s="3"/>
      <c r="KEH1" s="3"/>
      <c r="KEI1" s="3"/>
      <c r="KEJ1" s="3"/>
      <c r="KEK1" s="3"/>
      <c r="KEL1" s="3"/>
      <c r="KEM1" s="3"/>
      <c r="KEN1" s="3"/>
      <c r="KEO1" s="3"/>
      <c r="KEP1" s="3"/>
      <c r="KEQ1" s="3"/>
      <c r="KER1" s="3"/>
      <c r="KES1" s="3"/>
      <c r="KET1" s="3"/>
      <c r="KEU1" s="3"/>
      <c r="KEV1" s="3"/>
      <c r="KEW1" s="3"/>
      <c r="KEX1" s="3"/>
      <c r="KEY1" s="3"/>
      <c r="KEZ1" s="3"/>
      <c r="KFA1" s="3"/>
      <c r="KFB1" s="3"/>
      <c r="KFC1" s="3"/>
      <c r="KFD1" s="3"/>
      <c r="KFE1" s="3"/>
      <c r="KFF1" s="3"/>
      <c r="KFG1" s="3"/>
      <c r="KFH1" s="3"/>
      <c r="KFI1" s="3"/>
      <c r="KFJ1" s="3"/>
      <c r="KFK1" s="3"/>
      <c r="KFL1" s="3"/>
      <c r="KFM1" s="3"/>
      <c r="KFN1" s="3"/>
      <c r="KFO1" s="3"/>
      <c r="KFP1" s="3"/>
      <c r="KFQ1" s="3"/>
      <c r="KFR1" s="3"/>
      <c r="KFS1" s="3"/>
      <c r="KFT1" s="3"/>
      <c r="KFU1" s="3"/>
      <c r="KFV1" s="3"/>
      <c r="KFW1" s="3"/>
      <c r="KFX1" s="3"/>
      <c r="KFY1" s="3"/>
      <c r="KFZ1" s="3"/>
      <c r="KGA1" s="3"/>
      <c r="KGB1" s="3"/>
      <c r="KGC1" s="3"/>
      <c r="KGD1" s="3"/>
      <c r="KGE1" s="3"/>
      <c r="KGF1" s="3"/>
      <c r="KGG1" s="3"/>
      <c r="KGH1" s="3"/>
      <c r="KGI1" s="3"/>
      <c r="KGJ1" s="3"/>
      <c r="KGK1" s="3"/>
      <c r="KGL1" s="3"/>
      <c r="KGM1" s="3"/>
      <c r="KGN1" s="3"/>
      <c r="KGO1" s="3"/>
      <c r="KGP1" s="3"/>
      <c r="KGQ1" s="3"/>
      <c r="KGR1" s="3"/>
      <c r="KGS1" s="3"/>
      <c r="KGT1" s="3"/>
      <c r="KGU1" s="3"/>
      <c r="KGV1" s="3"/>
      <c r="KGW1" s="3"/>
      <c r="KGX1" s="3"/>
      <c r="KGY1" s="3"/>
      <c r="KGZ1" s="3"/>
      <c r="KHA1" s="3"/>
      <c r="KHB1" s="3"/>
      <c r="KHC1" s="3"/>
      <c r="KHD1" s="3"/>
      <c r="KHE1" s="3"/>
      <c r="KHF1" s="3"/>
      <c r="KHG1" s="3"/>
      <c r="KHH1" s="3"/>
      <c r="KHI1" s="3"/>
      <c r="KHJ1" s="3"/>
      <c r="KHK1" s="3"/>
      <c r="KHL1" s="3"/>
      <c r="KHM1" s="3"/>
      <c r="KHN1" s="3"/>
      <c r="KHO1" s="3"/>
      <c r="KHP1" s="3"/>
      <c r="KHQ1" s="3"/>
      <c r="KHR1" s="3"/>
      <c r="KHS1" s="3"/>
      <c r="KHT1" s="3"/>
      <c r="KHU1" s="3"/>
      <c r="KHV1" s="3"/>
      <c r="KHW1" s="3"/>
      <c r="KHX1" s="3"/>
      <c r="KHY1" s="3"/>
      <c r="KHZ1" s="3"/>
      <c r="KIA1" s="3"/>
      <c r="KIB1" s="3"/>
      <c r="KIC1" s="3"/>
      <c r="KID1" s="3"/>
      <c r="KIE1" s="3"/>
      <c r="KIF1" s="3"/>
      <c r="KIG1" s="3"/>
      <c r="KIH1" s="3"/>
      <c r="KII1" s="3"/>
      <c r="KIJ1" s="3"/>
      <c r="KIK1" s="3"/>
      <c r="KIL1" s="3"/>
      <c r="KIM1" s="3"/>
      <c r="KIN1" s="3"/>
      <c r="KIO1" s="3"/>
      <c r="KIP1" s="3"/>
      <c r="KIQ1" s="3"/>
      <c r="KIR1" s="3"/>
      <c r="KIS1" s="3"/>
      <c r="KIT1" s="3"/>
      <c r="KIU1" s="3"/>
      <c r="KIV1" s="3"/>
      <c r="KIW1" s="3"/>
      <c r="KIX1" s="3"/>
      <c r="KIY1" s="3"/>
      <c r="KIZ1" s="3"/>
      <c r="KJA1" s="3"/>
      <c r="KJB1" s="3"/>
      <c r="KJC1" s="3"/>
      <c r="KJD1" s="3"/>
      <c r="KJE1" s="3"/>
      <c r="KJF1" s="3"/>
      <c r="KJG1" s="3"/>
      <c r="KJH1" s="3"/>
      <c r="KJI1" s="3"/>
      <c r="KJJ1" s="3"/>
      <c r="KJK1" s="3"/>
      <c r="KJL1" s="3"/>
      <c r="KJM1" s="3"/>
      <c r="KJN1" s="3"/>
      <c r="KJO1" s="3"/>
      <c r="KJP1" s="3"/>
      <c r="KJQ1" s="3"/>
      <c r="KJR1" s="3"/>
      <c r="KJS1" s="3"/>
      <c r="KJT1" s="3"/>
      <c r="KJU1" s="3"/>
      <c r="KJV1" s="3"/>
      <c r="KJW1" s="3"/>
      <c r="KJX1" s="3"/>
      <c r="KJY1" s="3"/>
      <c r="KJZ1" s="3"/>
      <c r="KKA1" s="3"/>
      <c r="KKB1" s="3"/>
      <c r="KKC1" s="3"/>
      <c r="KKD1" s="3"/>
      <c r="KKE1" s="3"/>
      <c r="KKF1" s="3"/>
      <c r="KKG1" s="3"/>
      <c r="KKH1" s="3"/>
      <c r="KKI1" s="3"/>
      <c r="KKJ1" s="3"/>
      <c r="KKK1" s="3"/>
      <c r="KKL1" s="3"/>
      <c r="KKM1" s="3"/>
      <c r="KKN1" s="3"/>
      <c r="KKO1" s="3"/>
      <c r="KKP1" s="3"/>
      <c r="KKQ1" s="3"/>
      <c r="KKR1" s="3"/>
      <c r="KKS1" s="3"/>
      <c r="KKT1" s="3"/>
      <c r="KKU1" s="3"/>
      <c r="KKV1" s="3"/>
      <c r="KKW1" s="3"/>
      <c r="KKX1" s="3"/>
      <c r="KKY1" s="3"/>
      <c r="KKZ1" s="3"/>
      <c r="KLA1" s="3"/>
      <c r="KLB1" s="3"/>
      <c r="KLC1" s="3"/>
      <c r="KLD1" s="3"/>
      <c r="KLE1" s="3"/>
      <c r="KLF1" s="3"/>
      <c r="KLG1" s="3"/>
      <c r="KLH1" s="3"/>
      <c r="KLI1" s="3"/>
      <c r="KLJ1" s="3"/>
      <c r="KLK1" s="3"/>
      <c r="KLL1" s="3"/>
      <c r="KLM1" s="3"/>
      <c r="KLN1" s="3"/>
      <c r="KLO1" s="3"/>
      <c r="KLP1" s="3"/>
      <c r="KLQ1" s="3"/>
      <c r="KLR1" s="3"/>
      <c r="KLS1" s="3"/>
      <c r="KLT1" s="3"/>
      <c r="KLU1" s="3"/>
      <c r="KLV1" s="3"/>
      <c r="KLW1" s="3"/>
      <c r="KLX1" s="3"/>
      <c r="KLY1" s="3"/>
      <c r="KLZ1" s="3"/>
      <c r="KMA1" s="3"/>
      <c r="KMB1" s="3"/>
      <c r="KMC1" s="3"/>
      <c r="KMD1" s="3"/>
      <c r="KME1" s="3"/>
      <c r="KMF1" s="3"/>
      <c r="KMG1" s="3"/>
      <c r="KMH1" s="3"/>
      <c r="KMI1" s="3"/>
      <c r="KMJ1" s="3"/>
      <c r="KMK1" s="3"/>
      <c r="KML1" s="3"/>
      <c r="KMM1" s="3"/>
      <c r="KMN1" s="3"/>
      <c r="KMO1" s="3"/>
      <c r="KMP1" s="3"/>
      <c r="KMQ1" s="3"/>
      <c r="KMR1" s="3"/>
      <c r="KMS1" s="3"/>
      <c r="KMT1" s="3"/>
      <c r="KMU1" s="3"/>
      <c r="KMV1" s="3"/>
      <c r="KMW1" s="3"/>
      <c r="KMX1" s="3"/>
      <c r="KMY1" s="3"/>
      <c r="KMZ1" s="3"/>
      <c r="KNA1" s="3"/>
      <c r="KNB1" s="3"/>
      <c r="KNC1" s="3"/>
      <c r="KND1" s="3"/>
      <c r="KNE1" s="3"/>
      <c r="KNF1" s="3"/>
      <c r="KNG1" s="3"/>
      <c r="KNH1" s="3"/>
      <c r="KNI1" s="3"/>
      <c r="KNJ1" s="3"/>
      <c r="KNK1" s="3"/>
      <c r="KNL1" s="3"/>
      <c r="KNM1" s="3"/>
      <c r="KNN1" s="3"/>
      <c r="KNO1" s="3"/>
      <c r="KNP1" s="3"/>
      <c r="KNQ1" s="3"/>
      <c r="KNR1" s="3"/>
      <c r="KNS1" s="3"/>
      <c r="KNT1" s="3"/>
      <c r="KNU1" s="3"/>
      <c r="KNV1" s="3"/>
      <c r="KNW1" s="3"/>
      <c r="KNX1" s="3"/>
      <c r="KNY1" s="3"/>
      <c r="KNZ1" s="3"/>
      <c r="KOA1" s="3"/>
      <c r="KOB1" s="3"/>
      <c r="KOC1" s="3"/>
      <c r="KOD1" s="3"/>
      <c r="KOE1" s="3"/>
      <c r="KOF1" s="3"/>
      <c r="KOG1" s="3"/>
      <c r="KOH1" s="3"/>
      <c r="KOI1" s="3"/>
      <c r="KOJ1" s="3"/>
      <c r="KOK1" s="3"/>
      <c r="KOL1" s="3"/>
      <c r="KOM1" s="3"/>
      <c r="KON1" s="3"/>
      <c r="KOO1" s="3"/>
      <c r="KOP1" s="3"/>
      <c r="KOQ1" s="3"/>
      <c r="KOR1" s="3"/>
      <c r="KOS1" s="3"/>
      <c r="KOT1" s="3"/>
      <c r="KOU1" s="3"/>
      <c r="KOV1" s="3"/>
      <c r="KOW1" s="3"/>
      <c r="KOX1" s="3"/>
      <c r="KOY1" s="3"/>
      <c r="KOZ1" s="3"/>
      <c r="KPA1" s="3"/>
      <c r="KPB1" s="3"/>
      <c r="KPC1" s="3"/>
      <c r="KPD1" s="3"/>
      <c r="KPE1" s="3"/>
      <c r="KPF1" s="3"/>
      <c r="KPG1" s="3"/>
      <c r="KPH1" s="3"/>
      <c r="KPI1" s="3"/>
      <c r="KPJ1" s="3"/>
      <c r="KPK1" s="3"/>
      <c r="KPL1" s="3"/>
      <c r="KPM1" s="3"/>
      <c r="KPN1" s="3"/>
      <c r="KPO1" s="3"/>
      <c r="KPP1" s="3"/>
      <c r="KPQ1" s="3"/>
      <c r="KPR1" s="3"/>
      <c r="KPS1" s="3"/>
      <c r="KPT1" s="3"/>
      <c r="KPU1" s="3"/>
      <c r="KPV1" s="3"/>
      <c r="KPW1" s="3"/>
      <c r="KPX1" s="3"/>
      <c r="KPY1" s="3"/>
      <c r="KPZ1" s="3"/>
      <c r="KQA1" s="3"/>
      <c r="KQB1" s="3"/>
      <c r="KQC1" s="3"/>
      <c r="KQD1" s="3"/>
      <c r="KQE1" s="3"/>
      <c r="KQF1" s="3"/>
      <c r="KQG1" s="3"/>
      <c r="KQH1" s="3"/>
      <c r="KQI1" s="3"/>
      <c r="KQJ1" s="3"/>
      <c r="KQK1" s="3"/>
      <c r="KQL1" s="3"/>
      <c r="KQM1" s="3"/>
      <c r="KQN1" s="3"/>
      <c r="KQO1" s="3"/>
      <c r="KQP1" s="3"/>
      <c r="KQQ1" s="3"/>
      <c r="KQR1" s="3"/>
      <c r="KQS1" s="3"/>
      <c r="KQT1" s="3"/>
      <c r="KQU1" s="3"/>
      <c r="KQV1" s="3"/>
      <c r="KQW1" s="3"/>
      <c r="KQX1" s="3"/>
      <c r="KQY1" s="3"/>
      <c r="KQZ1" s="3"/>
      <c r="KRA1" s="3"/>
      <c r="KRB1" s="3"/>
      <c r="KRC1" s="3"/>
      <c r="KRD1" s="3"/>
      <c r="KRE1" s="3"/>
      <c r="KRF1" s="3"/>
      <c r="KRG1" s="3"/>
      <c r="KRH1" s="3"/>
      <c r="KRI1" s="3"/>
      <c r="KRJ1" s="3"/>
      <c r="KRK1" s="3"/>
      <c r="KRL1" s="3"/>
      <c r="KRM1" s="3"/>
      <c r="KRN1" s="3"/>
      <c r="KRO1" s="3"/>
      <c r="KRP1" s="3"/>
      <c r="KRQ1" s="3"/>
      <c r="KRR1" s="3"/>
      <c r="KRS1" s="3"/>
      <c r="KRT1" s="3"/>
      <c r="KRU1" s="3"/>
      <c r="KRV1" s="3"/>
      <c r="KRW1" s="3"/>
      <c r="KRX1" s="3"/>
      <c r="KRY1" s="3"/>
      <c r="KRZ1" s="3"/>
      <c r="KSA1" s="3"/>
      <c r="KSB1" s="3"/>
      <c r="KSC1" s="3"/>
      <c r="KSD1" s="3"/>
      <c r="KSE1" s="3"/>
      <c r="KSF1" s="3"/>
      <c r="KSG1" s="3"/>
      <c r="KSH1" s="3"/>
      <c r="KSI1" s="3"/>
      <c r="KSJ1" s="3"/>
      <c r="KSK1" s="3"/>
      <c r="KSL1" s="3"/>
      <c r="KSM1" s="3"/>
      <c r="KSN1" s="3"/>
      <c r="KSO1" s="3"/>
      <c r="KSP1" s="3"/>
      <c r="KSQ1" s="3"/>
      <c r="KSR1" s="3"/>
      <c r="KSS1" s="3"/>
      <c r="KST1" s="3"/>
      <c r="KSU1" s="3"/>
      <c r="KSV1" s="3"/>
      <c r="KSW1" s="3"/>
      <c r="KSX1" s="3"/>
      <c r="KSY1" s="3"/>
      <c r="KSZ1" s="3"/>
      <c r="KTA1" s="3"/>
      <c r="KTB1" s="3"/>
      <c r="KTC1" s="3"/>
      <c r="KTD1" s="3"/>
      <c r="KTE1" s="3"/>
      <c r="KTF1" s="3"/>
      <c r="KTG1" s="3"/>
      <c r="KTH1" s="3"/>
      <c r="KTI1" s="3"/>
      <c r="KTJ1" s="3"/>
      <c r="KTK1" s="3"/>
      <c r="KTL1" s="3"/>
      <c r="KTM1" s="3"/>
      <c r="KTN1" s="3"/>
      <c r="KTO1" s="3"/>
      <c r="KTP1" s="3"/>
      <c r="KTQ1" s="3"/>
      <c r="KTR1" s="3"/>
      <c r="KTS1" s="3"/>
      <c r="KTT1" s="3"/>
      <c r="KTU1" s="3"/>
      <c r="KTV1" s="3"/>
      <c r="KTW1" s="3"/>
      <c r="KTX1" s="3"/>
      <c r="KTY1" s="3"/>
      <c r="KTZ1" s="3"/>
      <c r="KUA1" s="3"/>
      <c r="KUB1" s="3"/>
      <c r="KUC1" s="3"/>
      <c r="KUD1" s="3"/>
      <c r="KUE1" s="3"/>
      <c r="KUF1" s="3"/>
      <c r="KUG1" s="3"/>
      <c r="KUH1" s="3"/>
      <c r="KUI1" s="3"/>
      <c r="KUJ1" s="3"/>
      <c r="KUK1" s="3"/>
      <c r="KUL1" s="3"/>
      <c r="KUM1" s="3"/>
      <c r="KUN1" s="3"/>
      <c r="KUO1" s="3"/>
      <c r="KUP1" s="3"/>
      <c r="KUQ1" s="3"/>
      <c r="KUR1" s="3"/>
      <c r="KUS1" s="3"/>
      <c r="KUT1" s="3"/>
      <c r="KUU1" s="3"/>
      <c r="KUV1" s="3"/>
      <c r="KUW1" s="3"/>
      <c r="KUX1" s="3"/>
      <c r="KUY1" s="3"/>
      <c r="KUZ1" s="3"/>
      <c r="KVA1" s="3"/>
      <c r="KVB1" s="3"/>
      <c r="KVC1" s="3"/>
      <c r="KVD1" s="3"/>
      <c r="KVE1" s="3"/>
      <c r="KVF1" s="3"/>
      <c r="KVG1" s="3"/>
      <c r="KVH1" s="3"/>
      <c r="KVI1" s="3"/>
      <c r="KVJ1" s="3"/>
      <c r="KVK1" s="3"/>
      <c r="KVL1" s="3"/>
      <c r="KVM1" s="3"/>
      <c r="KVN1" s="3"/>
      <c r="KVO1" s="3"/>
      <c r="KVP1" s="3"/>
      <c r="KVQ1" s="3"/>
      <c r="KVR1" s="3"/>
      <c r="KVS1" s="3"/>
      <c r="KVT1" s="3"/>
      <c r="KVU1" s="3"/>
      <c r="KVV1" s="3"/>
      <c r="KVW1" s="3"/>
      <c r="KVX1" s="3"/>
      <c r="KVY1" s="3"/>
      <c r="KVZ1" s="3"/>
      <c r="KWA1" s="3"/>
      <c r="KWB1" s="3"/>
      <c r="KWC1" s="3"/>
      <c r="KWD1" s="3"/>
      <c r="KWE1" s="3"/>
      <c r="KWF1" s="3"/>
      <c r="KWG1" s="3"/>
      <c r="KWH1" s="3"/>
      <c r="KWI1" s="3"/>
      <c r="KWJ1" s="3"/>
      <c r="KWK1" s="3"/>
      <c r="KWL1" s="3"/>
      <c r="KWM1" s="3"/>
      <c r="KWN1" s="3"/>
      <c r="KWO1" s="3"/>
      <c r="KWP1" s="3"/>
      <c r="KWQ1" s="3"/>
      <c r="KWR1" s="3"/>
      <c r="KWS1" s="3"/>
      <c r="KWT1" s="3"/>
      <c r="KWU1" s="3"/>
      <c r="KWV1" s="3"/>
      <c r="KWW1" s="3"/>
      <c r="KWX1" s="3"/>
      <c r="KWY1" s="3"/>
      <c r="KWZ1" s="3"/>
      <c r="KXA1" s="3"/>
      <c r="KXB1" s="3"/>
      <c r="KXC1" s="3"/>
      <c r="KXD1" s="3"/>
      <c r="KXE1" s="3"/>
      <c r="KXF1" s="3"/>
      <c r="KXG1" s="3"/>
      <c r="KXH1" s="3"/>
      <c r="KXI1" s="3"/>
      <c r="KXJ1" s="3"/>
      <c r="KXK1" s="3"/>
      <c r="KXL1" s="3"/>
      <c r="KXM1" s="3"/>
      <c r="KXN1" s="3"/>
      <c r="KXO1" s="3"/>
      <c r="KXP1" s="3"/>
      <c r="KXQ1" s="3"/>
      <c r="KXR1" s="3"/>
      <c r="KXS1" s="3"/>
      <c r="KXT1" s="3"/>
      <c r="KXU1" s="3"/>
      <c r="KXV1" s="3"/>
      <c r="KXW1" s="3"/>
      <c r="KXX1" s="3"/>
      <c r="KXY1" s="3"/>
      <c r="KXZ1" s="3"/>
      <c r="KYA1" s="3"/>
      <c r="KYB1" s="3"/>
      <c r="KYC1" s="3"/>
      <c r="KYD1" s="3"/>
      <c r="KYE1" s="3"/>
      <c r="KYF1" s="3"/>
      <c r="KYG1" s="3"/>
      <c r="KYH1" s="3"/>
      <c r="KYI1" s="3"/>
      <c r="KYJ1" s="3"/>
      <c r="KYK1" s="3"/>
      <c r="KYL1" s="3"/>
      <c r="KYM1" s="3"/>
      <c r="KYN1" s="3"/>
      <c r="KYO1" s="3"/>
      <c r="KYP1" s="3"/>
      <c r="KYQ1" s="3"/>
      <c r="KYR1" s="3"/>
      <c r="KYS1" s="3"/>
      <c r="KYT1" s="3"/>
      <c r="KYU1" s="3"/>
      <c r="KYV1" s="3"/>
      <c r="KYW1" s="3"/>
      <c r="KYX1" s="3"/>
      <c r="KYY1" s="3"/>
      <c r="KYZ1" s="3"/>
      <c r="KZA1" s="3"/>
      <c r="KZB1" s="3"/>
      <c r="KZC1" s="3"/>
      <c r="KZD1" s="3"/>
      <c r="KZE1" s="3"/>
      <c r="KZF1" s="3"/>
      <c r="KZG1" s="3"/>
      <c r="KZH1" s="3"/>
      <c r="KZI1" s="3"/>
      <c r="KZJ1" s="3"/>
      <c r="KZK1" s="3"/>
      <c r="KZL1" s="3"/>
      <c r="KZM1" s="3"/>
      <c r="KZN1" s="3"/>
      <c r="KZO1" s="3"/>
      <c r="KZP1" s="3"/>
      <c r="KZQ1" s="3"/>
      <c r="KZR1" s="3"/>
      <c r="KZS1" s="3"/>
      <c r="KZT1" s="3"/>
      <c r="KZU1" s="3"/>
      <c r="KZV1" s="3"/>
      <c r="KZW1" s="3"/>
      <c r="KZX1" s="3"/>
      <c r="KZY1" s="3"/>
      <c r="KZZ1" s="3"/>
      <c r="LAA1" s="3"/>
      <c r="LAB1" s="3"/>
      <c r="LAC1" s="3"/>
      <c r="LAD1" s="3"/>
      <c r="LAE1" s="3"/>
      <c r="LAF1" s="3"/>
      <c r="LAG1" s="3"/>
      <c r="LAH1" s="3"/>
      <c r="LAI1" s="3"/>
      <c r="LAJ1" s="3"/>
      <c r="LAK1" s="3"/>
      <c r="LAL1" s="3"/>
      <c r="LAM1" s="3"/>
      <c r="LAN1" s="3"/>
      <c r="LAO1" s="3"/>
      <c r="LAP1" s="3"/>
      <c r="LAQ1" s="3"/>
      <c r="LAR1" s="3"/>
      <c r="LAS1" s="3"/>
      <c r="LAT1" s="3"/>
      <c r="LAU1" s="3"/>
      <c r="LAV1" s="3"/>
      <c r="LAW1" s="3"/>
      <c r="LAX1" s="3"/>
      <c r="LAY1" s="3"/>
      <c r="LAZ1" s="3"/>
      <c r="LBA1" s="3"/>
      <c r="LBB1" s="3"/>
      <c r="LBC1" s="3"/>
      <c r="LBD1" s="3"/>
      <c r="LBE1" s="3"/>
      <c r="LBF1" s="3"/>
      <c r="LBG1" s="3"/>
      <c r="LBH1" s="3"/>
      <c r="LBI1" s="3"/>
      <c r="LBJ1" s="3"/>
      <c r="LBK1" s="3"/>
      <c r="LBL1" s="3"/>
      <c r="LBM1" s="3"/>
      <c r="LBN1" s="3"/>
      <c r="LBO1" s="3"/>
      <c r="LBP1" s="3"/>
      <c r="LBQ1" s="3"/>
      <c r="LBR1" s="3"/>
      <c r="LBS1" s="3"/>
      <c r="LBT1" s="3"/>
      <c r="LBU1" s="3"/>
      <c r="LBV1" s="3"/>
      <c r="LBW1" s="3"/>
      <c r="LBX1" s="3"/>
      <c r="LBY1" s="3"/>
      <c r="LBZ1" s="3"/>
      <c r="LCA1" s="3"/>
      <c r="LCB1" s="3"/>
      <c r="LCC1" s="3"/>
      <c r="LCD1" s="3"/>
      <c r="LCE1" s="3"/>
      <c r="LCF1" s="3"/>
      <c r="LCG1" s="3"/>
      <c r="LCH1" s="3"/>
      <c r="LCI1" s="3"/>
      <c r="LCJ1" s="3"/>
      <c r="LCK1" s="3"/>
      <c r="LCL1" s="3"/>
      <c r="LCM1" s="3"/>
      <c r="LCN1" s="3"/>
      <c r="LCO1" s="3"/>
      <c r="LCP1" s="3"/>
      <c r="LCQ1" s="3"/>
      <c r="LCR1" s="3"/>
      <c r="LCS1" s="3"/>
      <c r="LCT1" s="3"/>
      <c r="LCU1" s="3"/>
      <c r="LCV1" s="3"/>
      <c r="LCW1" s="3"/>
      <c r="LCX1" s="3"/>
      <c r="LCY1" s="3"/>
      <c r="LCZ1" s="3"/>
      <c r="LDA1" s="3"/>
      <c r="LDB1" s="3"/>
      <c r="LDC1" s="3"/>
      <c r="LDD1" s="3"/>
      <c r="LDE1" s="3"/>
      <c r="LDF1" s="3"/>
      <c r="LDG1" s="3"/>
      <c r="LDH1" s="3"/>
      <c r="LDI1" s="3"/>
      <c r="LDJ1" s="3"/>
      <c r="LDK1" s="3"/>
      <c r="LDL1" s="3"/>
      <c r="LDM1" s="3"/>
      <c r="LDN1" s="3"/>
      <c r="LDO1" s="3"/>
      <c r="LDP1" s="3"/>
      <c r="LDQ1" s="3"/>
      <c r="LDR1" s="3"/>
      <c r="LDS1" s="3"/>
      <c r="LDT1" s="3"/>
      <c r="LDU1" s="3"/>
      <c r="LDV1" s="3"/>
      <c r="LDW1" s="3"/>
      <c r="LDX1" s="3"/>
      <c r="LDY1" s="3"/>
      <c r="LDZ1" s="3"/>
      <c r="LEA1" s="3"/>
      <c r="LEB1" s="3"/>
      <c r="LEC1" s="3"/>
      <c r="LED1" s="3"/>
      <c r="LEE1" s="3"/>
      <c r="LEF1" s="3"/>
      <c r="LEG1" s="3"/>
      <c r="LEH1" s="3"/>
      <c r="LEI1" s="3"/>
      <c r="LEJ1" s="3"/>
      <c r="LEK1" s="3"/>
      <c r="LEL1" s="3"/>
      <c r="LEM1" s="3"/>
      <c r="LEN1" s="3"/>
      <c r="LEO1" s="3"/>
      <c r="LEP1" s="3"/>
      <c r="LEQ1" s="3"/>
      <c r="LER1" s="3"/>
      <c r="LES1" s="3"/>
      <c r="LET1" s="3"/>
      <c r="LEU1" s="3"/>
      <c r="LEV1" s="3"/>
      <c r="LEW1" s="3"/>
      <c r="LEX1" s="3"/>
      <c r="LEY1" s="3"/>
      <c r="LEZ1" s="3"/>
      <c r="LFA1" s="3"/>
      <c r="LFB1" s="3"/>
      <c r="LFC1" s="3"/>
      <c r="LFD1" s="3"/>
      <c r="LFE1" s="3"/>
      <c r="LFF1" s="3"/>
      <c r="LFG1" s="3"/>
      <c r="LFH1" s="3"/>
      <c r="LFI1" s="3"/>
      <c r="LFJ1" s="3"/>
      <c r="LFK1" s="3"/>
      <c r="LFL1" s="3"/>
      <c r="LFM1" s="3"/>
      <c r="LFN1" s="3"/>
      <c r="LFO1" s="3"/>
      <c r="LFP1" s="3"/>
      <c r="LFQ1" s="3"/>
      <c r="LFR1" s="3"/>
      <c r="LFS1" s="3"/>
      <c r="LFT1" s="3"/>
      <c r="LFU1" s="3"/>
      <c r="LFV1" s="3"/>
      <c r="LFW1" s="3"/>
      <c r="LFX1" s="3"/>
      <c r="LFY1" s="3"/>
      <c r="LFZ1" s="3"/>
      <c r="LGA1" s="3"/>
      <c r="LGB1" s="3"/>
      <c r="LGC1" s="3"/>
      <c r="LGD1" s="3"/>
      <c r="LGE1" s="3"/>
      <c r="LGF1" s="3"/>
      <c r="LGG1" s="3"/>
      <c r="LGH1" s="3"/>
      <c r="LGI1" s="3"/>
      <c r="LGJ1" s="3"/>
      <c r="LGK1" s="3"/>
      <c r="LGL1" s="3"/>
      <c r="LGM1" s="3"/>
      <c r="LGN1" s="3"/>
      <c r="LGO1" s="3"/>
      <c r="LGP1" s="3"/>
      <c r="LGQ1" s="3"/>
      <c r="LGR1" s="3"/>
      <c r="LGS1" s="3"/>
      <c r="LGT1" s="3"/>
      <c r="LGU1" s="3"/>
      <c r="LGV1" s="3"/>
      <c r="LGW1" s="3"/>
      <c r="LGX1" s="3"/>
      <c r="LGY1" s="3"/>
      <c r="LGZ1" s="3"/>
      <c r="LHA1" s="3"/>
      <c r="LHB1" s="3"/>
      <c r="LHC1" s="3"/>
      <c r="LHD1" s="3"/>
      <c r="LHE1" s="3"/>
      <c r="LHF1" s="3"/>
      <c r="LHG1" s="3"/>
      <c r="LHH1" s="3"/>
      <c r="LHI1" s="3"/>
      <c r="LHJ1" s="3"/>
      <c r="LHK1" s="3"/>
      <c r="LHL1" s="3"/>
      <c r="LHM1" s="3"/>
      <c r="LHN1" s="3"/>
      <c r="LHO1" s="3"/>
      <c r="LHP1" s="3"/>
      <c r="LHQ1" s="3"/>
      <c r="LHR1" s="3"/>
      <c r="LHS1" s="3"/>
      <c r="LHT1" s="3"/>
      <c r="LHU1" s="3"/>
      <c r="LHV1" s="3"/>
      <c r="LHW1" s="3"/>
      <c r="LHX1" s="3"/>
      <c r="LHY1" s="3"/>
      <c r="LHZ1" s="3"/>
      <c r="LIA1" s="3"/>
      <c r="LIB1" s="3"/>
      <c r="LIC1" s="3"/>
      <c r="LID1" s="3"/>
      <c r="LIE1" s="3"/>
      <c r="LIF1" s="3"/>
      <c r="LIG1" s="3"/>
      <c r="LIH1" s="3"/>
      <c r="LII1" s="3"/>
      <c r="LIJ1" s="3"/>
      <c r="LIK1" s="3"/>
      <c r="LIL1" s="3"/>
      <c r="LIM1" s="3"/>
      <c r="LIN1" s="3"/>
      <c r="LIO1" s="3"/>
      <c r="LIP1" s="3"/>
      <c r="LIQ1" s="3"/>
      <c r="LIR1" s="3"/>
      <c r="LIS1" s="3"/>
      <c r="LIT1" s="3"/>
      <c r="LIU1" s="3"/>
      <c r="LIV1" s="3"/>
      <c r="LIW1" s="3"/>
      <c r="LIX1" s="3"/>
      <c r="LIY1" s="3"/>
      <c r="LIZ1" s="3"/>
      <c r="LJA1" s="3"/>
      <c r="LJB1" s="3"/>
      <c r="LJC1" s="3"/>
      <c r="LJD1" s="3"/>
      <c r="LJE1" s="3"/>
      <c r="LJF1" s="3"/>
      <c r="LJG1" s="3"/>
      <c r="LJH1" s="3"/>
      <c r="LJI1" s="3"/>
      <c r="LJJ1" s="3"/>
      <c r="LJK1" s="3"/>
      <c r="LJL1" s="3"/>
      <c r="LJM1" s="3"/>
      <c r="LJN1" s="3"/>
      <c r="LJO1" s="3"/>
      <c r="LJP1" s="3"/>
      <c r="LJQ1" s="3"/>
      <c r="LJR1" s="3"/>
      <c r="LJS1" s="3"/>
      <c r="LJT1" s="3"/>
      <c r="LJU1" s="3"/>
      <c r="LJV1" s="3"/>
      <c r="LJW1" s="3"/>
      <c r="LJX1" s="3"/>
      <c r="LJY1" s="3"/>
      <c r="LJZ1" s="3"/>
      <c r="LKA1" s="3"/>
      <c r="LKB1" s="3"/>
      <c r="LKC1" s="3"/>
      <c r="LKD1" s="3"/>
      <c r="LKE1" s="3"/>
      <c r="LKF1" s="3"/>
      <c r="LKG1" s="3"/>
      <c r="LKH1" s="3"/>
      <c r="LKI1" s="3"/>
      <c r="LKJ1" s="3"/>
      <c r="LKK1" s="3"/>
      <c r="LKL1" s="3"/>
      <c r="LKM1" s="3"/>
      <c r="LKN1" s="3"/>
      <c r="LKO1" s="3"/>
      <c r="LKP1" s="3"/>
      <c r="LKQ1" s="3"/>
      <c r="LKR1" s="3"/>
      <c r="LKS1" s="3"/>
      <c r="LKT1" s="3"/>
      <c r="LKU1" s="3"/>
      <c r="LKV1" s="3"/>
      <c r="LKW1" s="3"/>
      <c r="LKX1" s="3"/>
      <c r="LKY1" s="3"/>
      <c r="LKZ1" s="3"/>
      <c r="LLA1" s="3"/>
      <c r="LLB1" s="3"/>
      <c r="LLC1" s="3"/>
      <c r="LLD1" s="3"/>
      <c r="LLE1" s="3"/>
      <c r="LLF1" s="3"/>
      <c r="LLG1" s="3"/>
      <c r="LLH1" s="3"/>
      <c r="LLI1" s="3"/>
      <c r="LLJ1" s="3"/>
      <c r="LLK1" s="3"/>
      <c r="LLL1" s="3"/>
      <c r="LLM1" s="3"/>
      <c r="LLN1" s="3"/>
      <c r="LLO1" s="3"/>
      <c r="LLP1" s="3"/>
      <c r="LLQ1" s="3"/>
      <c r="LLR1" s="3"/>
      <c r="LLS1" s="3"/>
      <c r="LLT1" s="3"/>
      <c r="LLU1" s="3"/>
      <c r="LLV1" s="3"/>
      <c r="LLW1" s="3"/>
      <c r="LLX1" s="3"/>
      <c r="LLY1" s="3"/>
      <c r="LLZ1" s="3"/>
      <c r="LMA1" s="3"/>
      <c r="LMB1" s="3"/>
      <c r="LMC1" s="3"/>
      <c r="LMD1" s="3"/>
      <c r="LME1" s="3"/>
      <c r="LMF1" s="3"/>
      <c r="LMG1" s="3"/>
      <c r="LMH1" s="3"/>
      <c r="LMI1" s="3"/>
      <c r="LMJ1" s="3"/>
      <c r="LMK1" s="3"/>
      <c r="LML1" s="3"/>
      <c r="LMM1" s="3"/>
      <c r="LMN1" s="3"/>
      <c r="LMO1" s="3"/>
      <c r="LMP1" s="3"/>
      <c r="LMQ1" s="3"/>
      <c r="LMR1" s="3"/>
      <c r="LMS1" s="3"/>
      <c r="LMT1" s="3"/>
      <c r="LMU1" s="3"/>
      <c r="LMV1" s="3"/>
      <c r="LMW1" s="3"/>
      <c r="LMX1" s="3"/>
      <c r="LMY1" s="3"/>
      <c r="LMZ1" s="3"/>
      <c r="LNA1" s="3"/>
      <c r="LNB1" s="3"/>
      <c r="LNC1" s="3"/>
      <c r="LND1" s="3"/>
      <c r="LNE1" s="3"/>
      <c r="LNF1" s="3"/>
      <c r="LNG1" s="3"/>
      <c r="LNH1" s="3"/>
      <c r="LNI1" s="3"/>
      <c r="LNJ1" s="3"/>
      <c r="LNK1" s="3"/>
      <c r="LNL1" s="3"/>
      <c r="LNM1" s="3"/>
      <c r="LNN1" s="3"/>
      <c r="LNO1" s="3"/>
      <c r="LNP1" s="3"/>
      <c r="LNQ1" s="3"/>
      <c r="LNR1" s="3"/>
      <c r="LNS1" s="3"/>
      <c r="LNT1" s="3"/>
      <c r="LNU1" s="3"/>
      <c r="LNV1" s="3"/>
      <c r="LNW1" s="3"/>
      <c r="LNX1" s="3"/>
      <c r="LNY1" s="3"/>
      <c r="LNZ1" s="3"/>
      <c r="LOA1" s="3"/>
      <c r="LOB1" s="3"/>
      <c r="LOC1" s="3"/>
      <c r="LOD1" s="3"/>
      <c r="LOE1" s="3"/>
      <c r="LOF1" s="3"/>
      <c r="LOG1" s="3"/>
      <c r="LOH1" s="3"/>
      <c r="LOI1" s="3"/>
      <c r="LOJ1" s="3"/>
      <c r="LOK1" s="3"/>
      <c r="LOL1" s="3"/>
      <c r="LOM1" s="3"/>
      <c r="LON1" s="3"/>
      <c r="LOO1" s="3"/>
      <c r="LOP1" s="3"/>
      <c r="LOQ1" s="3"/>
      <c r="LOR1" s="3"/>
      <c r="LOS1" s="3"/>
      <c r="LOT1" s="3"/>
      <c r="LOU1" s="3"/>
      <c r="LOV1" s="3"/>
      <c r="LOW1" s="3"/>
      <c r="LOX1" s="3"/>
      <c r="LOY1" s="3"/>
      <c r="LOZ1" s="3"/>
      <c r="LPA1" s="3"/>
      <c r="LPB1" s="3"/>
      <c r="LPC1" s="3"/>
      <c r="LPD1" s="3"/>
      <c r="LPE1" s="3"/>
      <c r="LPF1" s="3"/>
      <c r="LPG1" s="3"/>
      <c r="LPH1" s="3"/>
      <c r="LPI1" s="3"/>
      <c r="LPJ1" s="3"/>
      <c r="LPK1" s="3"/>
      <c r="LPL1" s="3"/>
      <c r="LPM1" s="3"/>
      <c r="LPN1" s="3"/>
      <c r="LPO1" s="3"/>
      <c r="LPP1" s="3"/>
      <c r="LPQ1" s="3"/>
      <c r="LPR1" s="3"/>
      <c r="LPS1" s="3"/>
      <c r="LPT1" s="3"/>
      <c r="LPU1" s="3"/>
      <c r="LPV1" s="3"/>
      <c r="LPW1" s="3"/>
      <c r="LPX1" s="3"/>
      <c r="LPY1" s="3"/>
      <c r="LPZ1" s="3"/>
      <c r="LQA1" s="3"/>
      <c r="LQB1" s="3"/>
      <c r="LQC1" s="3"/>
      <c r="LQD1" s="3"/>
      <c r="LQE1" s="3"/>
      <c r="LQF1" s="3"/>
      <c r="LQG1" s="3"/>
      <c r="LQH1" s="3"/>
      <c r="LQI1" s="3"/>
      <c r="LQJ1" s="3"/>
      <c r="LQK1" s="3"/>
      <c r="LQL1" s="3"/>
      <c r="LQM1" s="3"/>
      <c r="LQN1" s="3"/>
      <c r="LQO1" s="3"/>
      <c r="LQP1" s="3"/>
      <c r="LQQ1" s="3"/>
      <c r="LQR1" s="3"/>
      <c r="LQS1" s="3"/>
      <c r="LQT1" s="3"/>
      <c r="LQU1" s="3"/>
      <c r="LQV1" s="3"/>
      <c r="LQW1" s="3"/>
      <c r="LQX1" s="3"/>
      <c r="LQY1" s="3"/>
      <c r="LQZ1" s="3"/>
      <c r="LRA1" s="3"/>
      <c r="LRB1" s="3"/>
      <c r="LRC1" s="3"/>
      <c r="LRD1" s="3"/>
      <c r="LRE1" s="3"/>
      <c r="LRF1" s="3"/>
      <c r="LRG1" s="3"/>
      <c r="LRH1" s="3"/>
      <c r="LRI1" s="3"/>
      <c r="LRJ1" s="3"/>
      <c r="LRK1" s="3"/>
      <c r="LRL1" s="3"/>
      <c r="LRM1" s="3"/>
      <c r="LRN1" s="3"/>
      <c r="LRO1" s="3"/>
      <c r="LRP1" s="3"/>
      <c r="LRQ1" s="3"/>
      <c r="LRR1" s="3"/>
      <c r="LRS1" s="3"/>
      <c r="LRT1" s="3"/>
      <c r="LRU1" s="3"/>
      <c r="LRV1" s="3"/>
      <c r="LRW1" s="3"/>
      <c r="LRX1" s="3"/>
      <c r="LRY1" s="3"/>
      <c r="LRZ1" s="3"/>
      <c r="LSA1" s="3"/>
      <c r="LSB1" s="3"/>
      <c r="LSC1" s="3"/>
      <c r="LSD1" s="3"/>
      <c r="LSE1" s="3"/>
      <c r="LSF1" s="3"/>
      <c r="LSG1" s="3"/>
      <c r="LSH1" s="3"/>
      <c r="LSI1" s="3"/>
      <c r="LSJ1" s="3"/>
      <c r="LSK1" s="3"/>
      <c r="LSL1" s="3"/>
      <c r="LSM1" s="3"/>
      <c r="LSN1" s="3"/>
      <c r="LSO1" s="3"/>
      <c r="LSP1" s="3"/>
      <c r="LSQ1" s="3"/>
      <c r="LSR1" s="3"/>
      <c r="LSS1" s="3"/>
      <c r="LST1" s="3"/>
      <c r="LSU1" s="3"/>
      <c r="LSV1" s="3"/>
      <c r="LSW1" s="3"/>
      <c r="LSX1" s="3"/>
      <c r="LSY1" s="3"/>
      <c r="LSZ1" s="3"/>
      <c r="LTA1" s="3"/>
      <c r="LTB1" s="3"/>
      <c r="LTC1" s="3"/>
      <c r="LTD1" s="3"/>
      <c r="LTE1" s="3"/>
      <c r="LTF1" s="3"/>
      <c r="LTG1" s="3"/>
      <c r="LTH1" s="3"/>
      <c r="LTI1" s="3"/>
      <c r="LTJ1" s="3"/>
      <c r="LTK1" s="3"/>
      <c r="LTL1" s="3"/>
      <c r="LTM1" s="3"/>
      <c r="LTN1" s="3"/>
      <c r="LTO1" s="3"/>
      <c r="LTP1" s="3"/>
      <c r="LTQ1" s="3"/>
      <c r="LTR1" s="3"/>
      <c r="LTS1" s="3"/>
      <c r="LTT1" s="3"/>
      <c r="LTU1" s="3"/>
      <c r="LTV1" s="3"/>
      <c r="LTW1" s="3"/>
      <c r="LTX1" s="3"/>
      <c r="LTY1" s="3"/>
      <c r="LTZ1" s="3"/>
      <c r="LUA1" s="3"/>
      <c r="LUB1" s="3"/>
      <c r="LUC1" s="3"/>
      <c r="LUD1" s="3"/>
      <c r="LUE1" s="3"/>
      <c r="LUF1" s="3"/>
      <c r="LUG1" s="3"/>
      <c r="LUH1" s="3"/>
      <c r="LUI1" s="3"/>
      <c r="LUJ1" s="3"/>
      <c r="LUK1" s="3"/>
      <c r="LUL1" s="3"/>
      <c r="LUM1" s="3"/>
      <c r="LUN1" s="3"/>
      <c r="LUO1" s="3"/>
      <c r="LUP1" s="3"/>
      <c r="LUQ1" s="3"/>
      <c r="LUR1" s="3"/>
      <c r="LUS1" s="3"/>
      <c r="LUT1" s="3"/>
      <c r="LUU1" s="3"/>
      <c r="LUV1" s="3"/>
      <c r="LUW1" s="3"/>
      <c r="LUX1" s="3"/>
      <c r="LUY1" s="3"/>
      <c r="LUZ1" s="3"/>
      <c r="LVA1" s="3"/>
      <c r="LVB1" s="3"/>
      <c r="LVC1" s="3"/>
      <c r="LVD1" s="3"/>
      <c r="LVE1" s="3"/>
      <c r="LVF1" s="3"/>
      <c r="LVG1" s="3"/>
      <c r="LVH1" s="3"/>
      <c r="LVI1" s="3"/>
      <c r="LVJ1" s="3"/>
      <c r="LVK1" s="3"/>
      <c r="LVL1" s="3"/>
      <c r="LVM1" s="3"/>
      <c r="LVN1" s="3"/>
      <c r="LVO1" s="3"/>
      <c r="LVP1" s="3"/>
      <c r="LVQ1" s="3"/>
      <c r="LVR1" s="3"/>
      <c r="LVS1" s="3"/>
      <c r="LVT1" s="3"/>
      <c r="LVU1" s="3"/>
      <c r="LVV1" s="3"/>
      <c r="LVW1" s="3"/>
      <c r="LVX1" s="3"/>
      <c r="LVY1" s="3"/>
      <c r="LVZ1" s="3"/>
      <c r="LWA1" s="3"/>
      <c r="LWB1" s="3"/>
      <c r="LWC1" s="3"/>
      <c r="LWD1" s="3"/>
      <c r="LWE1" s="3"/>
      <c r="LWF1" s="3"/>
      <c r="LWG1" s="3"/>
      <c r="LWH1" s="3"/>
      <c r="LWI1" s="3"/>
      <c r="LWJ1" s="3"/>
      <c r="LWK1" s="3"/>
      <c r="LWL1" s="3"/>
      <c r="LWM1" s="3"/>
      <c r="LWN1" s="3"/>
      <c r="LWO1" s="3"/>
      <c r="LWP1" s="3"/>
      <c r="LWQ1" s="3"/>
      <c r="LWR1" s="3"/>
      <c r="LWS1" s="3"/>
      <c r="LWT1" s="3"/>
      <c r="LWU1" s="3"/>
      <c r="LWV1" s="3"/>
      <c r="LWW1" s="3"/>
      <c r="LWX1" s="3"/>
      <c r="LWY1" s="3"/>
      <c r="LWZ1" s="3"/>
      <c r="LXA1" s="3"/>
      <c r="LXB1" s="3"/>
      <c r="LXC1" s="3"/>
      <c r="LXD1" s="3"/>
      <c r="LXE1" s="3"/>
      <c r="LXF1" s="3"/>
      <c r="LXG1" s="3"/>
      <c r="LXH1" s="3"/>
      <c r="LXI1" s="3"/>
      <c r="LXJ1" s="3"/>
      <c r="LXK1" s="3"/>
      <c r="LXL1" s="3"/>
      <c r="LXM1" s="3"/>
      <c r="LXN1" s="3"/>
      <c r="LXO1" s="3"/>
      <c r="LXP1" s="3"/>
      <c r="LXQ1" s="3"/>
      <c r="LXR1" s="3"/>
      <c r="LXS1" s="3"/>
      <c r="LXT1" s="3"/>
      <c r="LXU1" s="3"/>
      <c r="LXV1" s="3"/>
      <c r="LXW1" s="3"/>
      <c r="LXX1" s="3"/>
      <c r="LXY1" s="3"/>
      <c r="LXZ1" s="3"/>
      <c r="LYA1" s="3"/>
      <c r="LYB1" s="3"/>
      <c r="LYC1" s="3"/>
      <c r="LYD1" s="3"/>
      <c r="LYE1" s="3"/>
      <c r="LYF1" s="3"/>
      <c r="LYG1" s="3"/>
      <c r="LYH1" s="3"/>
      <c r="LYI1" s="3"/>
      <c r="LYJ1" s="3"/>
      <c r="LYK1" s="3"/>
      <c r="LYL1" s="3"/>
      <c r="LYM1" s="3"/>
      <c r="LYN1" s="3"/>
      <c r="LYO1" s="3"/>
      <c r="LYP1" s="3"/>
      <c r="LYQ1" s="3"/>
      <c r="LYR1" s="3"/>
      <c r="LYS1" s="3"/>
      <c r="LYT1" s="3"/>
      <c r="LYU1" s="3"/>
      <c r="LYV1" s="3"/>
      <c r="LYW1" s="3"/>
      <c r="LYX1" s="3"/>
      <c r="LYY1" s="3"/>
      <c r="LYZ1" s="3"/>
      <c r="LZA1" s="3"/>
      <c r="LZB1" s="3"/>
      <c r="LZC1" s="3"/>
      <c r="LZD1" s="3"/>
      <c r="LZE1" s="3"/>
      <c r="LZF1" s="3"/>
      <c r="LZG1" s="3"/>
      <c r="LZH1" s="3"/>
      <c r="LZI1" s="3"/>
      <c r="LZJ1" s="3"/>
      <c r="LZK1" s="3"/>
      <c r="LZL1" s="3"/>
      <c r="LZM1" s="3"/>
      <c r="LZN1" s="3"/>
      <c r="LZO1" s="3"/>
      <c r="LZP1" s="3"/>
      <c r="LZQ1" s="3"/>
      <c r="LZR1" s="3"/>
      <c r="LZS1" s="3"/>
      <c r="LZT1" s="3"/>
      <c r="LZU1" s="3"/>
      <c r="LZV1" s="3"/>
      <c r="LZW1" s="3"/>
      <c r="LZX1" s="3"/>
      <c r="LZY1" s="3"/>
      <c r="LZZ1" s="3"/>
      <c r="MAA1" s="3"/>
      <c r="MAB1" s="3"/>
      <c r="MAC1" s="3"/>
      <c r="MAD1" s="3"/>
      <c r="MAE1" s="3"/>
      <c r="MAF1" s="3"/>
      <c r="MAG1" s="3"/>
      <c r="MAH1" s="3"/>
      <c r="MAI1" s="3"/>
      <c r="MAJ1" s="3"/>
      <c r="MAK1" s="3"/>
      <c r="MAL1" s="3"/>
      <c r="MAM1" s="3"/>
      <c r="MAN1" s="3"/>
      <c r="MAO1" s="3"/>
      <c r="MAP1" s="3"/>
      <c r="MAQ1" s="3"/>
      <c r="MAR1" s="3"/>
      <c r="MAS1" s="3"/>
      <c r="MAT1" s="3"/>
      <c r="MAU1" s="3"/>
      <c r="MAV1" s="3"/>
      <c r="MAW1" s="3"/>
      <c r="MAX1" s="3"/>
      <c r="MAY1" s="3"/>
      <c r="MAZ1" s="3"/>
      <c r="MBA1" s="3"/>
      <c r="MBB1" s="3"/>
      <c r="MBC1" s="3"/>
      <c r="MBD1" s="3"/>
      <c r="MBE1" s="3"/>
      <c r="MBF1" s="3"/>
      <c r="MBG1" s="3"/>
      <c r="MBH1" s="3"/>
      <c r="MBI1" s="3"/>
      <c r="MBJ1" s="3"/>
      <c r="MBK1" s="3"/>
      <c r="MBL1" s="3"/>
      <c r="MBM1" s="3"/>
      <c r="MBN1" s="3"/>
      <c r="MBO1" s="3"/>
      <c r="MBP1" s="3"/>
      <c r="MBQ1" s="3"/>
      <c r="MBR1" s="3"/>
      <c r="MBS1" s="3"/>
      <c r="MBT1" s="3"/>
      <c r="MBU1" s="3"/>
      <c r="MBV1" s="3"/>
      <c r="MBW1" s="3"/>
      <c r="MBX1" s="3"/>
      <c r="MBY1" s="3"/>
      <c r="MBZ1" s="3"/>
      <c r="MCA1" s="3"/>
      <c r="MCB1" s="3"/>
      <c r="MCC1" s="3"/>
      <c r="MCD1" s="3"/>
      <c r="MCE1" s="3"/>
      <c r="MCF1" s="3"/>
      <c r="MCG1" s="3"/>
      <c r="MCH1" s="3"/>
      <c r="MCI1" s="3"/>
      <c r="MCJ1" s="3"/>
      <c r="MCK1" s="3"/>
      <c r="MCL1" s="3"/>
      <c r="MCM1" s="3"/>
      <c r="MCN1" s="3"/>
      <c r="MCO1" s="3"/>
      <c r="MCP1" s="3"/>
      <c r="MCQ1" s="3"/>
      <c r="MCR1" s="3"/>
      <c r="MCS1" s="3"/>
      <c r="MCT1" s="3"/>
      <c r="MCU1" s="3"/>
      <c r="MCV1" s="3"/>
      <c r="MCW1" s="3"/>
      <c r="MCX1" s="3"/>
      <c r="MCY1" s="3"/>
      <c r="MCZ1" s="3"/>
      <c r="MDA1" s="3"/>
      <c r="MDB1" s="3"/>
      <c r="MDC1" s="3"/>
      <c r="MDD1" s="3"/>
      <c r="MDE1" s="3"/>
      <c r="MDF1" s="3"/>
      <c r="MDG1" s="3"/>
      <c r="MDH1" s="3"/>
      <c r="MDI1" s="3"/>
      <c r="MDJ1" s="3"/>
      <c r="MDK1" s="3"/>
      <c r="MDL1" s="3"/>
      <c r="MDM1" s="3"/>
      <c r="MDN1" s="3"/>
      <c r="MDO1" s="3"/>
      <c r="MDP1" s="3"/>
      <c r="MDQ1" s="3"/>
      <c r="MDR1" s="3"/>
      <c r="MDS1" s="3"/>
      <c r="MDT1" s="3"/>
      <c r="MDU1" s="3"/>
      <c r="MDV1" s="3"/>
      <c r="MDW1" s="3"/>
      <c r="MDX1" s="3"/>
      <c r="MDY1" s="3"/>
      <c r="MDZ1" s="3"/>
      <c r="MEA1" s="3"/>
      <c r="MEB1" s="3"/>
      <c r="MEC1" s="3"/>
      <c r="MED1" s="3"/>
      <c r="MEE1" s="3"/>
      <c r="MEF1" s="3"/>
      <c r="MEG1" s="3"/>
      <c r="MEH1" s="3"/>
      <c r="MEI1" s="3"/>
      <c r="MEJ1" s="3"/>
      <c r="MEK1" s="3"/>
      <c r="MEL1" s="3"/>
      <c r="MEM1" s="3"/>
      <c r="MEN1" s="3"/>
      <c r="MEO1" s="3"/>
      <c r="MEP1" s="3"/>
      <c r="MEQ1" s="3"/>
      <c r="MER1" s="3"/>
      <c r="MES1" s="3"/>
      <c r="MET1" s="3"/>
      <c r="MEU1" s="3"/>
      <c r="MEV1" s="3"/>
      <c r="MEW1" s="3"/>
      <c r="MEX1" s="3"/>
      <c r="MEY1" s="3"/>
      <c r="MEZ1" s="3"/>
      <c r="MFA1" s="3"/>
      <c r="MFB1" s="3"/>
      <c r="MFC1" s="3"/>
      <c r="MFD1" s="3"/>
      <c r="MFE1" s="3"/>
      <c r="MFF1" s="3"/>
      <c r="MFG1" s="3"/>
      <c r="MFH1" s="3"/>
      <c r="MFI1" s="3"/>
      <c r="MFJ1" s="3"/>
      <c r="MFK1" s="3"/>
      <c r="MFL1" s="3"/>
      <c r="MFM1" s="3"/>
      <c r="MFN1" s="3"/>
      <c r="MFO1" s="3"/>
      <c r="MFP1" s="3"/>
      <c r="MFQ1" s="3"/>
      <c r="MFR1" s="3"/>
      <c r="MFS1" s="3"/>
      <c r="MFT1" s="3"/>
      <c r="MFU1" s="3"/>
      <c r="MFV1" s="3"/>
      <c r="MFW1" s="3"/>
      <c r="MFX1" s="3"/>
      <c r="MFY1" s="3"/>
      <c r="MFZ1" s="3"/>
      <c r="MGA1" s="3"/>
      <c r="MGB1" s="3"/>
      <c r="MGC1" s="3"/>
      <c r="MGD1" s="3"/>
      <c r="MGE1" s="3"/>
      <c r="MGF1" s="3"/>
      <c r="MGG1" s="3"/>
      <c r="MGH1" s="3"/>
      <c r="MGI1" s="3"/>
      <c r="MGJ1" s="3"/>
      <c r="MGK1" s="3"/>
      <c r="MGL1" s="3"/>
      <c r="MGM1" s="3"/>
      <c r="MGN1" s="3"/>
      <c r="MGO1" s="3"/>
      <c r="MGP1" s="3"/>
      <c r="MGQ1" s="3"/>
      <c r="MGR1" s="3"/>
      <c r="MGS1" s="3"/>
      <c r="MGT1" s="3"/>
      <c r="MGU1" s="3"/>
      <c r="MGV1" s="3"/>
      <c r="MGW1" s="3"/>
      <c r="MGX1" s="3"/>
      <c r="MGY1" s="3"/>
      <c r="MGZ1" s="3"/>
      <c r="MHA1" s="3"/>
      <c r="MHB1" s="3"/>
      <c r="MHC1" s="3"/>
      <c r="MHD1" s="3"/>
      <c r="MHE1" s="3"/>
      <c r="MHF1" s="3"/>
      <c r="MHG1" s="3"/>
      <c r="MHH1" s="3"/>
      <c r="MHI1" s="3"/>
      <c r="MHJ1" s="3"/>
      <c r="MHK1" s="3"/>
      <c r="MHL1" s="3"/>
      <c r="MHM1" s="3"/>
      <c r="MHN1" s="3"/>
      <c r="MHO1" s="3"/>
      <c r="MHP1" s="3"/>
      <c r="MHQ1" s="3"/>
      <c r="MHR1" s="3"/>
      <c r="MHS1" s="3"/>
      <c r="MHT1" s="3"/>
      <c r="MHU1" s="3"/>
      <c r="MHV1" s="3"/>
      <c r="MHW1" s="3"/>
      <c r="MHX1" s="3"/>
      <c r="MHY1" s="3"/>
      <c r="MHZ1" s="3"/>
      <c r="MIA1" s="3"/>
      <c r="MIB1" s="3"/>
      <c r="MIC1" s="3"/>
      <c r="MID1" s="3"/>
      <c r="MIE1" s="3"/>
      <c r="MIF1" s="3"/>
      <c r="MIG1" s="3"/>
      <c r="MIH1" s="3"/>
      <c r="MII1" s="3"/>
      <c r="MIJ1" s="3"/>
      <c r="MIK1" s="3"/>
      <c r="MIL1" s="3"/>
      <c r="MIM1" s="3"/>
      <c r="MIN1" s="3"/>
      <c r="MIO1" s="3"/>
      <c r="MIP1" s="3"/>
      <c r="MIQ1" s="3"/>
      <c r="MIR1" s="3"/>
      <c r="MIS1" s="3"/>
      <c r="MIT1" s="3"/>
      <c r="MIU1" s="3"/>
      <c r="MIV1" s="3"/>
      <c r="MIW1" s="3"/>
      <c r="MIX1" s="3"/>
      <c r="MIY1" s="3"/>
      <c r="MIZ1" s="3"/>
      <c r="MJA1" s="3"/>
      <c r="MJB1" s="3"/>
      <c r="MJC1" s="3"/>
      <c r="MJD1" s="3"/>
      <c r="MJE1" s="3"/>
      <c r="MJF1" s="3"/>
      <c r="MJG1" s="3"/>
      <c r="MJH1" s="3"/>
      <c r="MJI1" s="3"/>
      <c r="MJJ1" s="3"/>
      <c r="MJK1" s="3"/>
      <c r="MJL1" s="3"/>
      <c r="MJM1" s="3"/>
      <c r="MJN1" s="3"/>
      <c r="MJO1" s="3"/>
      <c r="MJP1" s="3"/>
      <c r="MJQ1" s="3"/>
      <c r="MJR1" s="3"/>
      <c r="MJS1" s="3"/>
      <c r="MJT1" s="3"/>
      <c r="MJU1" s="3"/>
      <c r="MJV1" s="3"/>
      <c r="MJW1" s="3"/>
      <c r="MJX1" s="3"/>
      <c r="MJY1" s="3"/>
      <c r="MJZ1" s="3"/>
      <c r="MKA1" s="3"/>
      <c r="MKB1" s="3"/>
      <c r="MKC1" s="3"/>
      <c r="MKD1" s="3"/>
      <c r="MKE1" s="3"/>
      <c r="MKF1" s="3"/>
      <c r="MKG1" s="3"/>
      <c r="MKH1" s="3"/>
      <c r="MKI1" s="3"/>
      <c r="MKJ1" s="3"/>
      <c r="MKK1" s="3"/>
      <c r="MKL1" s="3"/>
      <c r="MKM1" s="3"/>
      <c r="MKN1" s="3"/>
      <c r="MKO1" s="3"/>
      <c r="MKP1" s="3"/>
      <c r="MKQ1" s="3"/>
      <c r="MKR1" s="3"/>
      <c r="MKS1" s="3"/>
      <c r="MKT1" s="3"/>
      <c r="MKU1" s="3"/>
      <c r="MKV1" s="3"/>
      <c r="MKW1" s="3"/>
      <c r="MKX1" s="3"/>
      <c r="MKY1" s="3"/>
      <c r="MKZ1" s="3"/>
      <c r="MLA1" s="3"/>
      <c r="MLB1" s="3"/>
      <c r="MLC1" s="3"/>
      <c r="MLD1" s="3"/>
      <c r="MLE1" s="3"/>
      <c r="MLF1" s="3"/>
      <c r="MLG1" s="3"/>
      <c r="MLH1" s="3"/>
      <c r="MLI1" s="3"/>
      <c r="MLJ1" s="3"/>
      <c r="MLK1" s="3"/>
      <c r="MLL1" s="3"/>
      <c r="MLM1" s="3"/>
      <c r="MLN1" s="3"/>
      <c r="MLO1" s="3"/>
      <c r="MLP1" s="3"/>
      <c r="MLQ1" s="3"/>
      <c r="MLR1" s="3"/>
      <c r="MLS1" s="3"/>
      <c r="MLT1" s="3"/>
      <c r="MLU1" s="3"/>
      <c r="MLV1" s="3"/>
      <c r="MLW1" s="3"/>
      <c r="MLX1" s="3"/>
      <c r="MLY1" s="3"/>
      <c r="MLZ1" s="3"/>
      <c r="MMA1" s="3"/>
      <c r="MMB1" s="3"/>
      <c r="MMC1" s="3"/>
      <c r="MMD1" s="3"/>
      <c r="MME1" s="3"/>
      <c r="MMF1" s="3"/>
      <c r="MMG1" s="3"/>
      <c r="MMH1" s="3"/>
      <c r="MMI1" s="3"/>
      <c r="MMJ1" s="3"/>
      <c r="MMK1" s="3"/>
      <c r="MML1" s="3"/>
      <c r="MMM1" s="3"/>
      <c r="MMN1" s="3"/>
      <c r="MMO1" s="3"/>
      <c r="MMP1" s="3"/>
      <c r="MMQ1" s="3"/>
      <c r="MMR1" s="3"/>
      <c r="MMS1" s="3"/>
      <c r="MMT1" s="3"/>
      <c r="MMU1" s="3"/>
      <c r="MMV1" s="3"/>
      <c r="MMW1" s="3"/>
      <c r="MMX1" s="3"/>
      <c r="MMY1" s="3"/>
      <c r="MMZ1" s="3"/>
      <c r="MNA1" s="3"/>
      <c r="MNB1" s="3"/>
      <c r="MNC1" s="3"/>
      <c r="MND1" s="3"/>
      <c r="MNE1" s="3"/>
      <c r="MNF1" s="3"/>
      <c r="MNG1" s="3"/>
      <c r="MNH1" s="3"/>
      <c r="MNI1" s="3"/>
      <c r="MNJ1" s="3"/>
      <c r="MNK1" s="3"/>
      <c r="MNL1" s="3"/>
      <c r="MNM1" s="3"/>
      <c r="MNN1" s="3"/>
      <c r="MNO1" s="3"/>
      <c r="MNP1" s="3"/>
      <c r="MNQ1" s="3"/>
      <c r="MNR1" s="3"/>
      <c r="MNS1" s="3"/>
      <c r="MNT1" s="3"/>
      <c r="MNU1" s="3"/>
      <c r="MNV1" s="3"/>
      <c r="MNW1" s="3"/>
      <c r="MNX1" s="3"/>
      <c r="MNY1" s="3"/>
      <c r="MNZ1" s="3"/>
      <c r="MOA1" s="3"/>
      <c r="MOB1" s="3"/>
      <c r="MOC1" s="3"/>
      <c r="MOD1" s="3"/>
      <c r="MOE1" s="3"/>
      <c r="MOF1" s="3"/>
      <c r="MOG1" s="3"/>
      <c r="MOH1" s="3"/>
      <c r="MOI1" s="3"/>
      <c r="MOJ1" s="3"/>
      <c r="MOK1" s="3"/>
      <c r="MOL1" s="3"/>
      <c r="MOM1" s="3"/>
      <c r="MON1" s="3"/>
      <c r="MOO1" s="3"/>
      <c r="MOP1" s="3"/>
      <c r="MOQ1" s="3"/>
      <c r="MOR1" s="3"/>
      <c r="MOS1" s="3"/>
      <c r="MOT1" s="3"/>
      <c r="MOU1" s="3"/>
      <c r="MOV1" s="3"/>
      <c r="MOW1" s="3"/>
      <c r="MOX1" s="3"/>
      <c r="MOY1" s="3"/>
      <c r="MOZ1" s="3"/>
      <c r="MPA1" s="3"/>
      <c r="MPB1" s="3"/>
      <c r="MPC1" s="3"/>
      <c r="MPD1" s="3"/>
      <c r="MPE1" s="3"/>
      <c r="MPF1" s="3"/>
      <c r="MPG1" s="3"/>
      <c r="MPH1" s="3"/>
      <c r="MPI1" s="3"/>
      <c r="MPJ1" s="3"/>
      <c r="MPK1" s="3"/>
      <c r="MPL1" s="3"/>
      <c r="MPM1" s="3"/>
      <c r="MPN1" s="3"/>
      <c r="MPO1" s="3"/>
      <c r="MPP1" s="3"/>
      <c r="MPQ1" s="3"/>
      <c r="MPR1" s="3"/>
      <c r="MPS1" s="3"/>
      <c r="MPT1" s="3"/>
      <c r="MPU1" s="3"/>
      <c r="MPV1" s="3"/>
      <c r="MPW1" s="3"/>
      <c r="MPX1" s="3"/>
      <c r="MPY1" s="3"/>
      <c r="MPZ1" s="3"/>
      <c r="MQA1" s="3"/>
      <c r="MQB1" s="3"/>
      <c r="MQC1" s="3"/>
      <c r="MQD1" s="3"/>
      <c r="MQE1" s="3"/>
      <c r="MQF1" s="3"/>
      <c r="MQG1" s="3"/>
      <c r="MQH1" s="3"/>
      <c r="MQI1" s="3"/>
      <c r="MQJ1" s="3"/>
      <c r="MQK1" s="3"/>
      <c r="MQL1" s="3"/>
      <c r="MQM1" s="3"/>
      <c r="MQN1" s="3"/>
      <c r="MQO1" s="3"/>
      <c r="MQP1" s="3"/>
      <c r="MQQ1" s="3"/>
      <c r="MQR1" s="3"/>
      <c r="MQS1" s="3"/>
      <c r="MQT1" s="3"/>
      <c r="MQU1" s="3"/>
      <c r="MQV1" s="3"/>
      <c r="MQW1" s="3"/>
      <c r="MQX1" s="3"/>
      <c r="MQY1" s="3"/>
      <c r="MQZ1" s="3"/>
      <c r="MRA1" s="3"/>
      <c r="MRB1" s="3"/>
      <c r="MRC1" s="3"/>
      <c r="MRD1" s="3"/>
      <c r="MRE1" s="3"/>
      <c r="MRF1" s="3"/>
      <c r="MRG1" s="3"/>
      <c r="MRH1" s="3"/>
      <c r="MRI1" s="3"/>
      <c r="MRJ1" s="3"/>
      <c r="MRK1" s="3"/>
      <c r="MRL1" s="3"/>
      <c r="MRM1" s="3"/>
      <c r="MRN1" s="3"/>
      <c r="MRO1" s="3"/>
      <c r="MRP1" s="3"/>
      <c r="MRQ1" s="3"/>
      <c r="MRR1" s="3"/>
      <c r="MRS1" s="3"/>
      <c r="MRT1" s="3"/>
      <c r="MRU1" s="3"/>
      <c r="MRV1" s="3"/>
      <c r="MRW1" s="3"/>
      <c r="MRX1" s="3"/>
      <c r="MRY1" s="3"/>
      <c r="MRZ1" s="3"/>
      <c r="MSA1" s="3"/>
      <c r="MSB1" s="3"/>
      <c r="MSC1" s="3"/>
      <c r="MSD1" s="3"/>
      <c r="MSE1" s="3"/>
      <c r="MSF1" s="3"/>
      <c r="MSG1" s="3"/>
      <c r="MSH1" s="3"/>
      <c r="MSI1" s="3"/>
      <c r="MSJ1" s="3"/>
      <c r="MSK1" s="3"/>
      <c r="MSL1" s="3"/>
      <c r="MSM1" s="3"/>
      <c r="MSN1" s="3"/>
      <c r="MSO1" s="3"/>
      <c r="MSP1" s="3"/>
      <c r="MSQ1" s="3"/>
      <c r="MSR1" s="3"/>
      <c r="MSS1" s="3"/>
      <c r="MST1" s="3"/>
      <c r="MSU1" s="3"/>
      <c r="MSV1" s="3"/>
      <c r="MSW1" s="3"/>
      <c r="MSX1" s="3"/>
      <c r="MSY1" s="3"/>
      <c r="MSZ1" s="3"/>
      <c r="MTA1" s="3"/>
      <c r="MTB1" s="3"/>
      <c r="MTC1" s="3"/>
      <c r="MTD1" s="3"/>
      <c r="MTE1" s="3"/>
      <c r="MTF1" s="3"/>
      <c r="MTG1" s="3"/>
      <c r="MTH1" s="3"/>
      <c r="MTI1" s="3"/>
      <c r="MTJ1" s="3"/>
      <c r="MTK1" s="3"/>
      <c r="MTL1" s="3"/>
      <c r="MTM1" s="3"/>
      <c r="MTN1" s="3"/>
      <c r="MTO1" s="3"/>
      <c r="MTP1" s="3"/>
      <c r="MTQ1" s="3"/>
      <c r="MTR1" s="3"/>
      <c r="MTS1" s="3"/>
      <c r="MTT1" s="3"/>
      <c r="MTU1" s="3"/>
      <c r="MTV1" s="3"/>
      <c r="MTW1" s="3"/>
      <c r="MTX1" s="3"/>
      <c r="MTY1" s="3"/>
      <c r="MTZ1" s="3"/>
      <c r="MUA1" s="3"/>
      <c r="MUB1" s="3"/>
      <c r="MUC1" s="3"/>
      <c r="MUD1" s="3"/>
      <c r="MUE1" s="3"/>
      <c r="MUF1" s="3"/>
      <c r="MUG1" s="3"/>
      <c r="MUH1" s="3"/>
      <c r="MUI1" s="3"/>
      <c r="MUJ1" s="3"/>
      <c r="MUK1" s="3"/>
      <c r="MUL1" s="3"/>
      <c r="MUM1" s="3"/>
      <c r="MUN1" s="3"/>
      <c r="MUO1" s="3"/>
      <c r="MUP1" s="3"/>
      <c r="MUQ1" s="3"/>
      <c r="MUR1" s="3"/>
      <c r="MUS1" s="3"/>
      <c r="MUT1" s="3"/>
      <c r="MUU1" s="3"/>
      <c r="MUV1" s="3"/>
      <c r="MUW1" s="3"/>
      <c r="MUX1" s="3"/>
      <c r="MUY1" s="3"/>
      <c r="MUZ1" s="3"/>
      <c r="MVA1" s="3"/>
      <c r="MVB1" s="3"/>
      <c r="MVC1" s="3"/>
      <c r="MVD1" s="3"/>
      <c r="MVE1" s="3"/>
      <c r="MVF1" s="3"/>
      <c r="MVG1" s="3"/>
      <c r="MVH1" s="3"/>
      <c r="MVI1" s="3"/>
      <c r="MVJ1" s="3"/>
      <c r="MVK1" s="3"/>
      <c r="MVL1" s="3"/>
      <c r="MVM1" s="3"/>
      <c r="MVN1" s="3"/>
      <c r="MVO1" s="3"/>
      <c r="MVP1" s="3"/>
      <c r="MVQ1" s="3"/>
      <c r="MVR1" s="3"/>
      <c r="MVS1" s="3"/>
      <c r="MVT1" s="3"/>
      <c r="MVU1" s="3"/>
      <c r="MVV1" s="3"/>
      <c r="MVW1" s="3"/>
      <c r="MVX1" s="3"/>
      <c r="MVY1" s="3"/>
      <c r="MVZ1" s="3"/>
      <c r="MWA1" s="3"/>
      <c r="MWB1" s="3"/>
      <c r="MWC1" s="3"/>
      <c r="MWD1" s="3"/>
      <c r="MWE1" s="3"/>
      <c r="MWF1" s="3"/>
      <c r="MWG1" s="3"/>
      <c r="MWH1" s="3"/>
      <c r="MWI1" s="3"/>
      <c r="MWJ1" s="3"/>
      <c r="MWK1" s="3"/>
      <c r="MWL1" s="3"/>
      <c r="MWM1" s="3"/>
      <c r="MWN1" s="3"/>
      <c r="MWO1" s="3"/>
      <c r="MWP1" s="3"/>
      <c r="MWQ1" s="3"/>
      <c r="MWR1" s="3"/>
      <c r="MWS1" s="3"/>
      <c r="MWT1" s="3"/>
      <c r="MWU1" s="3"/>
      <c r="MWV1" s="3"/>
      <c r="MWW1" s="3"/>
      <c r="MWX1" s="3"/>
      <c r="MWY1" s="3"/>
      <c r="MWZ1" s="3"/>
      <c r="MXA1" s="3"/>
      <c r="MXB1" s="3"/>
      <c r="MXC1" s="3"/>
      <c r="MXD1" s="3"/>
      <c r="MXE1" s="3"/>
      <c r="MXF1" s="3"/>
      <c r="MXG1" s="3"/>
      <c r="MXH1" s="3"/>
      <c r="MXI1" s="3"/>
      <c r="MXJ1" s="3"/>
      <c r="MXK1" s="3"/>
      <c r="MXL1" s="3"/>
      <c r="MXM1" s="3"/>
      <c r="MXN1" s="3"/>
      <c r="MXO1" s="3"/>
      <c r="MXP1" s="3"/>
      <c r="MXQ1" s="3"/>
      <c r="MXR1" s="3"/>
      <c r="MXS1" s="3"/>
      <c r="MXT1" s="3"/>
      <c r="MXU1" s="3"/>
      <c r="MXV1" s="3"/>
      <c r="MXW1" s="3"/>
      <c r="MXX1" s="3"/>
      <c r="MXY1" s="3"/>
      <c r="MXZ1" s="3"/>
      <c r="MYA1" s="3"/>
      <c r="MYB1" s="3"/>
      <c r="MYC1" s="3"/>
      <c r="MYD1" s="3"/>
      <c r="MYE1" s="3"/>
      <c r="MYF1" s="3"/>
      <c r="MYG1" s="3"/>
      <c r="MYH1" s="3"/>
      <c r="MYI1" s="3"/>
      <c r="MYJ1" s="3"/>
      <c r="MYK1" s="3"/>
      <c r="MYL1" s="3"/>
      <c r="MYM1" s="3"/>
      <c r="MYN1" s="3"/>
      <c r="MYO1" s="3"/>
      <c r="MYP1" s="3"/>
      <c r="MYQ1" s="3"/>
      <c r="MYR1" s="3"/>
      <c r="MYS1" s="3"/>
      <c r="MYT1" s="3"/>
      <c r="MYU1" s="3"/>
      <c r="MYV1" s="3"/>
      <c r="MYW1" s="3"/>
      <c r="MYX1" s="3"/>
      <c r="MYY1" s="3"/>
      <c r="MYZ1" s="3"/>
      <c r="MZA1" s="3"/>
      <c r="MZB1" s="3"/>
      <c r="MZC1" s="3"/>
      <c r="MZD1" s="3"/>
      <c r="MZE1" s="3"/>
      <c r="MZF1" s="3"/>
      <c r="MZG1" s="3"/>
      <c r="MZH1" s="3"/>
      <c r="MZI1" s="3"/>
      <c r="MZJ1" s="3"/>
      <c r="MZK1" s="3"/>
      <c r="MZL1" s="3"/>
      <c r="MZM1" s="3"/>
      <c r="MZN1" s="3"/>
      <c r="MZO1" s="3"/>
      <c r="MZP1" s="3"/>
      <c r="MZQ1" s="3"/>
      <c r="MZR1" s="3"/>
      <c r="MZS1" s="3"/>
      <c r="MZT1" s="3"/>
      <c r="MZU1" s="3"/>
      <c r="MZV1" s="3"/>
      <c r="MZW1" s="3"/>
      <c r="MZX1" s="3"/>
      <c r="MZY1" s="3"/>
      <c r="MZZ1" s="3"/>
      <c r="NAA1" s="3"/>
      <c r="NAB1" s="3"/>
      <c r="NAC1" s="3"/>
      <c r="NAD1" s="3"/>
      <c r="NAE1" s="3"/>
      <c r="NAF1" s="3"/>
      <c r="NAG1" s="3"/>
      <c r="NAH1" s="3"/>
      <c r="NAI1" s="3"/>
      <c r="NAJ1" s="3"/>
      <c r="NAK1" s="3"/>
      <c r="NAL1" s="3"/>
      <c r="NAM1" s="3"/>
      <c r="NAN1" s="3"/>
      <c r="NAO1" s="3"/>
      <c r="NAP1" s="3"/>
      <c r="NAQ1" s="3"/>
      <c r="NAR1" s="3"/>
      <c r="NAS1" s="3"/>
      <c r="NAT1" s="3"/>
      <c r="NAU1" s="3"/>
      <c r="NAV1" s="3"/>
      <c r="NAW1" s="3"/>
      <c r="NAX1" s="3"/>
      <c r="NAY1" s="3"/>
      <c r="NAZ1" s="3"/>
      <c r="NBA1" s="3"/>
      <c r="NBB1" s="3"/>
      <c r="NBC1" s="3"/>
      <c r="NBD1" s="3"/>
      <c r="NBE1" s="3"/>
      <c r="NBF1" s="3"/>
      <c r="NBG1" s="3"/>
      <c r="NBH1" s="3"/>
      <c r="NBI1" s="3"/>
      <c r="NBJ1" s="3"/>
      <c r="NBK1" s="3"/>
      <c r="NBL1" s="3"/>
      <c r="NBM1" s="3"/>
      <c r="NBN1" s="3"/>
      <c r="NBO1" s="3"/>
      <c r="NBP1" s="3"/>
      <c r="NBQ1" s="3"/>
      <c r="NBR1" s="3"/>
      <c r="NBS1" s="3"/>
      <c r="NBT1" s="3"/>
      <c r="NBU1" s="3"/>
      <c r="NBV1" s="3"/>
      <c r="NBW1" s="3"/>
      <c r="NBX1" s="3"/>
      <c r="NBY1" s="3"/>
      <c r="NBZ1" s="3"/>
      <c r="NCA1" s="3"/>
      <c r="NCB1" s="3"/>
      <c r="NCC1" s="3"/>
      <c r="NCD1" s="3"/>
      <c r="NCE1" s="3"/>
      <c r="NCF1" s="3"/>
      <c r="NCG1" s="3"/>
      <c r="NCH1" s="3"/>
      <c r="NCI1" s="3"/>
      <c r="NCJ1" s="3"/>
      <c r="NCK1" s="3"/>
      <c r="NCL1" s="3"/>
      <c r="NCM1" s="3"/>
      <c r="NCN1" s="3"/>
      <c r="NCO1" s="3"/>
      <c r="NCP1" s="3"/>
      <c r="NCQ1" s="3"/>
      <c r="NCR1" s="3"/>
      <c r="NCS1" s="3"/>
      <c r="NCT1" s="3"/>
      <c r="NCU1" s="3"/>
      <c r="NCV1" s="3"/>
      <c r="NCW1" s="3"/>
      <c r="NCX1" s="3"/>
      <c r="NCY1" s="3"/>
      <c r="NCZ1" s="3"/>
      <c r="NDA1" s="3"/>
      <c r="NDB1" s="3"/>
      <c r="NDC1" s="3"/>
      <c r="NDD1" s="3"/>
      <c r="NDE1" s="3"/>
      <c r="NDF1" s="3"/>
      <c r="NDG1" s="3"/>
      <c r="NDH1" s="3"/>
      <c r="NDI1" s="3"/>
      <c r="NDJ1" s="3"/>
      <c r="NDK1" s="3"/>
      <c r="NDL1" s="3"/>
      <c r="NDM1" s="3"/>
      <c r="NDN1" s="3"/>
      <c r="NDO1" s="3"/>
      <c r="NDP1" s="3"/>
      <c r="NDQ1" s="3"/>
      <c r="NDR1" s="3"/>
      <c r="NDS1" s="3"/>
      <c r="NDT1" s="3"/>
      <c r="NDU1" s="3"/>
      <c r="NDV1" s="3"/>
      <c r="NDW1" s="3"/>
      <c r="NDX1" s="3"/>
      <c r="NDY1" s="3"/>
      <c r="NDZ1" s="3"/>
      <c r="NEA1" s="3"/>
      <c r="NEB1" s="3"/>
      <c r="NEC1" s="3"/>
      <c r="NED1" s="3"/>
      <c r="NEE1" s="3"/>
      <c r="NEF1" s="3"/>
      <c r="NEG1" s="3"/>
      <c r="NEH1" s="3"/>
      <c r="NEI1" s="3"/>
      <c r="NEJ1" s="3"/>
      <c r="NEK1" s="3"/>
      <c r="NEL1" s="3"/>
      <c r="NEM1" s="3"/>
      <c r="NEN1" s="3"/>
      <c r="NEO1" s="3"/>
      <c r="NEP1" s="3"/>
      <c r="NEQ1" s="3"/>
      <c r="NER1" s="3"/>
      <c r="NES1" s="3"/>
      <c r="NET1" s="3"/>
      <c r="NEU1" s="3"/>
      <c r="NEV1" s="3"/>
      <c r="NEW1" s="3"/>
      <c r="NEX1" s="3"/>
      <c r="NEY1" s="3"/>
      <c r="NEZ1" s="3"/>
      <c r="NFA1" s="3"/>
      <c r="NFB1" s="3"/>
      <c r="NFC1" s="3"/>
      <c r="NFD1" s="3"/>
      <c r="NFE1" s="3"/>
      <c r="NFF1" s="3"/>
      <c r="NFG1" s="3"/>
      <c r="NFH1" s="3"/>
      <c r="NFI1" s="3"/>
      <c r="NFJ1" s="3"/>
      <c r="NFK1" s="3"/>
      <c r="NFL1" s="3"/>
      <c r="NFM1" s="3"/>
      <c r="NFN1" s="3"/>
      <c r="NFO1" s="3"/>
      <c r="NFP1" s="3"/>
      <c r="NFQ1" s="3"/>
      <c r="NFR1" s="3"/>
      <c r="NFS1" s="3"/>
      <c r="NFT1" s="3"/>
      <c r="NFU1" s="3"/>
      <c r="NFV1" s="3"/>
      <c r="NFW1" s="3"/>
      <c r="NFX1" s="3"/>
      <c r="NFY1" s="3"/>
      <c r="NFZ1" s="3"/>
      <c r="NGA1" s="3"/>
      <c r="NGB1" s="3"/>
      <c r="NGC1" s="3"/>
      <c r="NGD1" s="3"/>
      <c r="NGE1" s="3"/>
      <c r="NGF1" s="3"/>
      <c r="NGG1" s="3"/>
      <c r="NGH1" s="3"/>
      <c r="NGI1" s="3"/>
      <c r="NGJ1" s="3"/>
      <c r="NGK1" s="3"/>
      <c r="NGL1" s="3"/>
      <c r="NGM1" s="3"/>
      <c r="NGN1" s="3"/>
      <c r="NGO1" s="3"/>
      <c r="NGP1" s="3"/>
      <c r="NGQ1" s="3"/>
      <c r="NGR1" s="3"/>
      <c r="NGS1" s="3"/>
      <c r="NGT1" s="3"/>
      <c r="NGU1" s="3"/>
      <c r="NGV1" s="3"/>
      <c r="NGW1" s="3"/>
      <c r="NGX1" s="3"/>
      <c r="NGY1" s="3"/>
      <c r="NGZ1" s="3"/>
      <c r="NHA1" s="3"/>
      <c r="NHB1" s="3"/>
      <c r="NHC1" s="3"/>
      <c r="NHD1" s="3"/>
      <c r="NHE1" s="3"/>
      <c r="NHF1" s="3"/>
      <c r="NHG1" s="3"/>
      <c r="NHH1" s="3"/>
      <c r="NHI1" s="3"/>
      <c r="NHJ1" s="3"/>
      <c r="NHK1" s="3"/>
      <c r="NHL1" s="3"/>
      <c r="NHM1" s="3"/>
      <c r="NHN1" s="3"/>
      <c r="NHO1" s="3"/>
      <c r="NHP1" s="3"/>
      <c r="NHQ1" s="3"/>
      <c r="NHR1" s="3"/>
      <c r="NHS1" s="3"/>
      <c r="NHT1" s="3"/>
      <c r="NHU1" s="3"/>
      <c r="NHV1" s="3"/>
      <c r="NHW1" s="3"/>
      <c r="NHX1" s="3"/>
      <c r="NHY1" s="3"/>
      <c r="NHZ1" s="3"/>
      <c r="NIA1" s="3"/>
      <c r="NIB1" s="3"/>
      <c r="NIC1" s="3"/>
      <c r="NID1" s="3"/>
      <c r="NIE1" s="3"/>
      <c r="NIF1" s="3"/>
      <c r="NIG1" s="3"/>
      <c r="NIH1" s="3"/>
      <c r="NII1" s="3"/>
      <c r="NIJ1" s="3"/>
      <c r="NIK1" s="3"/>
      <c r="NIL1" s="3"/>
      <c r="NIM1" s="3"/>
      <c r="NIN1" s="3"/>
      <c r="NIO1" s="3"/>
      <c r="NIP1" s="3"/>
      <c r="NIQ1" s="3"/>
      <c r="NIR1" s="3"/>
      <c r="NIS1" s="3"/>
      <c r="NIT1" s="3"/>
      <c r="NIU1" s="3"/>
      <c r="NIV1" s="3"/>
      <c r="NIW1" s="3"/>
      <c r="NIX1" s="3"/>
      <c r="NIY1" s="3"/>
      <c r="NIZ1" s="3"/>
      <c r="NJA1" s="3"/>
      <c r="NJB1" s="3"/>
      <c r="NJC1" s="3"/>
      <c r="NJD1" s="3"/>
      <c r="NJE1" s="3"/>
      <c r="NJF1" s="3"/>
      <c r="NJG1" s="3"/>
      <c r="NJH1" s="3"/>
      <c r="NJI1" s="3"/>
      <c r="NJJ1" s="3"/>
      <c r="NJK1" s="3"/>
      <c r="NJL1" s="3"/>
      <c r="NJM1" s="3"/>
      <c r="NJN1" s="3"/>
      <c r="NJO1" s="3"/>
      <c r="NJP1" s="3"/>
      <c r="NJQ1" s="3"/>
      <c r="NJR1" s="3"/>
      <c r="NJS1" s="3"/>
      <c r="NJT1" s="3"/>
      <c r="NJU1" s="3"/>
      <c r="NJV1" s="3"/>
      <c r="NJW1" s="3"/>
      <c r="NJX1" s="3"/>
      <c r="NJY1" s="3"/>
      <c r="NJZ1" s="3"/>
      <c r="NKA1" s="3"/>
      <c r="NKB1" s="3"/>
      <c r="NKC1" s="3"/>
      <c r="NKD1" s="3"/>
      <c r="NKE1" s="3"/>
      <c r="NKF1" s="3"/>
      <c r="NKG1" s="3"/>
      <c r="NKH1" s="3"/>
      <c r="NKI1" s="3"/>
      <c r="NKJ1" s="3"/>
      <c r="NKK1" s="3"/>
      <c r="NKL1" s="3"/>
      <c r="NKM1" s="3"/>
      <c r="NKN1" s="3"/>
      <c r="NKO1" s="3"/>
      <c r="NKP1" s="3"/>
      <c r="NKQ1" s="3"/>
      <c r="NKR1" s="3"/>
      <c r="NKS1" s="3"/>
      <c r="NKT1" s="3"/>
      <c r="NKU1" s="3"/>
      <c r="NKV1" s="3"/>
      <c r="NKW1" s="3"/>
      <c r="NKX1" s="3"/>
      <c r="NKY1" s="3"/>
      <c r="NKZ1" s="3"/>
      <c r="NLA1" s="3"/>
      <c r="NLB1" s="3"/>
      <c r="NLC1" s="3"/>
      <c r="NLD1" s="3"/>
      <c r="NLE1" s="3"/>
      <c r="NLF1" s="3"/>
      <c r="NLG1" s="3"/>
      <c r="NLH1" s="3"/>
      <c r="NLI1" s="3"/>
      <c r="NLJ1" s="3"/>
      <c r="NLK1" s="3"/>
      <c r="NLL1" s="3"/>
      <c r="NLM1" s="3"/>
      <c r="NLN1" s="3"/>
      <c r="NLO1" s="3"/>
      <c r="NLP1" s="3"/>
      <c r="NLQ1" s="3"/>
      <c r="NLR1" s="3"/>
      <c r="NLS1" s="3"/>
      <c r="NLT1" s="3"/>
      <c r="NLU1" s="3"/>
      <c r="NLV1" s="3"/>
      <c r="NLW1" s="3"/>
      <c r="NLX1" s="3"/>
      <c r="NLY1" s="3"/>
      <c r="NLZ1" s="3"/>
      <c r="NMA1" s="3"/>
      <c r="NMB1" s="3"/>
      <c r="NMC1" s="3"/>
      <c r="NMD1" s="3"/>
      <c r="NME1" s="3"/>
      <c r="NMF1" s="3"/>
      <c r="NMG1" s="3"/>
      <c r="NMH1" s="3"/>
      <c r="NMI1" s="3"/>
      <c r="NMJ1" s="3"/>
      <c r="NMK1" s="3"/>
      <c r="NML1" s="3"/>
      <c r="NMM1" s="3"/>
      <c r="NMN1" s="3"/>
      <c r="NMO1" s="3"/>
      <c r="NMP1" s="3"/>
      <c r="NMQ1" s="3"/>
      <c r="NMR1" s="3"/>
      <c r="NMS1" s="3"/>
      <c r="NMT1" s="3"/>
      <c r="NMU1" s="3"/>
      <c r="NMV1" s="3"/>
      <c r="NMW1" s="3"/>
      <c r="NMX1" s="3"/>
      <c r="NMY1" s="3"/>
      <c r="NMZ1" s="3"/>
      <c r="NNA1" s="3"/>
      <c r="NNB1" s="3"/>
      <c r="NNC1" s="3"/>
      <c r="NND1" s="3"/>
      <c r="NNE1" s="3"/>
      <c r="NNF1" s="3"/>
      <c r="NNG1" s="3"/>
      <c r="NNH1" s="3"/>
      <c r="NNI1" s="3"/>
      <c r="NNJ1" s="3"/>
      <c r="NNK1" s="3"/>
      <c r="NNL1" s="3"/>
      <c r="NNM1" s="3"/>
      <c r="NNN1" s="3"/>
      <c r="NNO1" s="3"/>
      <c r="NNP1" s="3"/>
      <c r="NNQ1" s="3"/>
      <c r="NNR1" s="3"/>
      <c r="NNS1" s="3"/>
      <c r="NNT1" s="3"/>
      <c r="NNU1" s="3"/>
      <c r="NNV1" s="3"/>
      <c r="NNW1" s="3"/>
      <c r="NNX1" s="3"/>
      <c r="NNY1" s="3"/>
      <c r="NNZ1" s="3"/>
      <c r="NOA1" s="3"/>
      <c r="NOB1" s="3"/>
      <c r="NOC1" s="3"/>
      <c r="NOD1" s="3"/>
      <c r="NOE1" s="3"/>
      <c r="NOF1" s="3"/>
      <c r="NOG1" s="3"/>
      <c r="NOH1" s="3"/>
      <c r="NOI1" s="3"/>
      <c r="NOJ1" s="3"/>
      <c r="NOK1" s="3"/>
      <c r="NOL1" s="3"/>
      <c r="NOM1" s="3"/>
      <c r="NON1" s="3"/>
      <c r="NOO1" s="3"/>
      <c r="NOP1" s="3"/>
      <c r="NOQ1" s="3"/>
      <c r="NOR1" s="3"/>
      <c r="NOS1" s="3"/>
      <c r="NOT1" s="3"/>
      <c r="NOU1" s="3"/>
      <c r="NOV1" s="3"/>
      <c r="NOW1" s="3"/>
      <c r="NOX1" s="3"/>
      <c r="NOY1" s="3"/>
      <c r="NOZ1" s="3"/>
      <c r="NPA1" s="3"/>
      <c r="NPB1" s="3"/>
      <c r="NPC1" s="3"/>
      <c r="NPD1" s="3"/>
      <c r="NPE1" s="3"/>
      <c r="NPF1" s="3"/>
      <c r="NPG1" s="3"/>
      <c r="NPH1" s="3"/>
      <c r="NPI1" s="3"/>
      <c r="NPJ1" s="3"/>
      <c r="NPK1" s="3"/>
      <c r="NPL1" s="3"/>
      <c r="NPM1" s="3"/>
      <c r="NPN1" s="3"/>
      <c r="NPO1" s="3"/>
      <c r="NPP1" s="3"/>
      <c r="NPQ1" s="3"/>
      <c r="NPR1" s="3"/>
      <c r="NPS1" s="3"/>
      <c r="NPT1" s="3"/>
      <c r="NPU1" s="3"/>
      <c r="NPV1" s="3"/>
      <c r="NPW1" s="3"/>
      <c r="NPX1" s="3"/>
      <c r="NPY1" s="3"/>
      <c r="NPZ1" s="3"/>
      <c r="NQA1" s="3"/>
      <c r="NQB1" s="3"/>
      <c r="NQC1" s="3"/>
      <c r="NQD1" s="3"/>
      <c r="NQE1" s="3"/>
      <c r="NQF1" s="3"/>
      <c r="NQG1" s="3"/>
      <c r="NQH1" s="3"/>
      <c r="NQI1" s="3"/>
      <c r="NQJ1" s="3"/>
      <c r="NQK1" s="3"/>
      <c r="NQL1" s="3"/>
      <c r="NQM1" s="3"/>
      <c r="NQN1" s="3"/>
      <c r="NQO1" s="3"/>
      <c r="NQP1" s="3"/>
      <c r="NQQ1" s="3"/>
      <c r="NQR1" s="3"/>
      <c r="NQS1" s="3"/>
      <c r="NQT1" s="3"/>
      <c r="NQU1" s="3"/>
      <c r="NQV1" s="3"/>
      <c r="NQW1" s="3"/>
      <c r="NQX1" s="3"/>
      <c r="NQY1" s="3"/>
      <c r="NQZ1" s="3"/>
      <c r="NRA1" s="3"/>
      <c r="NRB1" s="3"/>
      <c r="NRC1" s="3"/>
      <c r="NRD1" s="3"/>
      <c r="NRE1" s="3"/>
      <c r="NRF1" s="3"/>
      <c r="NRG1" s="3"/>
      <c r="NRH1" s="3"/>
      <c r="NRI1" s="3"/>
      <c r="NRJ1" s="3"/>
      <c r="NRK1" s="3"/>
      <c r="NRL1" s="3"/>
      <c r="NRM1" s="3"/>
      <c r="NRN1" s="3"/>
      <c r="NRO1" s="3"/>
      <c r="NRP1" s="3"/>
      <c r="NRQ1" s="3"/>
      <c r="NRR1" s="3"/>
      <c r="NRS1" s="3"/>
      <c r="NRT1" s="3"/>
      <c r="NRU1" s="3"/>
      <c r="NRV1" s="3"/>
      <c r="NRW1" s="3"/>
      <c r="NRX1" s="3"/>
      <c r="NRY1" s="3"/>
      <c r="NRZ1" s="3"/>
      <c r="NSA1" s="3"/>
      <c r="NSB1" s="3"/>
      <c r="NSC1" s="3"/>
      <c r="NSD1" s="3"/>
      <c r="NSE1" s="3"/>
      <c r="NSF1" s="3"/>
      <c r="NSG1" s="3"/>
      <c r="NSH1" s="3"/>
      <c r="NSI1" s="3"/>
      <c r="NSJ1" s="3"/>
      <c r="NSK1" s="3"/>
      <c r="NSL1" s="3"/>
      <c r="NSM1" s="3"/>
      <c r="NSN1" s="3"/>
      <c r="NSO1" s="3"/>
      <c r="NSP1" s="3"/>
      <c r="NSQ1" s="3"/>
      <c r="NSR1" s="3"/>
      <c r="NSS1" s="3"/>
      <c r="NST1" s="3"/>
      <c r="NSU1" s="3"/>
      <c r="NSV1" s="3"/>
      <c r="NSW1" s="3"/>
      <c r="NSX1" s="3"/>
      <c r="NSY1" s="3"/>
      <c r="NSZ1" s="3"/>
      <c r="NTA1" s="3"/>
      <c r="NTB1" s="3"/>
      <c r="NTC1" s="3"/>
      <c r="NTD1" s="3"/>
      <c r="NTE1" s="3"/>
      <c r="NTF1" s="3"/>
      <c r="NTG1" s="3"/>
      <c r="NTH1" s="3"/>
      <c r="NTI1" s="3"/>
      <c r="NTJ1" s="3"/>
      <c r="NTK1" s="3"/>
      <c r="NTL1" s="3"/>
      <c r="NTM1" s="3"/>
      <c r="NTN1" s="3"/>
      <c r="NTO1" s="3"/>
      <c r="NTP1" s="3"/>
      <c r="NTQ1" s="3"/>
      <c r="NTR1" s="3"/>
      <c r="NTS1" s="3"/>
      <c r="NTT1" s="3"/>
      <c r="NTU1" s="3"/>
      <c r="NTV1" s="3"/>
      <c r="NTW1" s="3"/>
      <c r="NTX1" s="3"/>
      <c r="NTY1" s="3"/>
      <c r="NTZ1" s="3"/>
      <c r="NUA1" s="3"/>
      <c r="NUB1" s="3"/>
      <c r="NUC1" s="3"/>
      <c r="NUD1" s="3"/>
      <c r="NUE1" s="3"/>
      <c r="NUF1" s="3"/>
      <c r="NUG1" s="3"/>
      <c r="NUH1" s="3"/>
      <c r="NUI1" s="3"/>
      <c r="NUJ1" s="3"/>
      <c r="NUK1" s="3"/>
      <c r="NUL1" s="3"/>
      <c r="NUM1" s="3"/>
      <c r="NUN1" s="3"/>
      <c r="NUO1" s="3"/>
      <c r="NUP1" s="3"/>
      <c r="NUQ1" s="3"/>
      <c r="NUR1" s="3"/>
      <c r="NUS1" s="3"/>
      <c r="NUT1" s="3"/>
      <c r="NUU1" s="3"/>
      <c r="NUV1" s="3"/>
      <c r="NUW1" s="3"/>
      <c r="NUX1" s="3"/>
      <c r="NUY1" s="3"/>
      <c r="NUZ1" s="3"/>
      <c r="NVA1" s="3"/>
      <c r="NVB1" s="3"/>
      <c r="NVC1" s="3"/>
      <c r="NVD1" s="3"/>
      <c r="NVE1" s="3"/>
      <c r="NVF1" s="3"/>
      <c r="NVG1" s="3"/>
      <c r="NVH1" s="3"/>
      <c r="NVI1" s="3"/>
      <c r="NVJ1" s="3"/>
      <c r="NVK1" s="3"/>
      <c r="NVL1" s="3"/>
      <c r="NVM1" s="3"/>
      <c r="NVN1" s="3"/>
      <c r="NVO1" s="3"/>
      <c r="NVP1" s="3"/>
      <c r="NVQ1" s="3"/>
      <c r="NVR1" s="3"/>
      <c r="NVS1" s="3"/>
      <c r="NVT1" s="3"/>
      <c r="NVU1" s="3"/>
      <c r="NVV1" s="3"/>
      <c r="NVW1" s="3"/>
      <c r="NVX1" s="3"/>
      <c r="NVY1" s="3"/>
      <c r="NVZ1" s="3"/>
      <c r="NWA1" s="3"/>
      <c r="NWB1" s="3"/>
      <c r="NWC1" s="3"/>
      <c r="NWD1" s="3"/>
      <c r="NWE1" s="3"/>
      <c r="NWF1" s="3"/>
      <c r="NWG1" s="3"/>
      <c r="NWH1" s="3"/>
      <c r="NWI1" s="3"/>
      <c r="NWJ1" s="3"/>
      <c r="NWK1" s="3"/>
      <c r="NWL1" s="3"/>
      <c r="NWM1" s="3"/>
      <c r="NWN1" s="3"/>
      <c r="NWO1" s="3"/>
      <c r="NWP1" s="3"/>
      <c r="NWQ1" s="3"/>
      <c r="NWR1" s="3"/>
      <c r="NWS1" s="3"/>
      <c r="NWT1" s="3"/>
      <c r="NWU1" s="3"/>
      <c r="NWV1" s="3"/>
      <c r="NWW1" s="3"/>
      <c r="NWX1" s="3"/>
      <c r="NWY1" s="3"/>
      <c r="NWZ1" s="3"/>
      <c r="NXA1" s="3"/>
      <c r="NXB1" s="3"/>
      <c r="NXC1" s="3"/>
      <c r="NXD1" s="3"/>
      <c r="NXE1" s="3"/>
      <c r="NXF1" s="3"/>
      <c r="NXG1" s="3"/>
      <c r="NXH1" s="3"/>
      <c r="NXI1" s="3"/>
      <c r="NXJ1" s="3"/>
      <c r="NXK1" s="3"/>
      <c r="NXL1" s="3"/>
      <c r="NXM1" s="3"/>
      <c r="NXN1" s="3"/>
      <c r="NXO1" s="3"/>
      <c r="NXP1" s="3"/>
      <c r="NXQ1" s="3"/>
      <c r="NXR1" s="3"/>
      <c r="NXS1" s="3"/>
      <c r="NXT1" s="3"/>
      <c r="NXU1" s="3"/>
      <c r="NXV1" s="3"/>
      <c r="NXW1" s="3"/>
      <c r="NXX1" s="3"/>
      <c r="NXY1" s="3"/>
      <c r="NXZ1" s="3"/>
      <c r="NYA1" s="3"/>
      <c r="NYB1" s="3"/>
      <c r="NYC1" s="3"/>
      <c r="NYD1" s="3"/>
      <c r="NYE1" s="3"/>
      <c r="NYF1" s="3"/>
      <c r="NYG1" s="3"/>
      <c r="NYH1" s="3"/>
      <c r="NYI1" s="3"/>
      <c r="NYJ1" s="3"/>
      <c r="NYK1" s="3"/>
      <c r="NYL1" s="3"/>
      <c r="NYM1" s="3"/>
      <c r="NYN1" s="3"/>
      <c r="NYO1" s="3"/>
      <c r="NYP1" s="3"/>
      <c r="NYQ1" s="3"/>
      <c r="NYR1" s="3"/>
      <c r="NYS1" s="3"/>
      <c r="NYT1" s="3"/>
      <c r="NYU1" s="3"/>
      <c r="NYV1" s="3"/>
      <c r="NYW1" s="3"/>
      <c r="NYX1" s="3"/>
      <c r="NYY1" s="3"/>
      <c r="NYZ1" s="3"/>
      <c r="NZA1" s="3"/>
      <c r="NZB1" s="3"/>
      <c r="NZC1" s="3"/>
      <c r="NZD1" s="3"/>
      <c r="NZE1" s="3"/>
      <c r="NZF1" s="3"/>
      <c r="NZG1" s="3"/>
      <c r="NZH1" s="3"/>
      <c r="NZI1" s="3"/>
      <c r="NZJ1" s="3"/>
      <c r="NZK1" s="3"/>
      <c r="NZL1" s="3"/>
      <c r="NZM1" s="3"/>
      <c r="NZN1" s="3"/>
      <c r="NZO1" s="3"/>
      <c r="NZP1" s="3"/>
      <c r="NZQ1" s="3"/>
      <c r="NZR1" s="3"/>
      <c r="NZS1" s="3"/>
      <c r="NZT1" s="3"/>
      <c r="NZU1" s="3"/>
      <c r="NZV1" s="3"/>
      <c r="NZW1" s="3"/>
      <c r="NZX1" s="3"/>
      <c r="NZY1" s="3"/>
      <c r="NZZ1" s="3"/>
      <c r="OAA1" s="3"/>
      <c r="OAB1" s="3"/>
      <c r="OAC1" s="3"/>
      <c r="OAD1" s="3"/>
      <c r="OAE1" s="3"/>
      <c r="OAF1" s="3"/>
      <c r="OAG1" s="3"/>
      <c r="OAH1" s="3"/>
      <c r="OAI1" s="3"/>
      <c r="OAJ1" s="3"/>
      <c r="OAK1" s="3"/>
      <c r="OAL1" s="3"/>
      <c r="OAM1" s="3"/>
      <c r="OAN1" s="3"/>
      <c r="OAO1" s="3"/>
      <c r="OAP1" s="3"/>
      <c r="OAQ1" s="3"/>
      <c r="OAR1" s="3"/>
      <c r="OAS1" s="3"/>
      <c r="OAT1" s="3"/>
      <c r="OAU1" s="3"/>
      <c r="OAV1" s="3"/>
      <c r="OAW1" s="3"/>
      <c r="OAX1" s="3"/>
      <c r="OAY1" s="3"/>
      <c r="OAZ1" s="3"/>
      <c r="OBA1" s="3"/>
      <c r="OBB1" s="3"/>
      <c r="OBC1" s="3"/>
      <c r="OBD1" s="3"/>
      <c r="OBE1" s="3"/>
      <c r="OBF1" s="3"/>
      <c r="OBG1" s="3"/>
      <c r="OBH1" s="3"/>
      <c r="OBI1" s="3"/>
      <c r="OBJ1" s="3"/>
      <c r="OBK1" s="3"/>
      <c r="OBL1" s="3"/>
      <c r="OBM1" s="3"/>
      <c r="OBN1" s="3"/>
      <c r="OBO1" s="3"/>
      <c r="OBP1" s="3"/>
      <c r="OBQ1" s="3"/>
      <c r="OBR1" s="3"/>
      <c r="OBS1" s="3"/>
      <c r="OBT1" s="3"/>
      <c r="OBU1" s="3"/>
      <c r="OBV1" s="3"/>
      <c r="OBW1" s="3"/>
      <c r="OBX1" s="3"/>
      <c r="OBY1" s="3"/>
      <c r="OBZ1" s="3"/>
      <c r="OCA1" s="3"/>
      <c r="OCB1" s="3"/>
      <c r="OCC1" s="3"/>
      <c r="OCD1" s="3"/>
      <c r="OCE1" s="3"/>
      <c r="OCF1" s="3"/>
      <c r="OCG1" s="3"/>
      <c r="OCH1" s="3"/>
      <c r="OCI1" s="3"/>
      <c r="OCJ1" s="3"/>
      <c r="OCK1" s="3"/>
      <c r="OCL1" s="3"/>
      <c r="OCM1" s="3"/>
      <c r="OCN1" s="3"/>
      <c r="OCO1" s="3"/>
      <c r="OCP1" s="3"/>
      <c r="OCQ1" s="3"/>
      <c r="OCR1" s="3"/>
      <c r="OCS1" s="3"/>
      <c r="OCT1" s="3"/>
      <c r="OCU1" s="3"/>
      <c r="OCV1" s="3"/>
      <c r="OCW1" s="3"/>
      <c r="OCX1" s="3"/>
      <c r="OCY1" s="3"/>
      <c r="OCZ1" s="3"/>
      <c r="ODA1" s="3"/>
      <c r="ODB1" s="3"/>
      <c r="ODC1" s="3"/>
      <c r="ODD1" s="3"/>
      <c r="ODE1" s="3"/>
      <c r="ODF1" s="3"/>
      <c r="ODG1" s="3"/>
      <c r="ODH1" s="3"/>
      <c r="ODI1" s="3"/>
      <c r="ODJ1" s="3"/>
      <c r="ODK1" s="3"/>
      <c r="ODL1" s="3"/>
      <c r="ODM1" s="3"/>
      <c r="ODN1" s="3"/>
      <c r="ODO1" s="3"/>
      <c r="ODP1" s="3"/>
      <c r="ODQ1" s="3"/>
      <c r="ODR1" s="3"/>
      <c r="ODS1" s="3"/>
      <c r="ODT1" s="3"/>
      <c r="ODU1" s="3"/>
      <c r="ODV1" s="3"/>
      <c r="ODW1" s="3"/>
      <c r="ODX1" s="3"/>
      <c r="ODY1" s="3"/>
      <c r="ODZ1" s="3"/>
      <c r="OEA1" s="3"/>
      <c r="OEB1" s="3"/>
      <c r="OEC1" s="3"/>
      <c r="OED1" s="3"/>
      <c r="OEE1" s="3"/>
      <c r="OEF1" s="3"/>
      <c r="OEG1" s="3"/>
      <c r="OEH1" s="3"/>
      <c r="OEI1" s="3"/>
      <c r="OEJ1" s="3"/>
      <c r="OEK1" s="3"/>
      <c r="OEL1" s="3"/>
      <c r="OEM1" s="3"/>
      <c r="OEN1" s="3"/>
      <c r="OEO1" s="3"/>
      <c r="OEP1" s="3"/>
      <c r="OEQ1" s="3"/>
      <c r="OER1" s="3"/>
      <c r="OES1" s="3"/>
      <c r="OET1" s="3"/>
      <c r="OEU1" s="3"/>
      <c r="OEV1" s="3"/>
      <c r="OEW1" s="3"/>
      <c r="OEX1" s="3"/>
      <c r="OEY1" s="3"/>
      <c r="OEZ1" s="3"/>
      <c r="OFA1" s="3"/>
      <c r="OFB1" s="3"/>
      <c r="OFC1" s="3"/>
      <c r="OFD1" s="3"/>
      <c r="OFE1" s="3"/>
      <c r="OFF1" s="3"/>
      <c r="OFG1" s="3"/>
      <c r="OFH1" s="3"/>
      <c r="OFI1" s="3"/>
      <c r="OFJ1" s="3"/>
      <c r="OFK1" s="3"/>
      <c r="OFL1" s="3"/>
      <c r="OFM1" s="3"/>
      <c r="OFN1" s="3"/>
      <c r="OFO1" s="3"/>
      <c r="OFP1" s="3"/>
      <c r="OFQ1" s="3"/>
      <c r="OFR1" s="3"/>
      <c r="OFS1" s="3"/>
      <c r="OFT1" s="3"/>
      <c r="OFU1" s="3"/>
      <c r="OFV1" s="3"/>
      <c r="OFW1" s="3"/>
      <c r="OFX1" s="3"/>
      <c r="OFY1" s="3"/>
      <c r="OFZ1" s="3"/>
      <c r="OGA1" s="3"/>
      <c r="OGB1" s="3"/>
      <c r="OGC1" s="3"/>
      <c r="OGD1" s="3"/>
      <c r="OGE1" s="3"/>
      <c r="OGF1" s="3"/>
      <c r="OGG1" s="3"/>
      <c r="OGH1" s="3"/>
      <c r="OGI1" s="3"/>
      <c r="OGJ1" s="3"/>
      <c r="OGK1" s="3"/>
      <c r="OGL1" s="3"/>
      <c r="OGM1" s="3"/>
      <c r="OGN1" s="3"/>
      <c r="OGO1" s="3"/>
      <c r="OGP1" s="3"/>
      <c r="OGQ1" s="3"/>
      <c r="OGR1" s="3"/>
      <c r="OGS1" s="3"/>
      <c r="OGT1" s="3"/>
      <c r="OGU1" s="3"/>
      <c r="OGV1" s="3"/>
      <c r="OGW1" s="3"/>
      <c r="OGX1" s="3"/>
      <c r="OGY1" s="3"/>
      <c r="OGZ1" s="3"/>
      <c r="OHA1" s="3"/>
      <c r="OHB1" s="3"/>
      <c r="OHC1" s="3"/>
      <c r="OHD1" s="3"/>
      <c r="OHE1" s="3"/>
      <c r="OHF1" s="3"/>
      <c r="OHG1" s="3"/>
      <c r="OHH1" s="3"/>
      <c r="OHI1" s="3"/>
      <c r="OHJ1" s="3"/>
      <c r="OHK1" s="3"/>
      <c r="OHL1" s="3"/>
      <c r="OHM1" s="3"/>
      <c r="OHN1" s="3"/>
      <c r="OHO1" s="3"/>
      <c r="OHP1" s="3"/>
      <c r="OHQ1" s="3"/>
      <c r="OHR1" s="3"/>
      <c r="OHS1" s="3"/>
      <c r="OHT1" s="3"/>
      <c r="OHU1" s="3"/>
      <c r="OHV1" s="3"/>
      <c r="OHW1" s="3"/>
      <c r="OHX1" s="3"/>
      <c r="OHY1" s="3"/>
      <c r="OHZ1" s="3"/>
      <c r="OIA1" s="3"/>
      <c r="OIB1" s="3"/>
      <c r="OIC1" s="3"/>
      <c r="OID1" s="3"/>
      <c r="OIE1" s="3"/>
      <c r="OIF1" s="3"/>
      <c r="OIG1" s="3"/>
      <c r="OIH1" s="3"/>
      <c r="OII1" s="3"/>
      <c r="OIJ1" s="3"/>
      <c r="OIK1" s="3"/>
      <c r="OIL1" s="3"/>
      <c r="OIM1" s="3"/>
      <c r="OIN1" s="3"/>
      <c r="OIO1" s="3"/>
      <c r="OIP1" s="3"/>
      <c r="OIQ1" s="3"/>
      <c r="OIR1" s="3"/>
      <c r="OIS1" s="3"/>
      <c r="OIT1" s="3"/>
      <c r="OIU1" s="3"/>
      <c r="OIV1" s="3"/>
      <c r="OIW1" s="3"/>
      <c r="OIX1" s="3"/>
      <c r="OIY1" s="3"/>
      <c r="OIZ1" s="3"/>
      <c r="OJA1" s="3"/>
      <c r="OJB1" s="3"/>
      <c r="OJC1" s="3"/>
      <c r="OJD1" s="3"/>
      <c r="OJE1" s="3"/>
      <c r="OJF1" s="3"/>
      <c r="OJG1" s="3"/>
      <c r="OJH1" s="3"/>
      <c r="OJI1" s="3"/>
      <c r="OJJ1" s="3"/>
      <c r="OJK1" s="3"/>
      <c r="OJL1" s="3"/>
      <c r="OJM1" s="3"/>
      <c r="OJN1" s="3"/>
      <c r="OJO1" s="3"/>
      <c r="OJP1" s="3"/>
      <c r="OJQ1" s="3"/>
      <c r="OJR1" s="3"/>
      <c r="OJS1" s="3"/>
      <c r="OJT1" s="3"/>
      <c r="OJU1" s="3"/>
      <c r="OJV1" s="3"/>
      <c r="OJW1" s="3"/>
      <c r="OJX1" s="3"/>
      <c r="OJY1" s="3"/>
      <c r="OJZ1" s="3"/>
      <c r="OKA1" s="3"/>
      <c r="OKB1" s="3"/>
      <c r="OKC1" s="3"/>
      <c r="OKD1" s="3"/>
      <c r="OKE1" s="3"/>
      <c r="OKF1" s="3"/>
      <c r="OKG1" s="3"/>
      <c r="OKH1" s="3"/>
      <c r="OKI1" s="3"/>
      <c r="OKJ1" s="3"/>
      <c r="OKK1" s="3"/>
      <c r="OKL1" s="3"/>
      <c r="OKM1" s="3"/>
      <c r="OKN1" s="3"/>
      <c r="OKO1" s="3"/>
      <c r="OKP1" s="3"/>
      <c r="OKQ1" s="3"/>
      <c r="OKR1" s="3"/>
      <c r="OKS1" s="3"/>
      <c r="OKT1" s="3"/>
      <c r="OKU1" s="3"/>
      <c r="OKV1" s="3"/>
      <c r="OKW1" s="3"/>
      <c r="OKX1" s="3"/>
      <c r="OKY1" s="3"/>
      <c r="OKZ1" s="3"/>
      <c r="OLA1" s="3"/>
      <c r="OLB1" s="3"/>
      <c r="OLC1" s="3"/>
      <c r="OLD1" s="3"/>
      <c r="OLE1" s="3"/>
      <c r="OLF1" s="3"/>
      <c r="OLG1" s="3"/>
      <c r="OLH1" s="3"/>
      <c r="OLI1" s="3"/>
      <c r="OLJ1" s="3"/>
      <c r="OLK1" s="3"/>
      <c r="OLL1" s="3"/>
      <c r="OLM1" s="3"/>
      <c r="OLN1" s="3"/>
      <c r="OLO1" s="3"/>
      <c r="OLP1" s="3"/>
      <c r="OLQ1" s="3"/>
      <c r="OLR1" s="3"/>
      <c r="OLS1" s="3"/>
      <c r="OLT1" s="3"/>
      <c r="OLU1" s="3"/>
      <c r="OLV1" s="3"/>
      <c r="OLW1" s="3"/>
      <c r="OLX1" s="3"/>
      <c r="OLY1" s="3"/>
      <c r="OLZ1" s="3"/>
      <c r="OMA1" s="3"/>
      <c r="OMB1" s="3"/>
      <c r="OMC1" s="3"/>
      <c r="OMD1" s="3"/>
      <c r="OME1" s="3"/>
      <c r="OMF1" s="3"/>
      <c r="OMG1" s="3"/>
      <c r="OMH1" s="3"/>
      <c r="OMI1" s="3"/>
      <c r="OMJ1" s="3"/>
      <c r="OMK1" s="3"/>
      <c r="OML1" s="3"/>
      <c r="OMM1" s="3"/>
      <c r="OMN1" s="3"/>
      <c r="OMO1" s="3"/>
      <c r="OMP1" s="3"/>
      <c r="OMQ1" s="3"/>
      <c r="OMR1" s="3"/>
      <c r="OMS1" s="3"/>
      <c r="OMT1" s="3"/>
      <c r="OMU1" s="3"/>
      <c r="OMV1" s="3"/>
      <c r="OMW1" s="3"/>
      <c r="OMX1" s="3"/>
      <c r="OMY1" s="3"/>
      <c r="OMZ1" s="3"/>
      <c r="ONA1" s="3"/>
      <c r="ONB1" s="3"/>
      <c r="ONC1" s="3"/>
      <c r="OND1" s="3"/>
      <c r="ONE1" s="3"/>
      <c r="ONF1" s="3"/>
      <c r="ONG1" s="3"/>
      <c r="ONH1" s="3"/>
      <c r="ONI1" s="3"/>
      <c r="ONJ1" s="3"/>
      <c r="ONK1" s="3"/>
      <c r="ONL1" s="3"/>
      <c r="ONM1" s="3"/>
      <c r="ONN1" s="3"/>
      <c r="ONO1" s="3"/>
      <c r="ONP1" s="3"/>
      <c r="ONQ1" s="3"/>
      <c r="ONR1" s="3"/>
      <c r="ONS1" s="3"/>
      <c r="ONT1" s="3"/>
      <c r="ONU1" s="3"/>
      <c r="ONV1" s="3"/>
      <c r="ONW1" s="3"/>
      <c r="ONX1" s="3"/>
      <c r="ONY1" s="3"/>
      <c r="ONZ1" s="3"/>
      <c r="OOA1" s="3"/>
      <c r="OOB1" s="3"/>
      <c r="OOC1" s="3"/>
      <c r="OOD1" s="3"/>
      <c r="OOE1" s="3"/>
      <c r="OOF1" s="3"/>
      <c r="OOG1" s="3"/>
      <c r="OOH1" s="3"/>
      <c r="OOI1" s="3"/>
      <c r="OOJ1" s="3"/>
      <c r="OOK1" s="3"/>
      <c r="OOL1" s="3"/>
      <c r="OOM1" s="3"/>
      <c r="OON1" s="3"/>
      <c r="OOO1" s="3"/>
      <c r="OOP1" s="3"/>
      <c r="OOQ1" s="3"/>
      <c r="OOR1" s="3"/>
      <c r="OOS1" s="3"/>
      <c r="OOT1" s="3"/>
      <c r="OOU1" s="3"/>
      <c r="OOV1" s="3"/>
      <c r="OOW1" s="3"/>
      <c r="OOX1" s="3"/>
      <c r="OOY1" s="3"/>
      <c r="OOZ1" s="3"/>
      <c r="OPA1" s="3"/>
      <c r="OPB1" s="3"/>
      <c r="OPC1" s="3"/>
      <c r="OPD1" s="3"/>
      <c r="OPE1" s="3"/>
      <c r="OPF1" s="3"/>
      <c r="OPG1" s="3"/>
      <c r="OPH1" s="3"/>
      <c r="OPI1" s="3"/>
      <c r="OPJ1" s="3"/>
      <c r="OPK1" s="3"/>
      <c r="OPL1" s="3"/>
      <c r="OPM1" s="3"/>
      <c r="OPN1" s="3"/>
      <c r="OPO1" s="3"/>
      <c r="OPP1" s="3"/>
      <c r="OPQ1" s="3"/>
      <c r="OPR1" s="3"/>
      <c r="OPS1" s="3"/>
      <c r="OPT1" s="3"/>
      <c r="OPU1" s="3"/>
      <c r="OPV1" s="3"/>
      <c r="OPW1" s="3"/>
      <c r="OPX1" s="3"/>
      <c r="OPY1" s="3"/>
      <c r="OPZ1" s="3"/>
      <c r="OQA1" s="3"/>
      <c r="OQB1" s="3"/>
      <c r="OQC1" s="3"/>
      <c r="OQD1" s="3"/>
      <c r="OQE1" s="3"/>
      <c r="OQF1" s="3"/>
      <c r="OQG1" s="3"/>
      <c r="OQH1" s="3"/>
      <c r="OQI1" s="3"/>
      <c r="OQJ1" s="3"/>
      <c r="OQK1" s="3"/>
      <c r="OQL1" s="3"/>
      <c r="OQM1" s="3"/>
      <c r="OQN1" s="3"/>
      <c r="OQO1" s="3"/>
      <c r="OQP1" s="3"/>
      <c r="OQQ1" s="3"/>
      <c r="OQR1" s="3"/>
      <c r="OQS1" s="3"/>
      <c r="OQT1" s="3"/>
      <c r="OQU1" s="3"/>
      <c r="OQV1" s="3"/>
      <c r="OQW1" s="3"/>
      <c r="OQX1" s="3"/>
      <c r="OQY1" s="3"/>
      <c r="OQZ1" s="3"/>
      <c r="ORA1" s="3"/>
      <c r="ORB1" s="3"/>
      <c r="ORC1" s="3"/>
      <c r="ORD1" s="3"/>
      <c r="ORE1" s="3"/>
      <c r="ORF1" s="3"/>
      <c r="ORG1" s="3"/>
      <c r="ORH1" s="3"/>
      <c r="ORI1" s="3"/>
      <c r="ORJ1" s="3"/>
      <c r="ORK1" s="3"/>
      <c r="ORL1" s="3"/>
      <c r="ORM1" s="3"/>
      <c r="ORN1" s="3"/>
      <c r="ORO1" s="3"/>
      <c r="ORP1" s="3"/>
      <c r="ORQ1" s="3"/>
      <c r="ORR1" s="3"/>
      <c r="ORS1" s="3"/>
      <c r="ORT1" s="3"/>
      <c r="ORU1" s="3"/>
      <c r="ORV1" s="3"/>
      <c r="ORW1" s="3"/>
      <c r="ORX1" s="3"/>
      <c r="ORY1" s="3"/>
      <c r="ORZ1" s="3"/>
      <c r="OSA1" s="3"/>
      <c r="OSB1" s="3"/>
      <c r="OSC1" s="3"/>
      <c r="OSD1" s="3"/>
      <c r="OSE1" s="3"/>
      <c r="OSF1" s="3"/>
      <c r="OSG1" s="3"/>
      <c r="OSH1" s="3"/>
      <c r="OSI1" s="3"/>
      <c r="OSJ1" s="3"/>
      <c r="OSK1" s="3"/>
      <c r="OSL1" s="3"/>
      <c r="OSM1" s="3"/>
      <c r="OSN1" s="3"/>
      <c r="OSO1" s="3"/>
      <c r="OSP1" s="3"/>
      <c r="OSQ1" s="3"/>
      <c r="OSR1" s="3"/>
      <c r="OSS1" s="3"/>
      <c r="OST1" s="3"/>
      <c r="OSU1" s="3"/>
      <c r="OSV1" s="3"/>
      <c r="OSW1" s="3"/>
      <c r="OSX1" s="3"/>
      <c r="OSY1" s="3"/>
      <c r="OSZ1" s="3"/>
      <c r="OTA1" s="3"/>
      <c r="OTB1" s="3"/>
      <c r="OTC1" s="3"/>
      <c r="OTD1" s="3"/>
      <c r="OTE1" s="3"/>
      <c r="OTF1" s="3"/>
      <c r="OTG1" s="3"/>
      <c r="OTH1" s="3"/>
      <c r="OTI1" s="3"/>
      <c r="OTJ1" s="3"/>
      <c r="OTK1" s="3"/>
      <c r="OTL1" s="3"/>
      <c r="OTM1" s="3"/>
      <c r="OTN1" s="3"/>
      <c r="OTO1" s="3"/>
      <c r="OTP1" s="3"/>
      <c r="OTQ1" s="3"/>
      <c r="OTR1" s="3"/>
      <c r="OTS1" s="3"/>
      <c r="OTT1" s="3"/>
      <c r="OTU1" s="3"/>
      <c r="OTV1" s="3"/>
      <c r="OTW1" s="3"/>
      <c r="OTX1" s="3"/>
      <c r="OTY1" s="3"/>
      <c r="OTZ1" s="3"/>
      <c r="OUA1" s="3"/>
      <c r="OUB1" s="3"/>
      <c r="OUC1" s="3"/>
      <c r="OUD1" s="3"/>
      <c r="OUE1" s="3"/>
      <c r="OUF1" s="3"/>
      <c r="OUG1" s="3"/>
      <c r="OUH1" s="3"/>
      <c r="OUI1" s="3"/>
      <c r="OUJ1" s="3"/>
      <c r="OUK1" s="3"/>
      <c r="OUL1" s="3"/>
      <c r="OUM1" s="3"/>
      <c r="OUN1" s="3"/>
      <c r="OUO1" s="3"/>
      <c r="OUP1" s="3"/>
      <c r="OUQ1" s="3"/>
      <c r="OUR1" s="3"/>
      <c r="OUS1" s="3"/>
      <c r="OUT1" s="3"/>
      <c r="OUU1" s="3"/>
      <c r="OUV1" s="3"/>
      <c r="OUW1" s="3"/>
      <c r="OUX1" s="3"/>
      <c r="OUY1" s="3"/>
      <c r="OUZ1" s="3"/>
      <c r="OVA1" s="3"/>
      <c r="OVB1" s="3"/>
      <c r="OVC1" s="3"/>
      <c r="OVD1" s="3"/>
      <c r="OVE1" s="3"/>
      <c r="OVF1" s="3"/>
      <c r="OVG1" s="3"/>
      <c r="OVH1" s="3"/>
      <c r="OVI1" s="3"/>
      <c r="OVJ1" s="3"/>
      <c r="OVK1" s="3"/>
      <c r="OVL1" s="3"/>
      <c r="OVM1" s="3"/>
      <c r="OVN1" s="3"/>
      <c r="OVO1" s="3"/>
      <c r="OVP1" s="3"/>
      <c r="OVQ1" s="3"/>
      <c r="OVR1" s="3"/>
      <c r="OVS1" s="3"/>
      <c r="OVT1" s="3"/>
      <c r="OVU1" s="3"/>
      <c r="OVV1" s="3"/>
      <c r="OVW1" s="3"/>
      <c r="OVX1" s="3"/>
      <c r="OVY1" s="3"/>
      <c r="OVZ1" s="3"/>
      <c r="OWA1" s="3"/>
      <c r="OWB1" s="3"/>
      <c r="OWC1" s="3"/>
      <c r="OWD1" s="3"/>
      <c r="OWE1" s="3"/>
      <c r="OWF1" s="3"/>
      <c r="OWG1" s="3"/>
      <c r="OWH1" s="3"/>
      <c r="OWI1" s="3"/>
      <c r="OWJ1" s="3"/>
      <c r="OWK1" s="3"/>
      <c r="OWL1" s="3"/>
      <c r="OWM1" s="3"/>
      <c r="OWN1" s="3"/>
      <c r="OWO1" s="3"/>
      <c r="OWP1" s="3"/>
      <c r="OWQ1" s="3"/>
      <c r="OWR1" s="3"/>
      <c r="OWS1" s="3"/>
      <c r="OWT1" s="3"/>
      <c r="OWU1" s="3"/>
      <c r="OWV1" s="3"/>
      <c r="OWW1" s="3"/>
      <c r="OWX1" s="3"/>
      <c r="OWY1" s="3"/>
      <c r="OWZ1" s="3"/>
      <c r="OXA1" s="3"/>
      <c r="OXB1" s="3"/>
      <c r="OXC1" s="3"/>
      <c r="OXD1" s="3"/>
      <c r="OXE1" s="3"/>
      <c r="OXF1" s="3"/>
      <c r="OXG1" s="3"/>
      <c r="OXH1" s="3"/>
      <c r="OXI1" s="3"/>
      <c r="OXJ1" s="3"/>
      <c r="OXK1" s="3"/>
      <c r="OXL1" s="3"/>
      <c r="OXM1" s="3"/>
      <c r="OXN1" s="3"/>
      <c r="OXO1" s="3"/>
      <c r="OXP1" s="3"/>
      <c r="OXQ1" s="3"/>
      <c r="OXR1" s="3"/>
      <c r="OXS1" s="3"/>
      <c r="OXT1" s="3"/>
      <c r="OXU1" s="3"/>
      <c r="OXV1" s="3"/>
      <c r="OXW1" s="3"/>
      <c r="OXX1" s="3"/>
      <c r="OXY1" s="3"/>
      <c r="OXZ1" s="3"/>
      <c r="OYA1" s="3"/>
      <c r="OYB1" s="3"/>
      <c r="OYC1" s="3"/>
      <c r="OYD1" s="3"/>
      <c r="OYE1" s="3"/>
      <c r="OYF1" s="3"/>
      <c r="OYG1" s="3"/>
      <c r="OYH1" s="3"/>
      <c r="OYI1" s="3"/>
      <c r="OYJ1" s="3"/>
      <c r="OYK1" s="3"/>
      <c r="OYL1" s="3"/>
      <c r="OYM1" s="3"/>
      <c r="OYN1" s="3"/>
      <c r="OYO1" s="3"/>
      <c r="OYP1" s="3"/>
      <c r="OYQ1" s="3"/>
      <c r="OYR1" s="3"/>
      <c r="OYS1" s="3"/>
      <c r="OYT1" s="3"/>
      <c r="OYU1" s="3"/>
      <c r="OYV1" s="3"/>
      <c r="OYW1" s="3"/>
      <c r="OYX1" s="3"/>
      <c r="OYY1" s="3"/>
      <c r="OYZ1" s="3"/>
      <c r="OZA1" s="3"/>
      <c r="OZB1" s="3"/>
      <c r="OZC1" s="3"/>
      <c r="OZD1" s="3"/>
      <c r="OZE1" s="3"/>
      <c r="OZF1" s="3"/>
      <c r="OZG1" s="3"/>
      <c r="OZH1" s="3"/>
      <c r="OZI1" s="3"/>
      <c r="OZJ1" s="3"/>
      <c r="OZK1" s="3"/>
      <c r="OZL1" s="3"/>
      <c r="OZM1" s="3"/>
      <c r="OZN1" s="3"/>
      <c r="OZO1" s="3"/>
      <c r="OZP1" s="3"/>
      <c r="OZQ1" s="3"/>
      <c r="OZR1" s="3"/>
      <c r="OZS1" s="3"/>
      <c r="OZT1" s="3"/>
      <c r="OZU1" s="3"/>
      <c r="OZV1" s="3"/>
      <c r="OZW1" s="3"/>
      <c r="OZX1" s="3"/>
      <c r="OZY1" s="3"/>
      <c r="OZZ1" s="3"/>
      <c r="PAA1" s="3"/>
      <c r="PAB1" s="3"/>
      <c r="PAC1" s="3"/>
      <c r="PAD1" s="3"/>
      <c r="PAE1" s="3"/>
      <c r="PAF1" s="3"/>
      <c r="PAG1" s="3"/>
      <c r="PAH1" s="3"/>
      <c r="PAI1" s="3"/>
      <c r="PAJ1" s="3"/>
      <c r="PAK1" s="3"/>
      <c r="PAL1" s="3"/>
      <c r="PAM1" s="3"/>
      <c r="PAN1" s="3"/>
      <c r="PAO1" s="3"/>
      <c r="PAP1" s="3"/>
      <c r="PAQ1" s="3"/>
      <c r="PAR1" s="3"/>
      <c r="PAS1" s="3"/>
      <c r="PAT1" s="3"/>
      <c r="PAU1" s="3"/>
      <c r="PAV1" s="3"/>
      <c r="PAW1" s="3"/>
      <c r="PAX1" s="3"/>
      <c r="PAY1" s="3"/>
      <c r="PAZ1" s="3"/>
      <c r="PBA1" s="3"/>
      <c r="PBB1" s="3"/>
      <c r="PBC1" s="3"/>
      <c r="PBD1" s="3"/>
      <c r="PBE1" s="3"/>
      <c r="PBF1" s="3"/>
      <c r="PBG1" s="3"/>
      <c r="PBH1" s="3"/>
      <c r="PBI1" s="3"/>
      <c r="PBJ1" s="3"/>
      <c r="PBK1" s="3"/>
      <c r="PBL1" s="3"/>
      <c r="PBM1" s="3"/>
      <c r="PBN1" s="3"/>
      <c r="PBO1" s="3"/>
      <c r="PBP1" s="3"/>
      <c r="PBQ1" s="3"/>
      <c r="PBR1" s="3"/>
      <c r="PBS1" s="3"/>
      <c r="PBT1" s="3"/>
      <c r="PBU1" s="3"/>
      <c r="PBV1" s="3"/>
      <c r="PBW1" s="3"/>
      <c r="PBX1" s="3"/>
      <c r="PBY1" s="3"/>
      <c r="PBZ1" s="3"/>
      <c r="PCA1" s="3"/>
      <c r="PCB1" s="3"/>
      <c r="PCC1" s="3"/>
      <c r="PCD1" s="3"/>
      <c r="PCE1" s="3"/>
      <c r="PCF1" s="3"/>
      <c r="PCG1" s="3"/>
      <c r="PCH1" s="3"/>
      <c r="PCI1" s="3"/>
      <c r="PCJ1" s="3"/>
      <c r="PCK1" s="3"/>
      <c r="PCL1" s="3"/>
      <c r="PCM1" s="3"/>
      <c r="PCN1" s="3"/>
      <c r="PCO1" s="3"/>
      <c r="PCP1" s="3"/>
      <c r="PCQ1" s="3"/>
      <c r="PCR1" s="3"/>
      <c r="PCS1" s="3"/>
      <c r="PCT1" s="3"/>
      <c r="PCU1" s="3"/>
      <c r="PCV1" s="3"/>
      <c r="PCW1" s="3"/>
      <c r="PCX1" s="3"/>
      <c r="PCY1" s="3"/>
      <c r="PCZ1" s="3"/>
      <c r="PDA1" s="3"/>
      <c r="PDB1" s="3"/>
      <c r="PDC1" s="3"/>
      <c r="PDD1" s="3"/>
      <c r="PDE1" s="3"/>
      <c r="PDF1" s="3"/>
      <c r="PDG1" s="3"/>
      <c r="PDH1" s="3"/>
      <c r="PDI1" s="3"/>
      <c r="PDJ1" s="3"/>
      <c r="PDK1" s="3"/>
      <c r="PDL1" s="3"/>
      <c r="PDM1" s="3"/>
      <c r="PDN1" s="3"/>
      <c r="PDO1" s="3"/>
      <c r="PDP1" s="3"/>
      <c r="PDQ1" s="3"/>
      <c r="PDR1" s="3"/>
      <c r="PDS1" s="3"/>
      <c r="PDT1" s="3"/>
      <c r="PDU1" s="3"/>
      <c r="PDV1" s="3"/>
      <c r="PDW1" s="3"/>
      <c r="PDX1" s="3"/>
      <c r="PDY1" s="3"/>
      <c r="PDZ1" s="3"/>
      <c r="PEA1" s="3"/>
      <c r="PEB1" s="3"/>
      <c r="PEC1" s="3"/>
      <c r="PED1" s="3"/>
      <c r="PEE1" s="3"/>
      <c r="PEF1" s="3"/>
      <c r="PEG1" s="3"/>
      <c r="PEH1" s="3"/>
      <c r="PEI1" s="3"/>
      <c r="PEJ1" s="3"/>
      <c r="PEK1" s="3"/>
      <c r="PEL1" s="3"/>
      <c r="PEM1" s="3"/>
      <c r="PEN1" s="3"/>
      <c r="PEO1" s="3"/>
      <c r="PEP1" s="3"/>
      <c r="PEQ1" s="3"/>
      <c r="PER1" s="3"/>
      <c r="PES1" s="3"/>
      <c r="PET1" s="3"/>
      <c r="PEU1" s="3"/>
      <c r="PEV1" s="3"/>
      <c r="PEW1" s="3"/>
      <c r="PEX1" s="3"/>
      <c r="PEY1" s="3"/>
      <c r="PEZ1" s="3"/>
      <c r="PFA1" s="3"/>
      <c r="PFB1" s="3"/>
      <c r="PFC1" s="3"/>
      <c r="PFD1" s="3"/>
      <c r="PFE1" s="3"/>
      <c r="PFF1" s="3"/>
      <c r="PFG1" s="3"/>
      <c r="PFH1" s="3"/>
      <c r="PFI1" s="3"/>
      <c r="PFJ1" s="3"/>
      <c r="PFK1" s="3"/>
      <c r="PFL1" s="3"/>
      <c r="PFM1" s="3"/>
      <c r="PFN1" s="3"/>
      <c r="PFO1" s="3"/>
      <c r="PFP1" s="3"/>
      <c r="PFQ1" s="3"/>
      <c r="PFR1" s="3"/>
      <c r="PFS1" s="3"/>
      <c r="PFT1" s="3"/>
      <c r="PFU1" s="3"/>
      <c r="PFV1" s="3"/>
      <c r="PFW1" s="3"/>
      <c r="PFX1" s="3"/>
      <c r="PFY1" s="3"/>
      <c r="PFZ1" s="3"/>
      <c r="PGA1" s="3"/>
      <c r="PGB1" s="3"/>
      <c r="PGC1" s="3"/>
      <c r="PGD1" s="3"/>
      <c r="PGE1" s="3"/>
      <c r="PGF1" s="3"/>
      <c r="PGG1" s="3"/>
      <c r="PGH1" s="3"/>
      <c r="PGI1" s="3"/>
      <c r="PGJ1" s="3"/>
      <c r="PGK1" s="3"/>
      <c r="PGL1" s="3"/>
      <c r="PGM1" s="3"/>
      <c r="PGN1" s="3"/>
      <c r="PGO1" s="3"/>
      <c r="PGP1" s="3"/>
      <c r="PGQ1" s="3"/>
      <c r="PGR1" s="3"/>
      <c r="PGS1" s="3"/>
      <c r="PGT1" s="3"/>
      <c r="PGU1" s="3"/>
      <c r="PGV1" s="3"/>
      <c r="PGW1" s="3"/>
      <c r="PGX1" s="3"/>
      <c r="PGY1" s="3"/>
      <c r="PGZ1" s="3"/>
      <c r="PHA1" s="3"/>
      <c r="PHB1" s="3"/>
      <c r="PHC1" s="3"/>
      <c r="PHD1" s="3"/>
      <c r="PHE1" s="3"/>
      <c r="PHF1" s="3"/>
      <c r="PHG1" s="3"/>
      <c r="PHH1" s="3"/>
      <c r="PHI1" s="3"/>
      <c r="PHJ1" s="3"/>
      <c r="PHK1" s="3"/>
      <c r="PHL1" s="3"/>
      <c r="PHM1" s="3"/>
      <c r="PHN1" s="3"/>
      <c r="PHO1" s="3"/>
      <c r="PHP1" s="3"/>
      <c r="PHQ1" s="3"/>
      <c r="PHR1" s="3"/>
      <c r="PHS1" s="3"/>
      <c r="PHT1" s="3"/>
      <c r="PHU1" s="3"/>
      <c r="PHV1" s="3"/>
      <c r="PHW1" s="3"/>
      <c r="PHX1" s="3"/>
      <c r="PHY1" s="3"/>
      <c r="PHZ1" s="3"/>
      <c r="PIA1" s="3"/>
      <c r="PIB1" s="3"/>
      <c r="PIC1" s="3"/>
      <c r="PID1" s="3"/>
      <c r="PIE1" s="3"/>
      <c r="PIF1" s="3"/>
      <c r="PIG1" s="3"/>
      <c r="PIH1" s="3"/>
      <c r="PII1" s="3"/>
      <c r="PIJ1" s="3"/>
      <c r="PIK1" s="3"/>
      <c r="PIL1" s="3"/>
      <c r="PIM1" s="3"/>
      <c r="PIN1" s="3"/>
      <c r="PIO1" s="3"/>
      <c r="PIP1" s="3"/>
      <c r="PIQ1" s="3"/>
      <c r="PIR1" s="3"/>
      <c r="PIS1" s="3"/>
      <c r="PIT1" s="3"/>
      <c r="PIU1" s="3"/>
      <c r="PIV1" s="3"/>
      <c r="PIW1" s="3"/>
      <c r="PIX1" s="3"/>
      <c r="PIY1" s="3"/>
      <c r="PIZ1" s="3"/>
      <c r="PJA1" s="3"/>
      <c r="PJB1" s="3"/>
      <c r="PJC1" s="3"/>
      <c r="PJD1" s="3"/>
      <c r="PJE1" s="3"/>
      <c r="PJF1" s="3"/>
      <c r="PJG1" s="3"/>
      <c r="PJH1" s="3"/>
      <c r="PJI1" s="3"/>
      <c r="PJJ1" s="3"/>
      <c r="PJK1" s="3"/>
      <c r="PJL1" s="3"/>
      <c r="PJM1" s="3"/>
      <c r="PJN1" s="3"/>
      <c r="PJO1" s="3"/>
      <c r="PJP1" s="3"/>
      <c r="PJQ1" s="3"/>
      <c r="PJR1" s="3"/>
      <c r="PJS1" s="3"/>
      <c r="PJT1" s="3"/>
      <c r="PJU1" s="3"/>
      <c r="PJV1" s="3"/>
      <c r="PJW1" s="3"/>
      <c r="PJX1" s="3"/>
      <c r="PJY1" s="3"/>
      <c r="PJZ1" s="3"/>
      <c r="PKA1" s="3"/>
      <c r="PKB1" s="3"/>
      <c r="PKC1" s="3"/>
      <c r="PKD1" s="3"/>
      <c r="PKE1" s="3"/>
      <c r="PKF1" s="3"/>
      <c r="PKG1" s="3"/>
      <c r="PKH1" s="3"/>
      <c r="PKI1" s="3"/>
      <c r="PKJ1" s="3"/>
      <c r="PKK1" s="3"/>
      <c r="PKL1" s="3"/>
      <c r="PKM1" s="3"/>
      <c r="PKN1" s="3"/>
      <c r="PKO1" s="3"/>
      <c r="PKP1" s="3"/>
      <c r="PKQ1" s="3"/>
      <c r="PKR1" s="3"/>
      <c r="PKS1" s="3"/>
      <c r="PKT1" s="3"/>
      <c r="PKU1" s="3"/>
      <c r="PKV1" s="3"/>
      <c r="PKW1" s="3"/>
      <c r="PKX1" s="3"/>
      <c r="PKY1" s="3"/>
      <c r="PKZ1" s="3"/>
      <c r="PLA1" s="3"/>
      <c r="PLB1" s="3"/>
      <c r="PLC1" s="3"/>
      <c r="PLD1" s="3"/>
      <c r="PLE1" s="3"/>
      <c r="PLF1" s="3"/>
      <c r="PLG1" s="3"/>
      <c r="PLH1" s="3"/>
      <c r="PLI1" s="3"/>
      <c r="PLJ1" s="3"/>
      <c r="PLK1" s="3"/>
      <c r="PLL1" s="3"/>
      <c r="PLM1" s="3"/>
      <c r="PLN1" s="3"/>
      <c r="PLO1" s="3"/>
      <c r="PLP1" s="3"/>
      <c r="PLQ1" s="3"/>
      <c r="PLR1" s="3"/>
      <c r="PLS1" s="3"/>
      <c r="PLT1" s="3"/>
      <c r="PLU1" s="3"/>
      <c r="PLV1" s="3"/>
      <c r="PLW1" s="3"/>
      <c r="PLX1" s="3"/>
      <c r="PLY1" s="3"/>
      <c r="PLZ1" s="3"/>
      <c r="PMA1" s="3"/>
      <c r="PMB1" s="3"/>
      <c r="PMC1" s="3"/>
      <c r="PMD1" s="3"/>
      <c r="PME1" s="3"/>
      <c r="PMF1" s="3"/>
      <c r="PMG1" s="3"/>
      <c r="PMH1" s="3"/>
      <c r="PMI1" s="3"/>
      <c r="PMJ1" s="3"/>
      <c r="PMK1" s="3"/>
      <c r="PML1" s="3"/>
      <c r="PMM1" s="3"/>
      <c r="PMN1" s="3"/>
      <c r="PMO1" s="3"/>
      <c r="PMP1" s="3"/>
      <c r="PMQ1" s="3"/>
      <c r="PMR1" s="3"/>
      <c r="PMS1" s="3"/>
      <c r="PMT1" s="3"/>
      <c r="PMU1" s="3"/>
      <c r="PMV1" s="3"/>
      <c r="PMW1" s="3"/>
      <c r="PMX1" s="3"/>
      <c r="PMY1" s="3"/>
      <c r="PMZ1" s="3"/>
      <c r="PNA1" s="3"/>
      <c r="PNB1" s="3"/>
      <c r="PNC1" s="3"/>
      <c r="PND1" s="3"/>
      <c r="PNE1" s="3"/>
      <c r="PNF1" s="3"/>
      <c r="PNG1" s="3"/>
      <c r="PNH1" s="3"/>
      <c r="PNI1" s="3"/>
      <c r="PNJ1" s="3"/>
      <c r="PNK1" s="3"/>
      <c r="PNL1" s="3"/>
      <c r="PNM1" s="3"/>
      <c r="PNN1" s="3"/>
      <c r="PNO1" s="3"/>
      <c r="PNP1" s="3"/>
      <c r="PNQ1" s="3"/>
      <c r="PNR1" s="3"/>
      <c r="PNS1" s="3"/>
      <c r="PNT1" s="3"/>
      <c r="PNU1" s="3"/>
      <c r="PNV1" s="3"/>
      <c r="PNW1" s="3"/>
      <c r="PNX1" s="3"/>
      <c r="PNY1" s="3"/>
      <c r="PNZ1" s="3"/>
      <c r="POA1" s="3"/>
      <c r="POB1" s="3"/>
      <c r="POC1" s="3"/>
      <c r="POD1" s="3"/>
      <c r="POE1" s="3"/>
      <c r="POF1" s="3"/>
      <c r="POG1" s="3"/>
      <c r="POH1" s="3"/>
      <c r="POI1" s="3"/>
      <c r="POJ1" s="3"/>
      <c r="POK1" s="3"/>
      <c r="POL1" s="3"/>
      <c r="POM1" s="3"/>
      <c r="PON1" s="3"/>
      <c r="POO1" s="3"/>
      <c r="POP1" s="3"/>
      <c r="POQ1" s="3"/>
      <c r="POR1" s="3"/>
      <c r="POS1" s="3"/>
      <c r="POT1" s="3"/>
      <c r="POU1" s="3"/>
      <c r="POV1" s="3"/>
      <c r="POW1" s="3"/>
      <c r="POX1" s="3"/>
      <c r="POY1" s="3"/>
      <c r="POZ1" s="3"/>
      <c r="PPA1" s="3"/>
      <c r="PPB1" s="3"/>
      <c r="PPC1" s="3"/>
      <c r="PPD1" s="3"/>
      <c r="PPE1" s="3"/>
      <c r="PPF1" s="3"/>
      <c r="PPG1" s="3"/>
      <c r="PPH1" s="3"/>
      <c r="PPI1" s="3"/>
      <c r="PPJ1" s="3"/>
      <c r="PPK1" s="3"/>
      <c r="PPL1" s="3"/>
      <c r="PPM1" s="3"/>
      <c r="PPN1" s="3"/>
      <c r="PPO1" s="3"/>
      <c r="PPP1" s="3"/>
      <c r="PPQ1" s="3"/>
      <c r="PPR1" s="3"/>
      <c r="PPS1" s="3"/>
      <c r="PPT1" s="3"/>
      <c r="PPU1" s="3"/>
      <c r="PPV1" s="3"/>
      <c r="PPW1" s="3"/>
      <c r="PPX1" s="3"/>
      <c r="PPY1" s="3"/>
      <c r="PPZ1" s="3"/>
      <c r="PQA1" s="3"/>
      <c r="PQB1" s="3"/>
      <c r="PQC1" s="3"/>
      <c r="PQD1" s="3"/>
      <c r="PQE1" s="3"/>
      <c r="PQF1" s="3"/>
      <c r="PQG1" s="3"/>
      <c r="PQH1" s="3"/>
      <c r="PQI1" s="3"/>
      <c r="PQJ1" s="3"/>
      <c r="PQK1" s="3"/>
      <c r="PQL1" s="3"/>
      <c r="PQM1" s="3"/>
      <c r="PQN1" s="3"/>
      <c r="PQO1" s="3"/>
      <c r="PQP1" s="3"/>
      <c r="PQQ1" s="3"/>
      <c r="PQR1" s="3"/>
      <c r="PQS1" s="3"/>
      <c r="PQT1" s="3"/>
      <c r="PQU1" s="3"/>
      <c r="PQV1" s="3"/>
      <c r="PQW1" s="3"/>
      <c r="PQX1" s="3"/>
      <c r="PQY1" s="3"/>
      <c r="PQZ1" s="3"/>
      <c r="PRA1" s="3"/>
      <c r="PRB1" s="3"/>
      <c r="PRC1" s="3"/>
      <c r="PRD1" s="3"/>
      <c r="PRE1" s="3"/>
      <c r="PRF1" s="3"/>
      <c r="PRG1" s="3"/>
      <c r="PRH1" s="3"/>
      <c r="PRI1" s="3"/>
      <c r="PRJ1" s="3"/>
      <c r="PRK1" s="3"/>
      <c r="PRL1" s="3"/>
      <c r="PRM1" s="3"/>
      <c r="PRN1" s="3"/>
      <c r="PRO1" s="3"/>
      <c r="PRP1" s="3"/>
      <c r="PRQ1" s="3"/>
      <c r="PRR1" s="3"/>
      <c r="PRS1" s="3"/>
      <c r="PRT1" s="3"/>
      <c r="PRU1" s="3"/>
      <c r="PRV1" s="3"/>
      <c r="PRW1" s="3"/>
      <c r="PRX1" s="3"/>
      <c r="PRY1" s="3"/>
      <c r="PRZ1" s="3"/>
      <c r="PSA1" s="3"/>
      <c r="PSB1" s="3"/>
      <c r="PSC1" s="3"/>
      <c r="PSD1" s="3"/>
      <c r="PSE1" s="3"/>
      <c r="PSF1" s="3"/>
      <c r="PSG1" s="3"/>
      <c r="PSH1" s="3"/>
      <c r="PSI1" s="3"/>
      <c r="PSJ1" s="3"/>
      <c r="PSK1" s="3"/>
      <c r="PSL1" s="3"/>
      <c r="PSM1" s="3"/>
      <c r="PSN1" s="3"/>
      <c r="PSO1" s="3"/>
      <c r="PSP1" s="3"/>
      <c r="PSQ1" s="3"/>
      <c r="PSR1" s="3"/>
      <c r="PSS1" s="3"/>
      <c r="PST1" s="3"/>
      <c r="PSU1" s="3"/>
      <c r="PSV1" s="3"/>
      <c r="PSW1" s="3"/>
      <c r="PSX1" s="3"/>
      <c r="PSY1" s="3"/>
      <c r="PSZ1" s="3"/>
      <c r="PTA1" s="3"/>
      <c r="PTB1" s="3"/>
      <c r="PTC1" s="3"/>
      <c r="PTD1" s="3"/>
      <c r="PTE1" s="3"/>
      <c r="PTF1" s="3"/>
      <c r="PTG1" s="3"/>
      <c r="PTH1" s="3"/>
      <c r="PTI1" s="3"/>
      <c r="PTJ1" s="3"/>
      <c r="PTK1" s="3"/>
      <c r="PTL1" s="3"/>
      <c r="PTM1" s="3"/>
      <c r="PTN1" s="3"/>
      <c r="PTO1" s="3"/>
      <c r="PTP1" s="3"/>
      <c r="PTQ1" s="3"/>
      <c r="PTR1" s="3"/>
      <c r="PTS1" s="3"/>
      <c r="PTT1" s="3"/>
      <c r="PTU1" s="3"/>
      <c r="PTV1" s="3"/>
      <c r="PTW1" s="3"/>
      <c r="PTX1" s="3"/>
      <c r="PTY1" s="3"/>
      <c r="PTZ1" s="3"/>
      <c r="PUA1" s="3"/>
      <c r="PUB1" s="3"/>
      <c r="PUC1" s="3"/>
      <c r="PUD1" s="3"/>
      <c r="PUE1" s="3"/>
      <c r="PUF1" s="3"/>
      <c r="PUG1" s="3"/>
      <c r="PUH1" s="3"/>
      <c r="PUI1" s="3"/>
      <c r="PUJ1" s="3"/>
      <c r="PUK1" s="3"/>
      <c r="PUL1" s="3"/>
      <c r="PUM1" s="3"/>
      <c r="PUN1" s="3"/>
      <c r="PUO1" s="3"/>
      <c r="PUP1" s="3"/>
      <c r="PUQ1" s="3"/>
      <c r="PUR1" s="3"/>
      <c r="PUS1" s="3"/>
      <c r="PUT1" s="3"/>
      <c r="PUU1" s="3"/>
      <c r="PUV1" s="3"/>
      <c r="PUW1" s="3"/>
      <c r="PUX1" s="3"/>
      <c r="PUY1" s="3"/>
      <c r="PUZ1" s="3"/>
      <c r="PVA1" s="3"/>
      <c r="PVB1" s="3"/>
      <c r="PVC1" s="3"/>
      <c r="PVD1" s="3"/>
      <c r="PVE1" s="3"/>
      <c r="PVF1" s="3"/>
      <c r="PVG1" s="3"/>
      <c r="PVH1" s="3"/>
      <c r="PVI1" s="3"/>
      <c r="PVJ1" s="3"/>
      <c r="PVK1" s="3"/>
      <c r="PVL1" s="3"/>
      <c r="PVM1" s="3"/>
      <c r="PVN1" s="3"/>
      <c r="PVO1" s="3"/>
      <c r="PVP1" s="3"/>
      <c r="PVQ1" s="3"/>
      <c r="PVR1" s="3"/>
      <c r="PVS1" s="3"/>
      <c r="PVT1" s="3"/>
      <c r="PVU1" s="3"/>
      <c r="PVV1" s="3"/>
      <c r="PVW1" s="3"/>
      <c r="PVX1" s="3"/>
      <c r="PVY1" s="3"/>
      <c r="PVZ1" s="3"/>
      <c r="PWA1" s="3"/>
      <c r="PWB1" s="3"/>
      <c r="PWC1" s="3"/>
      <c r="PWD1" s="3"/>
      <c r="PWE1" s="3"/>
      <c r="PWF1" s="3"/>
      <c r="PWG1" s="3"/>
      <c r="PWH1" s="3"/>
      <c r="PWI1" s="3"/>
      <c r="PWJ1" s="3"/>
      <c r="PWK1" s="3"/>
      <c r="PWL1" s="3"/>
      <c r="PWM1" s="3"/>
      <c r="PWN1" s="3"/>
      <c r="PWO1" s="3"/>
      <c r="PWP1" s="3"/>
      <c r="PWQ1" s="3"/>
      <c r="PWR1" s="3"/>
      <c r="PWS1" s="3"/>
      <c r="PWT1" s="3"/>
      <c r="PWU1" s="3"/>
      <c r="PWV1" s="3"/>
      <c r="PWW1" s="3"/>
      <c r="PWX1" s="3"/>
      <c r="PWY1" s="3"/>
      <c r="PWZ1" s="3"/>
      <c r="PXA1" s="3"/>
      <c r="PXB1" s="3"/>
      <c r="PXC1" s="3"/>
      <c r="PXD1" s="3"/>
      <c r="PXE1" s="3"/>
      <c r="PXF1" s="3"/>
      <c r="PXG1" s="3"/>
      <c r="PXH1" s="3"/>
      <c r="PXI1" s="3"/>
      <c r="PXJ1" s="3"/>
      <c r="PXK1" s="3"/>
      <c r="PXL1" s="3"/>
      <c r="PXM1" s="3"/>
      <c r="PXN1" s="3"/>
      <c r="PXO1" s="3"/>
      <c r="PXP1" s="3"/>
      <c r="PXQ1" s="3"/>
      <c r="PXR1" s="3"/>
      <c r="PXS1" s="3"/>
      <c r="PXT1" s="3"/>
      <c r="PXU1" s="3"/>
      <c r="PXV1" s="3"/>
      <c r="PXW1" s="3"/>
      <c r="PXX1" s="3"/>
      <c r="PXY1" s="3"/>
      <c r="PXZ1" s="3"/>
      <c r="PYA1" s="3"/>
      <c r="PYB1" s="3"/>
      <c r="PYC1" s="3"/>
      <c r="PYD1" s="3"/>
      <c r="PYE1" s="3"/>
      <c r="PYF1" s="3"/>
      <c r="PYG1" s="3"/>
      <c r="PYH1" s="3"/>
      <c r="PYI1" s="3"/>
      <c r="PYJ1" s="3"/>
      <c r="PYK1" s="3"/>
      <c r="PYL1" s="3"/>
      <c r="PYM1" s="3"/>
      <c r="PYN1" s="3"/>
      <c r="PYO1" s="3"/>
      <c r="PYP1" s="3"/>
      <c r="PYQ1" s="3"/>
      <c r="PYR1" s="3"/>
      <c r="PYS1" s="3"/>
      <c r="PYT1" s="3"/>
      <c r="PYU1" s="3"/>
      <c r="PYV1" s="3"/>
      <c r="PYW1" s="3"/>
      <c r="PYX1" s="3"/>
      <c r="PYY1" s="3"/>
      <c r="PYZ1" s="3"/>
      <c r="PZA1" s="3"/>
      <c r="PZB1" s="3"/>
      <c r="PZC1" s="3"/>
      <c r="PZD1" s="3"/>
      <c r="PZE1" s="3"/>
      <c r="PZF1" s="3"/>
      <c r="PZG1" s="3"/>
      <c r="PZH1" s="3"/>
      <c r="PZI1" s="3"/>
      <c r="PZJ1" s="3"/>
      <c r="PZK1" s="3"/>
      <c r="PZL1" s="3"/>
      <c r="PZM1" s="3"/>
      <c r="PZN1" s="3"/>
      <c r="PZO1" s="3"/>
      <c r="PZP1" s="3"/>
      <c r="PZQ1" s="3"/>
      <c r="PZR1" s="3"/>
      <c r="PZS1" s="3"/>
      <c r="PZT1" s="3"/>
      <c r="PZU1" s="3"/>
      <c r="PZV1" s="3"/>
      <c r="PZW1" s="3"/>
      <c r="PZX1" s="3"/>
      <c r="PZY1" s="3"/>
      <c r="PZZ1" s="3"/>
      <c r="QAA1" s="3"/>
      <c r="QAB1" s="3"/>
      <c r="QAC1" s="3"/>
      <c r="QAD1" s="3"/>
      <c r="QAE1" s="3"/>
      <c r="QAF1" s="3"/>
      <c r="QAG1" s="3"/>
      <c r="QAH1" s="3"/>
      <c r="QAI1" s="3"/>
      <c r="QAJ1" s="3"/>
      <c r="QAK1" s="3"/>
      <c r="QAL1" s="3"/>
      <c r="QAM1" s="3"/>
      <c r="QAN1" s="3"/>
      <c r="QAO1" s="3"/>
      <c r="QAP1" s="3"/>
      <c r="QAQ1" s="3"/>
      <c r="QAR1" s="3"/>
      <c r="QAS1" s="3"/>
      <c r="QAT1" s="3"/>
      <c r="QAU1" s="3"/>
      <c r="QAV1" s="3"/>
      <c r="QAW1" s="3"/>
      <c r="QAX1" s="3"/>
      <c r="QAY1" s="3"/>
      <c r="QAZ1" s="3"/>
      <c r="QBA1" s="3"/>
      <c r="QBB1" s="3"/>
      <c r="QBC1" s="3"/>
      <c r="QBD1" s="3"/>
      <c r="QBE1" s="3"/>
      <c r="QBF1" s="3"/>
      <c r="QBG1" s="3"/>
      <c r="QBH1" s="3"/>
      <c r="QBI1" s="3"/>
      <c r="QBJ1" s="3"/>
      <c r="QBK1" s="3"/>
      <c r="QBL1" s="3"/>
      <c r="QBM1" s="3"/>
      <c r="QBN1" s="3"/>
      <c r="QBO1" s="3"/>
      <c r="QBP1" s="3"/>
      <c r="QBQ1" s="3"/>
      <c r="QBR1" s="3"/>
      <c r="QBS1" s="3"/>
      <c r="QBT1" s="3"/>
      <c r="QBU1" s="3"/>
      <c r="QBV1" s="3"/>
      <c r="QBW1" s="3"/>
      <c r="QBX1" s="3"/>
      <c r="QBY1" s="3"/>
      <c r="QBZ1" s="3"/>
      <c r="QCA1" s="3"/>
      <c r="QCB1" s="3"/>
      <c r="QCC1" s="3"/>
      <c r="QCD1" s="3"/>
      <c r="QCE1" s="3"/>
      <c r="QCF1" s="3"/>
      <c r="QCG1" s="3"/>
      <c r="QCH1" s="3"/>
      <c r="QCI1" s="3"/>
      <c r="QCJ1" s="3"/>
      <c r="QCK1" s="3"/>
      <c r="QCL1" s="3"/>
      <c r="QCM1" s="3"/>
      <c r="QCN1" s="3"/>
      <c r="QCO1" s="3"/>
      <c r="QCP1" s="3"/>
      <c r="QCQ1" s="3"/>
      <c r="QCR1" s="3"/>
      <c r="QCS1" s="3"/>
      <c r="QCT1" s="3"/>
      <c r="QCU1" s="3"/>
      <c r="QCV1" s="3"/>
      <c r="QCW1" s="3"/>
      <c r="QCX1" s="3"/>
      <c r="QCY1" s="3"/>
      <c r="QCZ1" s="3"/>
      <c r="QDA1" s="3"/>
      <c r="QDB1" s="3"/>
      <c r="QDC1" s="3"/>
      <c r="QDD1" s="3"/>
      <c r="QDE1" s="3"/>
      <c r="QDF1" s="3"/>
      <c r="QDG1" s="3"/>
      <c r="QDH1" s="3"/>
      <c r="QDI1" s="3"/>
      <c r="QDJ1" s="3"/>
      <c r="QDK1" s="3"/>
      <c r="QDL1" s="3"/>
      <c r="QDM1" s="3"/>
      <c r="QDN1" s="3"/>
      <c r="QDO1" s="3"/>
      <c r="QDP1" s="3"/>
      <c r="QDQ1" s="3"/>
      <c r="QDR1" s="3"/>
      <c r="QDS1" s="3"/>
      <c r="QDT1" s="3"/>
      <c r="QDU1" s="3"/>
      <c r="QDV1" s="3"/>
      <c r="QDW1" s="3"/>
      <c r="QDX1" s="3"/>
      <c r="QDY1" s="3"/>
      <c r="QDZ1" s="3"/>
      <c r="QEA1" s="3"/>
      <c r="QEB1" s="3"/>
      <c r="QEC1" s="3"/>
      <c r="QED1" s="3"/>
      <c r="QEE1" s="3"/>
      <c r="QEF1" s="3"/>
      <c r="QEG1" s="3"/>
      <c r="QEH1" s="3"/>
      <c r="QEI1" s="3"/>
      <c r="QEJ1" s="3"/>
      <c r="QEK1" s="3"/>
      <c r="QEL1" s="3"/>
      <c r="QEM1" s="3"/>
      <c r="QEN1" s="3"/>
      <c r="QEO1" s="3"/>
      <c r="QEP1" s="3"/>
      <c r="QEQ1" s="3"/>
      <c r="QER1" s="3"/>
      <c r="QES1" s="3"/>
      <c r="QET1" s="3"/>
      <c r="QEU1" s="3"/>
      <c r="QEV1" s="3"/>
      <c r="QEW1" s="3"/>
      <c r="QEX1" s="3"/>
      <c r="QEY1" s="3"/>
      <c r="QEZ1" s="3"/>
      <c r="QFA1" s="3"/>
      <c r="QFB1" s="3"/>
      <c r="QFC1" s="3"/>
      <c r="QFD1" s="3"/>
      <c r="QFE1" s="3"/>
      <c r="QFF1" s="3"/>
      <c r="QFG1" s="3"/>
      <c r="QFH1" s="3"/>
      <c r="QFI1" s="3"/>
      <c r="QFJ1" s="3"/>
      <c r="QFK1" s="3"/>
      <c r="QFL1" s="3"/>
      <c r="QFM1" s="3"/>
      <c r="QFN1" s="3"/>
      <c r="QFO1" s="3"/>
      <c r="QFP1" s="3"/>
      <c r="QFQ1" s="3"/>
      <c r="QFR1" s="3"/>
      <c r="QFS1" s="3"/>
      <c r="QFT1" s="3"/>
      <c r="QFU1" s="3"/>
      <c r="QFV1" s="3"/>
      <c r="QFW1" s="3"/>
      <c r="QFX1" s="3"/>
      <c r="QFY1" s="3"/>
      <c r="QFZ1" s="3"/>
      <c r="QGA1" s="3"/>
      <c r="QGB1" s="3"/>
      <c r="QGC1" s="3"/>
      <c r="QGD1" s="3"/>
      <c r="QGE1" s="3"/>
      <c r="QGF1" s="3"/>
      <c r="QGG1" s="3"/>
      <c r="QGH1" s="3"/>
      <c r="QGI1" s="3"/>
      <c r="QGJ1" s="3"/>
      <c r="QGK1" s="3"/>
      <c r="QGL1" s="3"/>
      <c r="QGM1" s="3"/>
      <c r="QGN1" s="3"/>
      <c r="QGO1" s="3"/>
      <c r="QGP1" s="3"/>
      <c r="QGQ1" s="3"/>
      <c r="QGR1" s="3"/>
      <c r="QGS1" s="3"/>
      <c r="QGT1" s="3"/>
      <c r="QGU1" s="3"/>
      <c r="QGV1" s="3"/>
      <c r="QGW1" s="3"/>
      <c r="QGX1" s="3"/>
      <c r="QGY1" s="3"/>
      <c r="QGZ1" s="3"/>
      <c r="QHA1" s="3"/>
      <c r="QHB1" s="3"/>
      <c r="QHC1" s="3"/>
      <c r="QHD1" s="3"/>
      <c r="QHE1" s="3"/>
      <c r="QHF1" s="3"/>
      <c r="QHG1" s="3"/>
      <c r="QHH1" s="3"/>
      <c r="QHI1" s="3"/>
      <c r="QHJ1" s="3"/>
      <c r="QHK1" s="3"/>
      <c r="QHL1" s="3"/>
      <c r="QHM1" s="3"/>
      <c r="QHN1" s="3"/>
      <c r="QHO1" s="3"/>
      <c r="QHP1" s="3"/>
      <c r="QHQ1" s="3"/>
      <c r="QHR1" s="3"/>
      <c r="QHS1" s="3"/>
      <c r="QHT1" s="3"/>
      <c r="QHU1" s="3"/>
      <c r="QHV1" s="3"/>
      <c r="QHW1" s="3"/>
      <c r="QHX1" s="3"/>
      <c r="QHY1" s="3"/>
      <c r="QHZ1" s="3"/>
      <c r="QIA1" s="3"/>
      <c r="QIB1" s="3"/>
      <c r="QIC1" s="3"/>
      <c r="QID1" s="3"/>
      <c r="QIE1" s="3"/>
      <c r="QIF1" s="3"/>
      <c r="QIG1" s="3"/>
      <c r="QIH1" s="3"/>
      <c r="QII1" s="3"/>
      <c r="QIJ1" s="3"/>
      <c r="QIK1" s="3"/>
      <c r="QIL1" s="3"/>
      <c r="QIM1" s="3"/>
      <c r="QIN1" s="3"/>
      <c r="QIO1" s="3"/>
      <c r="QIP1" s="3"/>
      <c r="QIQ1" s="3"/>
      <c r="QIR1" s="3"/>
      <c r="QIS1" s="3"/>
      <c r="QIT1" s="3"/>
      <c r="QIU1" s="3"/>
      <c r="QIV1" s="3"/>
      <c r="QIW1" s="3"/>
      <c r="QIX1" s="3"/>
      <c r="QIY1" s="3"/>
      <c r="QIZ1" s="3"/>
      <c r="QJA1" s="3"/>
      <c r="QJB1" s="3"/>
      <c r="QJC1" s="3"/>
      <c r="QJD1" s="3"/>
      <c r="QJE1" s="3"/>
      <c r="QJF1" s="3"/>
      <c r="QJG1" s="3"/>
      <c r="QJH1" s="3"/>
      <c r="QJI1" s="3"/>
      <c r="QJJ1" s="3"/>
      <c r="QJK1" s="3"/>
      <c r="QJL1" s="3"/>
      <c r="QJM1" s="3"/>
      <c r="QJN1" s="3"/>
      <c r="QJO1" s="3"/>
      <c r="QJP1" s="3"/>
      <c r="QJQ1" s="3"/>
      <c r="QJR1" s="3"/>
      <c r="QJS1" s="3"/>
      <c r="QJT1" s="3"/>
      <c r="QJU1" s="3"/>
      <c r="QJV1" s="3"/>
      <c r="QJW1" s="3"/>
      <c r="QJX1" s="3"/>
      <c r="QJY1" s="3"/>
      <c r="QJZ1" s="3"/>
      <c r="QKA1" s="3"/>
      <c r="QKB1" s="3"/>
      <c r="QKC1" s="3"/>
      <c r="QKD1" s="3"/>
      <c r="QKE1" s="3"/>
      <c r="QKF1" s="3"/>
      <c r="QKG1" s="3"/>
      <c r="QKH1" s="3"/>
      <c r="QKI1" s="3"/>
      <c r="QKJ1" s="3"/>
      <c r="QKK1" s="3"/>
      <c r="QKL1" s="3"/>
      <c r="QKM1" s="3"/>
      <c r="QKN1" s="3"/>
      <c r="QKO1" s="3"/>
      <c r="QKP1" s="3"/>
      <c r="QKQ1" s="3"/>
      <c r="QKR1" s="3"/>
      <c r="QKS1" s="3"/>
      <c r="QKT1" s="3"/>
      <c r="QKU1" s="3"/>
      <c r="QKV1" s="3"/>
      <c r="QKW1" s="3"/>
      <c r="QKX1" s="3"/>
      <c r="QKY1" s="3"/>
      <c r="QKZ1" s="3"/>
      <c r="QLA1" s="3"/>
      <c r="QLB1" s="3"/>
      <c r="QLC1" s="3"/>
      <c r="QLD1" s="3"/>
      <c r="QLE1" s="3"/>
      <c r="QLF1" s="3"/>
      <c r="QLG1" s="3"/>
      <c r="QLH1" s="3"/>
      <c r="QLI1" s="3"/>
      <c r="QLJ1" s="3"/>
      <c r="QLK1" s="3"/>
      <c r="QLL1" s="3"/>
      <c r="QLM1" s="3"/>
      <c r="QLN1" s="3"/>
      <c r="QLO1" s="3"/>
      <c r="QLP1" s="3"/>
      <c r="QLQ1" s="3"/>
      <c r="QLR1" s="3"/>
      <c r="QLS1" s="3"/>
      <c r="QLT1" s="3"/>
      <c r="QLU1" s="3"/>
      <c r="QLV1" s="3"/>
      <c r="QLW1" s="3"/>
      <c r="QLX1" s="3"/>
      <c r="QLY1" s="3"/>
      <c r="QLZ1" s="3"/>
      <c r="QMA1" s="3"/>
      <c r="QMB1" s="3"/>
      <c r="QMC1" s="3"/>
      <c r="QMD1" s="3"/>
      <c r="QME1" s="3"/>
      <c r="QMF1" s="3"/>
      <c r="QMG1" s="3"/>
      <c r="QMH1" s="3"/>
      <c r="QMI1" s="3"/>
      <c r="QMJ1" s="3"/>
      <c r="QMK1" s="3"/>
      <c r="QML1" s="3"/>
      <c r="QMM1" s="3"/>
      <c r="QMN1" s="3"/>
      <c r="QMO1" s="3"/>
      <c r="QMP1" s="3"/>
      <c r="QMQ1" s="3"/>
      <c r="QMR1" s="3"/>
      <c r="QMS1" s="3"/>
      <c r="QMT1" s="3"/>
      <c r="QMU1" s="3"/>
      <c r="QMV1" s="3"/>
      <c r="QMW1" s="3"/>
      <c r="QMX1" s="3"/>
      <c r="QMY1" s="3"/>
      <c r="QMZ1" s="3"/>
      <c r="QNA1" s="3"/>
      <c r="QNB1" s="3"/>
      <c r="QNC1" s="3"/>
      <c r="QND1" s="3"/>
      <c r="QNE1" s="3"/>
      <c r="QNF1" s="3"/>
      <c r="QNG1" s="3"/>
      <c r="QNH1" s="3"/>
      <c r="QNI1" s="3"/>
      <c r="QNJ1" s="3"/>
      <c r="QNK1" s="3"/>
      <c r="QNL1" s="3"/>
      <c r="QNM1" s="3"/>
      <c r="QNN1" s="3"/>
      <c r="QNO1" s="3"/>
      <c r="QNP1" s="3"/>
      <c r="QNQ1" s="3"/>
      <c r="QNR1" s="3"/>
      <c r="QNS1" s="3"/>
      <c r="QNT1" s="3"/>
      <c r="QNU1" s="3"/>
      <c r="QNV1" s="3"/>
      <c r="QNW1" s="3"/>
      <c r="QNX1" s="3"/>
      <c r="QNY1" s="3"/>
      <c r="QNZ1" s="3"/>
      <c r="QOA1" s="3"/>
      <c r="QOB1" s="3"/>
      <c r="QOC1" s="3"/>
      <c r="QOD1" s="3"/>
      <c r="QOE1" s="3"/>
      <c r="QOF1" s="3"/>
      <c r="QOG1" s="3"/>
      <c r="QOH1" s="3"/>
      <c r="QOI1" s="3"/>
      <c r="QOJ1" s="3"/>
      <c r="QOK1" s="3"/>
      <c r="QOL1" s="3"/>
      <c r="QOM1" s="3"/>
      <c r="QON1" s="3"/>
      <c r="QOO1" s="3"/>
      <c r="QOP1" s="3"/>
      <c r="QOQ1" s="3"/>
      <c r="QOR1" s="3"/>
      <c r="QOS1" s="3"/>
      <c r="QOT1" s="3"/>
      <c r="QOU1" s="3"/>
      <c r="QOV1" s="3"/>
      <c r="QOW1" s="3"/>
      <c r="QOX1" s="3"/>
      <c r="QOY1" s="3"/>
      <c r="QOZ1" s="3"/>
      <c r="QPA1" s="3"/>
      <c r="QPB1" s="3"/>
      <c r="QPC1" s="3"/>
      <c r="QPD1" s="3"/>
      <c r="QPE1" s="3"/>
      <c r="QPF1" s="3"/>
      <c r="QPG1" s="3"/>
      <c r="QPH1" s="3"/>
      <c r="QPI1" s="3"/>
      <c r="QPJ1" s="3"/>
      <c r="QPK1" s="3"/>
      <c r="QPL1" s="3"/>
      <c r="QPM1" s="3"/>
      <c r="QPN1" s="3"/>
      <c r="QPO1" s="3"/>
      <c r="QPP1" s="3"/>
      <c r="QPQ1" s="3"/>
      <c r="QPR1" s="3"/>
      <c r="QPS1" s="3"/>
      <c r="QPT1" s="3"/>
      <c r="QPU1" s="3"/>
      <c r="QPV1" s="3"/>
      <c r="QPW1" s="3"/>
      <c r="QPX1" s="3"/>
      <c r="QPY1" s="3"/>
      <c r="QPZ1" s="3"/>
      <c r="QQA1" s="3"/>
      <c r="QQB1" s="3"/>
      <c r="QQC1" s="3"/>
      <c r="QQD1" s="3"/>
      <c r="QQE1" s="3"/>
      <c r="QQF1" s="3"/>
      <c r="QQG1" s="3"/>
      <c r="QQH1" s="3"/>
      <c r="QQI1" s="3"/>
      <c r="QQJ1" s="3"/>
      <c r="QQK1" s="3"/>
      <c r="QQL1" s="3"/>
      <c r="QQM1" s="3"/>
      <c r="QQN1" s="3"/>
      <c r="QQO1" s="3"/>
      <c r="QQP1" s="3"/>
      <c r="QQQ1" s="3"/>
      <c r="QQR1" s="3"/>
      <c r="QQS1" s="3"/>
      <c r="QQT1" s="3"/>
      <c r="QQU1" s="3"/>
      <c r="QQV1" s="3"/>
      <c r="QQW1" s="3"/>
      <c r="QQX1" s="3"/>
      <c r="QQY1" s="3"/>
      <c r="QQZ1" s="3"/>
      <c r="QRA1" s="3"/>
      <c r="QRB1" s="3"/>
      <c r="QRC1" s="3"/>
      <c r="QRD1" s="3"/>
      <c r="QRE1" s="3"/>
      <c r="QRF1" s="3"/>
      <c r="QRG1" s="3"/>
      <c r="QRH1" s="3"/>
      <c r="QRI1" s="3"/>
      <c r="QRJ1" s="3"/>
      <c r="QRK1" s="3"/>
      <c r="QRL1" s="3"/>
      <c r="QRM1" s="3"/>
      <c r="QRN1" s="3"/>
      <c r="QRO1" s="3"/>
      <c r="QRP1" s="3"/>
      <c r="QRQ1" s="3"/>
      <c r="QRR1" s="3"/>
      <c r="QRS1" s="3"/>
      <c r="QRT1" s="3"/>
      <c r="QRU1" s="3"/>
      <c r="QRV1" s="3"/>
      <c r="QRW1" s="3"/>
      <c r="QRX1" s="3"/>
      <c r="QRY1" s="3"/>
      <c r="QRZ1" s="3"/>
      <c r="QSA1" s="3"/>
      <c r="QSB1" s="3"/>
      <c r="QSC1" s="3"/>
      <c r="QSD1" s="3"/>
      <c r="QSE1" s="3"/>
      <c r="QSF1" s="3"/>
      <c r="QSG1" s="3"/>
      <c r="QSH1" s="3"/>
      <c r="QSI1" s="3"/>
      <c r="QSJ1" s="3"/>
      <c r="QSK1" s="3"/>
      <c r="QSL1" s="3"/>
      <c r="QSM1" s="3"/>
      <c r="QSN1" s="3"/>
      <c r="QSO1" s="3"/>
      <c r="QSP1" s="3"/>
      <c r="QSQ1" s="3"/>
      <c r="QSR1" s="3"/>
      <c r="QSS1" s="3"/>
      <c r="QST1" s="3"/>
      <c r="QSU1" s="3"/>
      <c r="QSV1" s="3"/>
      <c r="QSW1" s="3"/>
      <c r="QSX1" s="3"/>
      <c r="QSY1" s="3"/>
      <c r="QSZ1" s="3"/>
      <c r="QTA1" s="3"/>
      <c r="QTB1" s="3"/>
      <c r="QTC1" s="3"/>
      <c r="QTD1" s="3"/>
      <c r="QTE1" s="3"/>
      <c r="QTF1" s="3"/>
      <c r="QTG1" s="3"/>
      <c r="QTH1" s="3"/>
      <c r="QTI1" s="3"/>
      <c r="QTJ1" s="3"/>
      <c r="QTK1" s="3"/>
      <c r="QTL1" s="3"/>
      <c r="QTM1" s="3"/>
      <c r="QTN1" s="3"/>
      <c r="QTO1" s="3"/>
      <c r="QTP1" s="3"/>
      <c r="QTQ1" s="3"/>
      <c r="QTR1" s="3"/>
      <c r="QTS1" s="3"/>
      <c r="QTT1" s="3"/>
      <c r="QTU1" s="3"/>
      <c r="QTV1" s="3"/>
      <c r="QTW1" s="3"/>
      <c r="QTX1" s="3"/>
      <c r="QTY1" s="3"/>
      <c r="QTZ1" s="3"/>
      <c r="QUA1" s="3"/>
      <c r="QUB1" s="3"/>
      <c r="QUC1" s="3"/>
      <c r="QUD1" s="3"/>
      <c r="QUE1" s="3"/>
      <c r="QUF1" s="3"/>
      <c r="QUG1" s="3"/>
      <c r="QUH1" s="3"/>
      <c r="QUI1" s="3"/>
      <c r="QUJ1" s="3"/>
      <c r="QUK1" s="3"/>
      <c r="QUL1" s="3"/>
      <c r="QUM1" s="3"/>
      <c r="QUN1" s="3"/>
      <c r="QUO1" s="3"/>
      <c r="QUP1" s="3"/>
      <c r="QUQ1" s="3"/>
      <c r="QUR1" s="3"/>
      <c r="QUS1" s="3"/>
      <c r="QUT1" s="3"/>
      <c r="QUU1" s="3"/>
      <c r="QUV1" s="3"/>
      <c r="QUW1" s="3"/>
      <c r="QUX1" s="3"/>
      <c r="QUY1" s="3"/>
      <c r="QUZ1" s="3"/>
      <c r="QVA1" s="3"/>
      <c r="QVB1" s="3"/>
      <c r="QVC1" s="3"/>
      <c r="QVD1" s="3"/>
      <c r="QVE1" s="3"/>
      <c r="QVF1" s="3"/>
      <c r="QVG1" s="3"/>
      <c r="QVH1" s="3"/>
      <c r="QVI1" s="3"/>
      <c r="QVJ1" s="3"/>
      <c r="QVK1" s="3"/>
      <c r="QVL1" s="3"/>
      <c r="QVM1" s="3"/>
      <c r="QVN1" s="3"/>
      <c r="QVO1" s="3"/>
      <c r="QVP1" s="3"/>
      <c r="QVQ1" s="3"/>
      <c r="QVR1" s="3"/>
      <c r="QVS1" s="3"/>
      <c r="QVT1" s="3"/>
      <c r="QVU1" s="3"/>
      <c r="QVV1" s="3"/>
      <c r="QVW1" s="3"/>
      <c r="QVX1" s="3"/>
      <c r="QVY1" s="3"/>
      <c r="QVZ1" s="3"/>
      <c r="QWA1" s="3"/>
      <c r="QWB1" s="3"/>
      <c r="QWC1" s="3"/>
      <c r="QWD1" s="3"/>
      <c r="QWE1" s="3"/>
      <c r="QWF1" s="3"/>
      <c r="QWG1" s="3"/>
      <c r="QWH1" s="3"/>
      <c r="QWI1" s="3"/>
      <c r="QWJ1" s="3"/>
      <c r="QWK1" s="3"/>
      <c r="QWL1" s="3"/>
      <c r="QWM1" s="3"/>
      <c r="QWN1" s="3"/>
      <c r="QWO1" s="3"/>
      <c r="QWP1" s="3"/>
      <c r="QWQ1" s="3"/>
      <c r="QWR1" s="3"/>
      <c r="QWS1" s="3"/>
      <c r="QWT1" s="3"/>
      <c r="QWU1" s="3"/>
      <c r="QWV1" s="3"/>
      <c r="QWW1" s="3"/>
      <c r="QWX1" s="3"/>
      <c r="QWY1" s="3"/>
      <c r="QWZ1" s="3"/>
      <c r="QXA1" s="3"/>
      <c r="QXB1" s="3"/>
      <c r="QXC1" s="3"/>
      <c r="QXD1" s="3"/>
      <c r="QXE1" s="3"/>
      <c r="QXF1" s="3"/>
      <c r="QXG1" s="3"/>
      <c r="QXH1" s="3"/>
      <c r="QXI1" s="3"/>
      <c r="QXJ1" s="3"/>
      <c r="QXK1" s="3"/>
      <c r="QXL1" s="3"/>
      <c r="QXM1" s="3"/>
      <c r="QXN1" s="3"/>
      <c r="QXO1" s="3"/>
      <c r="QXP1" s="3"/>
      <c r="QXQ1" s="3"/>
      <c r="QXR1" s="3"/>
      <c r="QXS1" s="3"/>
      <c r="QXT1" s="3"/>
      <c r="QXU1" s="3"/>
      <c r="QXV1" s="3"/>
      <c r="QXW1" s="3"/>
      <c r="QXX1" s="3"/>
      <c r="QXY1" s="3"/>
      <c r="QXZ1" s="3"/>
      <c r="QYA1" s="3"/>
      <c r="QYB1" s="3"/>
      <c r="QYC1" s="3"/>
      <c r="QYD1" s="3"/>
      <c r="QYE1" s="3"/>
      <c r="QYF1" s="3"/>
      <c r="QYG1" s="3"/>
      <c r="QYH1" s="3"/>
      <c r="QYI1" s="3"/>
      <c r="QYJ1" s="3"/>
      <c r="QYK1" s="3"/>
      <c r="QYL1" s="3"/>
      <c r="QYM1" s="3"/>
      <c r="QYN1" s="3"/>
      <c r="QYO1" s="3"/>
      <c r="QYP1" s="3"/>
      <c r="QYQ1" s="3"/>
      <c r="QYR1" s="3"/>
      <c r="QYS1" s="3"/>
      <c r="QYT1" s="3"/>
      <c r="QYU1" s="3"/>
      <c r="QYV1" s="3"/>
      <c r="QYW1" s="3"/>
      <c r="QYX1" s="3"/>
      <c r="QYY1" s="3"/>
      <c r="QYZ1" s="3"/>
      <c r="QZA1" s="3"/>
      <c r="QZB1" s="3"/>
      <c r="QZC1" s="3"/>
      <c r="QZD1" s="3"/>
      <c r="QZE1" s="3"/>
      <c r="QZF1" s="3"/>
      <c r="QZG1" s="3"/>
      <c r="QZH1" s="3"/>
      <c r="QZI1" s="3"/>
      <c r="QZJ1" s="3"/>
      <c r="QZK1" s="3"/>
      <c r="QZL1" s="3"/>
      <c r="QZM1" s="3"/>
      <c r="QZN1" s="3"/>
      <c r="QZO1" s="3"/>
      <c r="QZP1" s="3"/>
      <c r="QZQ1" s="3"/>
      <c r="QZR1" s="3"/>
      <c r="QZS1" s="3"/>
      <c r="QZT1" s="3"/>
      <c r="QZU1" s="3"/>
      <c r="QZV1" s="3"/>
      <c r="QZW1" s="3"/>
      <c r="QZX1" s="3"/>
      <c r="QZY1" s="3"/>
      <c r="QZZ1" s="3"/>
      <c r="RAA1" s="3"/>
      <c r="RAB1" s="3"/>
      <c r="RAC1" s="3"/>
      <c r="RAD1" s="3"/>
      <c r="RAE1" s="3"/>
      <c r="RAF1" s="3"/>
      <c r="RAG1" s="3"/>
      <c r="RAH1" s="3"/>
      <c r="RAI1" s="3"/>
      <c r="RAJ1" s="3"/>
      <c r="RAK1" s="3"/>
      <c r="RAL1" s="3"/>
      <c r="RAM1" s="3"/>
      <c r="RAN1" s="3"/>
      <c r="RAO1" s="3"/>
      <c r="RAP1" s="3"/>
      <c r="RAQ1" s="3"/>
      <c r="RAR1" s="3"/>
      <c r="RAS1" s="3"/>
      <c r="RAT1" s="3"/>
      <c r="RAU1" s="3"/>
      <c r="RAV1" s="3"/>
      <c r="RAW1" s="3"/>
      <c r="RAX1" s="3"/>
      <c r="RAY1" s="3"/>
      <c r="RAZ1" s="3"/>
      <c r="RBA1" s="3"/>
      <c r="RBB1" s="3"/>
      <c r="RBC1" s="3"/>
      <c r="RBD1" s="3"/>
      <c r="RBE1" s="3"/>
      <c r="RBF1" s="3"/>
      <c r="RBG1" s="3"/>
      <c r="RBH1" s="3"/>
      <c r="RBI1" s="3"/>
      <c r="RBJ1" s="3"/>
      <c r="RBK1" s="3"/>
      <c r="RBL1" s="3"/>
      <c r="RBM1" s="3"/>
      <c r="RBN1" s="3"/>
      <c r="RBO1" s="3"/>
      <c r="RBP1" s="3"/>
      <c r="RBQ1" s="3"/>
      <c r="RBR1" s="3"/>
      <c r="RBS1" s="3"/>
      <c r="RBT1" s="3"/>
      <c r="RBU1" s="3"/>
      <c r="RBV1" s="3"/>
      <c r="RBW1" s="3"/>
      <c r="RBX1" s="3"/>
      <c r="RBY1" s="3"/>
      <c r="RBZ1" s="3"/>
      <c r="RCA1" s="3"/>
      <c r="RCB1" s="3"/>
      <c r="RCC1" s="3"/>
      <c r="RCD1" s="3"/>
      <c r="RCE1" s="3"/>
      <c r="RCF1" s="3"/>
      <c r="RCG1" s="3"/>
      <c r="RCH1" s="3"/>
      <c r="RCI1" s="3"/>
      <c r="RCJ1" s="3"/>
      <c r="RCK1" s="3"/>
      <c r="RCL1" s="3"/>
      <c r="RCM1" s="3"/>
      <c r="RCN1" s="3"/>
      <c r="RCO1" s="3"/>
      <c r="RCP1" s="3"/>
      <c r="RCQ1" s="3"/>
      <c r="RCR1" s="3"/>
      <c r="RCS1" s="3"/>
      <c r="RCT1" s="3"/>
      <c r="RCU1" s="3"/>
      <c r="RCV1" s="3"/>
      <c r="RCW1" s="3"/>
      <c r="RCX1" s="3"/>
      <c r="RCY1" s="3"/>
      <c r="RCZ1" s="3"/>
      <c r="RDA1" s="3"/>
      <c r="RDB1" s="3"/>
      <c r="RDC1" s="3"/>
      <c r="RDD1" s="3"/>
      <c r="RDE1" s="3"/>
      <c r="RDF1" s="3"/>
      <c r="RDG1" s="3"/>
      <c r="RDH1" s="3"/>
      <c r="RDI1" s="3"/>
      <c r="RDJ1" s="3"/>
      <c r="RDK1" s="3"/>
      <c r="RDL1" s="3"/>
      <c r="RDM1" s="3"/>
      <c r="RDN1" s="3"/>
      <c r="RDO1" s="3"/>
      <c r="RDP1" s="3"/>
      <c r="RDQ1" s="3"/>
      <c r="RDR1" s="3"/>
      <c r="RDS1" s="3"/>
      <c r="RDT1" s="3"/>
      <c r="RDU1" s="3"/>
      <c r="RDV1" s="3"/>
      <c r="RDW1" s="3"/>
      <c r="RDX1" s="3"/>
      <c r="RDY1" s="3"/>
      <c r="RDZ1" s="3"/>
      <c r="REA1" s="3"/>
      <c r="REB1" s="3"/>
      <c r="REC1" s="3"/>
      <c r="RED1" s="3"/>
      <c r="REE1" s="3"/>
      <c r="REF1" s="3"/>
      <c r="REG1" s="3"/>
      <c r="REH1" s="3"/>
      <c r="REI1" s="3"/>
      <c r="REJ1" s="3"/>
      <c r="REK1" s="3"/>
      <c r="REL1" s="3"/>
      <c r="REM1" s="3"/>
      <c r="REN1" s="3"/>
      <c r="REO1" s="3"/>
      <c r="REP1" s="3"/>
      <c r="REQ1" s="3"/>
      <c r="RER1" s="3"/>
      <c r="RES1" s="3"/>
      <c r="RET1" s="3"/>
      <c r="REU1" s="3"/>
      <c r="REV1" s="3"/>
      <c r="REW1" s="3"/>
      <c r="REX1" s="3"/>
      <c r="REY1" s="3"/>
      <c r="REZ1" s="3"/>
      <c r="RFA1" s="3"/>
      <c r="RFB1" s="3"/>
      <c r="RFC1" s="3"/>
      <c r="RFD1" s="3"/>
      <c r="RFE1" s="3"/>
      <c r="RFF1" s="3"/>
      <c r="RFG1" s="3"/>
      <c r="RFH1" s="3"/>
      <c r="RFI1" s="3"/>
      <c r="RFJ1" s="3"/>
      <c r="RFK1" s="3"/>
      <c r="RFL1" s="3"/>
      <c r="RFM1" s="3"/>
      <c r="RFN1" s="3"/>
      <c r="RFO1" s="3"/>
      <c r="RFP1" s="3"/>
      <c r="RFQ1" s="3"/>
      <c r="RFR1" s="3"/>
      <c r="RFS1" s="3"/>
      <c r="RFT1" s="3"/>
      <c r="RFU1" s="3"/>
      <c r="RFV1" s="3"/>
      <c r="RFW1" s="3"/>
      <c r="RFX1" s="3"/>
      <c r="RFY1" s="3"/>
      <c r="RFZ1" s="3"/>
      <c r="RGA1" s="3"/>
      <c r="RGB1" s="3"/>
      <c r="RGC1" s="3"/>
      <c r="RGD1" s="3"/>
      <c r="RGE1" s="3"/>
      <c r="RGF1" s="3"/>
      <c r="RGG1" s="3"/>
      <c r="RGH1" s="3"/>
      <c r="RGI1" s="3"/>
      <c r="RGJ1" s="3"/>
      <c r="RGK1" s="3"/>
      <c r="RGL1" s="3"/>
      <c r="RGM1" s="3"/>
      <c r="RGN1" s="3"/>
      <c r="RGO1" s="3"/>
      <c r="RGP1" s="3"/>
      <c r="RGQ1" s="3"/>
      <c r="RGR1" s="3"/>
      <c r="RGS1" s="3"/>
      <c r="RGT1" s="3"/>
      <c r="RGU1" s="3"/>
      <c r="RGV1" s="3"/>
      <c r="RGW1" s="3"/>
      <c r="RGX1" s="3"/>
      <c r="RGY1" s="3"/>
      <c r="RGZ1" s="3"/>
      <c r="RHA1" s="3"/>
      <c r="RHB1" s="3"/>
      <c r="RHC1" s="3"/>
      <c r="RHD1" s="3"/>
      <c r="RHE1" s="3"/>
      <c r="RHF1" s="3"/>
      <c r="RHG1" s="3"/>
      <c r="RHH1" s="3"/>
      <c r="RHI1" s="3"/>
      <c r="RHJ1" s="3"/>
      <c r="RHK1" s="3"/>
      <c r="RHL1" s="3"/>
      <c r="RHM1" s="3"/>
      <c r="RHN1" s="3"/>
      <c r="RHO1" s="3"/>
      <c r="RHP1" s="3"/>
      <c r="RHQ1" s="3"/>
      <c r="RHR1" s="3"/>
      <c r="RHS1" s="3"/>
      <c r="RHT1" s="3"/>
      <c r="RHU1" s="3"/>
      <c r="RHV1" s="3"/>
      <c r="RHW1" s="3"/>
      <c r="RHX1" s="3"/>
      <c r="RHY1" s="3"/>
      <c r="RHZ1" s="3"/>
      <c r="RIA1" s="3"/>
      <c r="RIB1" s="3"/>
      <c r="RIC1" s="3"/>
      <c r="RID1" s="3"/>
      <c r="RIE1" s="3"/>
      <c r="RIF1" s="3"/>
      <c r="RIG1" s="3"/>
      <c r="RIH1" s="3"/>
      <c r="RII1" s="3"/>
      <c r="RIJ1" s="3"/>
      <c r="RIK1" s="3"/>
      <c r="RIL1" s="3"/>
      <c r="RIM1" s="3"/>
      <c r="RIN1" s="3"/>
      <c r="RIO1" s="3"/>
      <c r="RIP1" s="3"/>
      <c r="RIQ1" s="3"/>
      <c r="RIR1" s="3"/>
      <c r="RIS1" s="3"/>
      <c r="RIT1" s="3"/>
      <c r="RIU1" s="3"/>
      <c r="RIV1" s="3"/>
      <c r="RIW1" s="3"/>
      <c r="RIX1" s="3"/>
      <c r="RIY1" s="3"/>
      <c r="RIZ1" s="3"/>
      <c r="RJA1" s="3"/>
      <c r="RJB1" s="3"/>
      <c r="RJC1" s="3"/>
      <c r="RJD1" s="3"/>
      <c r="RJE1" s="3"/>
      <c r="RJF1" s="3"/>
      <c r="RJG1" s="3"/>
      <c r="RJH1" s="3"/>
      <c r="RJI1" s="3"/>
      <c r="RJJ1" s="3"/>
      <c r="RJK1" s="3"/>
      <c r="RJL1" s="3"/>
      <c r="RJM1" s="3"/>
      <c r="RJN1" s="3"/>
      <c r="RJO1" s="3"/>
      <c r="RJP1" s="3"/>
      <c r="RJQ1" s="3"/>
      <c r="RJR1" s="3"/>
      <c r="RJS1" s="3"/>
      <c r="RJT1" s="3"/>
      <c r="RJU1" s="3"/>
      <c r="RJV1" s="3"/>
      <c r="RJW1" s="3"/>
      <c r="RJX1" s="3"/>
      <c r="RJY1" s="3"/>
      <c r="RJZ1" s="3"/>
      <c r="RKA1" s="3"/>
      <c r="RKB1" s="3"/>
      <c r="RKC1" s="3"/>
      <c r="RKD1" s="3"/>
      <c r="RKE1" s="3"/>
      <c r="RKF1" s="3"/>
      <c r="RKG1" s="3"/>
      <c r="RKH1" s="3"/>
      <c r="RKI1" s="3"/>
      <c r="RKJ1" s="3"/>
      <c r="RKK1" s="3"/>
      <c r="RKL1" s="3"/>
      <c r="RKM1" s="3"/>
      <c r="RKN1" s="3"/>
      <c r="RKO1" s="3"/>
      <c r="RKP1" s="3"/>
      <c r="RKQ1" s="3"/>
      <c r="RKR1" s="3"/>
      <c r="RKS1" s="3"/>
      <c r="RKT1" s="3"/>
      <c r="RKU1" s="3"/>
      <c r="RKV1" s="3"/>
      <c r="RKW1" s="3"/>
      <c r="RKX1" s="3"/>
      <c r="RKY1" s="3"/>
      <c r="RKZ1" s="3"/>
      <c r="RLA1" s="3"/>
      <c r="RLB1" s="3"/>
      <c r="RLC1" s="3"/>
      <c r="RLD1" s="3"/>
      <c r="RLE1" s="3"/>
      <c r="RLF1" s="3"/>
      <c r="RLG1" s="3"/>
      <c r="RLH1" s="3"/>
      <c r="RLI1" s="3"/>
      <c r="RLJ1" s="3"/>
      <c r="RLK1" s="3"/>
      <c r="RLL1" s="3"/>
      <c r="RLM1" s="3"/>
      <c r="RLN1" s="3"/>
      <c r="RLO1" s="3"/>
      <c r="RLP1" s="3"/>
      <c r="RLQ1" s="3"/>
      <c r="RLR1" s="3"/>
      <c r="RLS1" s="3"/>
      <c r="RLT1" s="3"/>
      <c r="RLU1" s="3"/>
      <c r="RLV1" s="3"/>
      <c r="RLW1" s="3"/>
      <c r="RLX1" s="3"/>
      <c r="RLY1" s="3"/>
      <c r="RLZ1" s="3"/>
      <c r="RMA1" s="3"/>
      <c r="RMB1" s="3"/>
      <c r="RMC1" s="3"/>
      <c r="RMD1" s="3"/>
      <c r="RME1" s="3"/>
      <c r="RMF1" s="3"/>
      <c r="RMG1" s="3"/>
      <c r="RMH1" s="3"/>
      <c r="RMI1" s="3"/>
      <c r="RMJ1" s="3"/>
      <c r="RMK1" s="3"/>
      <c r="RML1" s="3"/>
      <c r="RMM1" s="3"/>
      <c r="RMN1" s="3"/>
      <c r="RMO1" s="3"/>
      <c r="RMP1" s="3"/>
      <c r="RMQ1" s="3"/>
      <c r="RMR1" s="3"/>
      <c r="RMS1" s="3"/>
      <c r="RMT1" s="3"/>
      <c r="RMU1" s="3"/>
      <c r="RMV1" s="3"/>
      <c r="RMW1" s="3"/>
      <c r="RMX1" s="3"/>
      <c r="RMY1" s="3"/>
      <c r="RMZ1" s="3"/>
      <c r="RNA1" s="3"/>
      <c r="RNB1" s="3"/>
      <c r="RNC1" s="3"/>
      <c r="RND1" s="3"/>
      <c r="RNE1" s="3"/>
      <c r="RNF1" s="3"/>
      <c r="RNG1" s="3"/>
      <c r="RNH1" s="3"/>
      <c r="RNI1" s="3"/>
      <c r="RNJ1" s="3"/>
      <c r="RNK1" s="3"/>
      <c r="RNL1" s="3"/>
      <c r="RNM1" s="3"/>
      <c r="RNN1" s="3"/>
      <c r="RNO1" s="3"/>
      <c r="RNP1" s="3"/>
      <c r="RNQ1" s="3"/>
      <c r="RNR1" s="3"/>
      <c r="RNS1" s="3"/>
      <c r="RNT1" s="3"/>
      <c r="RNU1" s="3"/>
      <c r="RNV1" s="3"/>
      <c r="RNW1" s="3"/>
      <c r="RNX1" s="3"/>
      <c r="RNY1" s="3"/>
      <c r="RNZ1" s="3"/>
      <c r="ROA1" s="3"/>
      <c r="ROB1" s="3"/>
      <c r="ROC1" s="3"/>
      <c r="ROD1" s="3"/>
      <c r="ROE1" s="3"/>
      <c r="ROF1" s="3"/>
      <c r="ROG1" s="3"/>
      <c r="ROH1" s="3"/>
      <c r="ROI1" s="3"/>
      <c r="ROJ1" s="3"/>
      <c r="ROK1" s="3"/>
      <c r="ROL1" s="3"/>
      <c r="ROM1" s="3"/>
      <c r="RON1" s="3"/>
      <c r="ROO1" s="3"/>
      <c r="ROP1" s="3"/>
      <c r="ROQ1" s="3"/>
      <c r="ROR1" s="3"/>
      <c r="ROS1" s="3"/>
      <c r="ROT1" s="3"/>
      <c r="ROU1" s="3"/>
      <c r="ROV1" s="3"/>
      <c r="ROW1" s="3"/>
      <c r="ROX1" s="3"/>
      <c r="ROY1" s="3"/>
      <c r="ROZ1" s="3"/>
      <c r="RPA1" s="3"/>
      <c r="RPB1" s="3"/>
      <c r="RPC1" s="3"/>
      <c r="RPD1" s="3"/>
      <c r="RPE1" s="3"/>
      <c r="RPF1" s="3"/>
      <c r="RPG1" s="3"/>
      <c r="RPH1" s="3"/>
      <c r="RPI1" s="3"/>
      <c r="RPJ1" s="3"/>
      <c r="RPK1" s="3"/>
      <c r="RPL1" s="3"/>
      <c r="RPM1" s="3"/>
      <c r="RPN1" s="3"/>
      <c r="RPO1" s="3"/>
      <c r="RPP1" s="3"/>
      <c r="RPQ1" s="3"/>
      <c r="RPR1" s="3"/>
      <c r="RPS1" s="3"/>
      <c r="RPT1" s="3"/>
      <c r="RPU1" s="3"/>
      <c r="RPV1" s="3"/>
      <c r="RPW1" s="3"/>
      <c r="RPX1" s="3"/>
      <c r="RPY1" s="3"/>
      <c r="RPZ1" s="3"/>
      <c r="RQA1" s="3"/>
      <c r="RQB1" s="3"/>
      <c r="RQC1" s="3"/>
      <c r="RQD1" s="3"/>
      <c r="RQE1" s="3"/>
      <c r="RQF1" s="3"/>
      <c r="RQG1" s="3"/>
      <c r="RQH1" s="3"/>
      <c r="RQI1" s="3"/>
      <c r="RQJ1" s="3"/>
      <c r="RQK1" s="3"/>
      <c r="RQL1" s="3"/>
      <c r="RQM1" s="3"/>
      <c r="RQN1" s="3"/>
      <c r="RQO1" s="3"/>
      <c r="RQP1" s="3"/>
      <c r="RQQ1" s="3"/>
      <c r="RQR1" s="3"/>
      <c r="RQS1" s="3"/>
      <c r="RQT1" s="3"/>
      <c r="RQU1" s="3"/>
      <c r="RQV1" s="3"/>
      <c r="RQW1" s="3"/>
      <c r="RQX1" s="3"/>
      <c r="RQY1" s="3"/>
      <c r="RQZ1" s="3"/>
      <c r="RRA1" s="3"/>
      <c r="RRB1" s="3"/>
      <c r="RRC1" s="3"/>
      <c r="RRD1" s="3"/>
      <c r="RRE1" s="3"/>
      <c r="RRF1" s="3"/>
      <c r="RRG1" s="3"/>
      <c r="RRH1" s="3"/>
      <c r="RRI1" s="3"/>
      <c r="RRJ1" s="3"/>
      <c r="RRK1" s="3"/>
      <c r="RRL1" s="3"/>
      <c r="RRM1" s="3"/>
      <c r="RRN1" s="3"/>
      <c r="RRO1" s="3"/>
      <c r="RRP1" s="3"/>
      <c r="RRQ1" s="3"/>
      <c r="RRR1" s="3"/>
      <c r="RRS1" s="3"/>
      <c r="RRT1" s="3"/>
      <c r="RRU1" s="3"/>
      <c r="RRV1" s="3"/>
      <c r="RRW1" s="3"/>
      <c r="RRX1" s="3"/>
      <c r="RRY1" s="3"/>
      <c r="RRZ1" s="3"/>
      <c r="RSA1" s="3"/>
      <c r="RSB1" s="3"/>
      <c r="RSC1" s="3"/>
      <c r="RSD1" s="3"/>
      <c r="RSE1" s="3"/>
      <c r="RSF1" s="3"/>
      <c r="RSG1" s="3"/>
      <c r="RSH1" s="3"/>
      <c r="RSI1" s="3"/>
      <c r="RSJ1" s="3"/>
      <c r="RSK1" s="3"/>
      <c r="RSL1" s="3"/>
      <c r="RSM1" s="3"/>
      <c r="RSN1" s="3"/>
      <c r="RSO1" s="3"/>
      <c r="RSP1" s="3"/>
      <c r="RSQ1" s="3"/>
      <c r="RSR1" s="3"/>
      <c r="RSS1" s="3"/>
      <c r="RST1" s="3"/>
      <c r="RSU1" s="3"/>
      <c r="RSV1" s="3"/>
      <c r="RSW1" s="3"/>
      <c r="RSX1" s="3"/>
      <c r="RSY1" s="3"/>
      <c r="RSZ1" s="3"/>
      <c r="RTA1" s="3"/>
      <c r="RTB1" s="3"/>
      <c r="RTC1" s="3"/>
      <c r="RTD1" s="3"/>
      <c r="RTE1" s="3"/>
      <c r="RTF1" s="3"/>
      <c r="RTG1" s="3"/>
      <c r="RTH1" s="3"/>
      <c r="RTI1" s="3"/>
      <c r="RTJ1" s="3"/>
      <c r="RTK1" s="3"/>
      <c r="RTL1" s="3"/>
      <c r="RTM1" s="3"/>
      <c r="RTN1" s="3"/>
      <c r="RTO1" s="3"/>
      <c r="RTP1" s="3"/>
      <c r="RTQ1" s="3"/>
      <c r="RTR1" s="3"/>
      <c r="RTS1" s="3"/>
      <c r="RTT1" s="3"/>
      <c r="RTU1" s="3"/>
      <c r="RTV1" s="3"/>
      <c r="RTW1" s="3"/>
      <c r="RTX1" s="3"/>
      <c r="RTY1" s="3"/>
      <c r="RTZ1" s="3"/>
      <c r="RUA1" s="3"/>
      <c r="RUB1" s="3"/>
      <c r="RUC1" s="3"/>
      <c r="RUD1" s="3"/>
      <c r="RUE1" s="3"/>
      <c r="RUF1" s="3"/>
      <c r="RUG1" s="3"/>
      <c r="RUH1" s="3"/>
      <c r="RUI1" s="3"/>
      <c r="RUJ1" s="3"/>
      <c r="RUK1" s="3"/>
      <c r="RUL1" s="3"/>
      <c r="RUM1" s="3"/>
      <c r="RUN1" s="3"/>
      <c r="RUO1" s="3"/>
      <c r="RUP1" s="3"/>
      <c r="RUQ1" s="3"/>
      <c r="RUR1" s="3"/>
      <c r="RUS1" s="3"/>
      <c r="RUT1" s="3"/>
      <c r="RUU1" s="3"/>
      <c r="RUV1" s="3"/>
      <c r="RUW1" s="3"/>
      <c r="RUX1" s="3"/>
      <c r="RUY1" s="3"/>
      <c r="RUZ1" s="3"/>
      <c r="RVA1" s="3"/>
      <c r="RVB1" s="3"/>
      <c r="RVC1" s="3"/>
      <c r="RVD1" s="3"/>
      <c r="RVE1" s="3"/>
      <c r="RVF1" s="3"/>
      <c r="RVG1" s="3"/>
      <c r="RVH1" s="3"/>
      <c r="RVI1" s="3"/>
      <c r="RVJ1" s="3"/>
      <c r="RVK1" s="3"/>
      <c r="RVL1" s="3"/>
      <c r="RVM1" s="3"/>
      <c r="RVN1" s="3"/>
      <c r="RVO1" s="3"/>
      <c r="RVP1" s="3"/>
      <c r="RVQ1" s="3"/>
      <c r="RVR1" s="3"/>
      <c r="RVS1" s="3"/>
      <c r="RVT1" s="3"/>
      <c r="RVU1" s="3"/>
      <c r="RVV1" s="3"/>
      <c r="RVW1" s="3"/>
      <c r="RVX1" s="3"/>
      <c r="RVY1" s="3"/>
      <c r="RVZ1" s="3"/>
      <c r="RWA1" s="3"/>
      <c r="RWB1" s="3"/>
      <c r="RWC1" s="3"/>
      <c r="RWD1" s="3"/>
      <c r="RWE1" s="3"/>
      <c r="RWF1" s="3"/>
      <c r="RWG1" s="3"/>
      <c r="RWH1" s="3"/>
      <c r="RWI1" s="3"/>
      <c r="RWJ1" s="3"/>
      <c r="RWK1" s="3"/>
      <c r="RWL1" s="3"/>
      <c r="RWM1" s="3"/>
      <c r="RWN1" s="3"/>
      <c r="RWO1" s="3"/>
      <c r="RWP1" s="3"/>
      <c r="RWQ1" s="3"/>
      <c r="RWR1" s="3"/>
      <c r="RWS1" s="3"/>
      <c r="RWT1" s="3"/>
      <c r="RWU1" s="3"/>
      <c r="RWV1" s="3"/>
      <c r="RWW1" s="3"/>
      <c r="RWX1" s="3"/>
      <c r="RWY1" s="3"/>
      <c r="RWZ1" s="3"/>
      <c r="RXA1" s="3"/>
      <c r="RXB1" s="3"/>
      <c r="RXC1" s="3"/>
      <c r="RXD1" s="3"/>
      <c r="RXE1" s="3"/>
      <c r="RXF1" s="3"/>
      <c r="RXG1" s="3"/>
      <c r="RXH1" s="3"/>
      <c r="RXI1" s="3"/>
      <c r="RXJ1" s="3"/>
      <c r="RXK1" s="3"/>
      <c r="RXL1" s="3"/>
      <c r="RXM1" s="3"/>
      <c r="RXN1" s="3"/>
      <c r="RXO1" s="3"/>
      <c r="RXP1" s="3"/>
      <c r="RXQ1" s="3"/>
      <c r="RXR1" s="3"/>
      <c r="RXS1" s="3"/>
      <c r="RXT1" s="3"/>
      <c r="RXU1" s="3"/>
      <c r="RXV1" s="3"/>
      <c r="RXW1" s="3"/>
      <c r="RXX1" s="3"/>
      <c r="RXY1" s="3"/>
      <c r="RXZ1" s="3"/>
      <c r="RYA1" s="3"/>
      <c r="RYB1" s="3"/>
      <c r="RYC1" s="3"/>
      <c r="RYD1" s="3"/>
      <c r="RYE1" s="3"/>
      <c r="RYF1" s="3"/>
      <c r="RYG1" s="3"/>
      <c r="RYH1" s="3"/>
      <c r="RYI1" s="3"/>
      <c r="RYJ1" s="3"/>
      <c r="RYK1" s="3"/>
      <c r="RYL1" s="3"/>
      <c r="RYM1" s="3"/>
      <c r="RYN1" s="3"/>
      <c r="RYO1" s="3"/>
      <c r="RYP1" s="3"/>
      <c r="RYQ1" s="3"/>
      <c r="RYR1" s="3"/>
      <c r="RYS1" s="3"/>
      <c r="RYT1" s="3"/>
      <c r="RYU1" s="3"/>
      <c r="RYV1" s="3"/>
      <c r="RYW1" s="3"/>
      <c r="RYX1" s="3"/>
      <c r="RYY1" s="3"/>
      <c r="RYZ1" s="3"/>
      <c r="RZA1" s="3"/>
      <c r="RZB1" s="3"/>
      <c r="RZC1" s="3"/>
      <c r="RZD1" s="3"/>
      <c r="RZE1" s="3"/>
      <c r="RZF1" s="3"/>
      <c r="RZG1" s="3"/>
      <c r="RZH1" s="3"/>
      <c r="RZI1" s="3"/>
      <c r="RZJ1" s="3"/>
      <c r="RZK1" s="3"/>
      <c r="RZL1" s="3"/>
      <c r="RZM1" s="3"/>
      <c r="RZN1" s="3"/>
      <c r="RZO1" s="3"/>
      <c r="RZP1" s="3"/>
      <c r="RZQ1" s="3"/>
      <c r="RZR1" s="3"/>
      <c r="RZS1" s="3"/>
      <c r="RZT1" s="3"/>
      <c r="RZU1" s="3"/>
      <c r="RZV1" s="3"/>
      <c r="RZW1" s="3"/>
      <c r="RZX1" s="3"/>
      <c r="RZY1" s="3"/>
      <c r="RZZ1" s="3"/>
      <c r="SAA1" s="3"/>
      <c r="SAB1" s="3"/>
      <c r="SAC1" s="3"/>
      <c r="SAD1" s="3"/>
      <c r="SAE1" s="3"/>
      <c r="SAF1" s="3"/>
      <c r="SAG1" s="3"/>
      <c r="SAH1" s="3"/>
      <c r="SAI1" s="3"/>
      <c r="SAJ1" s="3"/>
      <c r="SAK1" s="3"/>
      <c r="SAL1" s="3"/>
      <c r="SAM1" s="3"/>
      <c r="SAN1" s="3"/>
      <c r="SAO1" s="3"/>
      <c r="SAP1" s="3"/>
      <c r="SAQ1" s="3"/>
      <c r="SAR1" s="3"/>
      <c r="SAS1" s="3"/>
      <c r="SAT1" s="3"/>
      <c r="SAU1" s="3"/>
      <c r="SAV1" s="3"/>
      <c r="SAW1" s="3"/>
      <c r="SAX1" s="3"/>
      <c r="SAY1" s="3"/>
      <c r="SAZ1" s="3"/>
      <c r="SBA1" s="3"/>
      <c r="SBB1" s="3"/>
      <c r="SBC1" s="3"/>
      <c r="SBD1" s="3"/>
      <c r="SBE1" s="3"/>
      <c r="SBF1" s="3"/>
      <c r="SBG1" s="3"/>
      <c r="SBH1" s="3"/>
      <c r="SBI1" s="3"/>
      <c r="SBJ1" s="3"/>
      <c r="SBK1" s="3"/>
      <c r="SBL1" s="3"/>
      <c r="SBM1" s="3"/>
      <c r="SBN1" s="3"/>
      <c r="SBO1" s="3"/>
      <c r="SBP1" s="3"/>
      <c r="SBQ1" s="3"/>
      <c r="SBR1" s="3"/>
      <c r="SBS1" s="3"/>
      <c r="SBT1" s="3"/>
      <c r="SBU1" s="3"/>
      <c r="SBV1" s="3"/>
      <c r="SBW1" s="3"/>
      <c r="SBX1" s="3"/>
      <c r="SBY1" s="3"/>
      <c r="SBZ1" s="3"/>
      <c r="SCA1" s="3"/>
      <c r="SCB1" s="3"/>
      <c r="SCC1" s="3"/>
      <c r="SCD1" s="3"/>
      <c r="SCE1" s="3"/>
      <c r="SCF1" s="3"/>
      <c r="SCG1" s="3"/>
      <c r="SCH1" s="3"/>
      <c r="SCI1" s="3"/>
      <c r="SCJ1" s="3"/>
      <c r="SCK1" s="3"/>
      <c r="SCL1" s="3"/>
      <c r="SCM1" s="3"/>
      <c r="SCN1" s="3"/>
      <c r="SCO1" s="3"/>
      <c r="SCP1" s="3"/>
      <c r="SCQ1" s="3"/>
      <c r="SCR1" s="3"/>
      <c r="SCS1" s="3"/>
      <c r="SCT1" s="3"/>
      <c r="SCU1" s="3"/>
      <c r="SCV1" s="3"/>
      <c r="SCW1" s="3"/>
      <c r="SCX1" s="3"/>
      <c r="SCY1" s="3"/>
      <c r="SCZ1" s="3"/>
      <c r="SDA1" s="3"/>
      <c r="SDB1" s="3"/>
      <c r="SDC1" s="3"/>
      <c r="SDD1" s="3"/>
      <c r="SDE1" s="3"/>
      <c r="SDF1" s="3"/>
      <c r="SDG1" s="3"/>
      <c r="SDH1" s="3"/>
      <c r="SDI1" s="3"/>
      <c r="SDJ1" s="3"/>
      <c r="SDK1" s="3"/>
      <c r="SDL1" s="3"/>
      <c r="SDM1" s="3"/>
      <c r="SDN1" s="3"/>
      <c r="SDO1" s="3"/>
      <c r="SDP1" s="3"/>
      <c r="SDQ1" s="3"/>
      <c r="SDR1" s="3"/>
      <c r="SDS1" s="3"/>
      <c r="SDT1" s="3"/>
      <c r="SDU1" s="3"/>
      <c r="SDV1" s="3"/>
      <c r="SDW1" s="3"/>
      <c r="SDX1" s="3"/>
      <c r="SDY1" s="3"/>
      <c r="SDZ1" s="3"/>
      <c r="SEA1" s="3"/>
      <c r="SEB1" s="3"/>
      <c r="SEC1" s="3"/>
      <c r="SED1" s="3"/>
      <c r="SEE1" s="3"/>
      <c r="SEF1" s="3"/>
      <c r="SEG1" s="3"/>
      <c r="SEH1" s="3"/>
      <c r="SEI1" s="3"/>
      <c r="SEJ1" s="3"/>
      <c r="SEK1" s="3"/>
      <c r="SEL1" s="3"/>
      <c r="SEM1" s="3"/>
      <c r="SEN1" s="3"/>
      <c r="SEO1" s="3"/>
      <c r="SEP1" s="3"/>
      <c r="SEQ1" s="3"/>
      <c r="SER1" s="3"/>
      <c r="SES1" s="3"/>
      <c r="SET1" s="3"/>
      <c r="SEU1" s="3"/>
      <c r="SEV1" s="3"/>
      <c r="SEW1" s="3"/>
      <c r="SEX1" s="3"/>
      <c r="SEY1" s="3"/>
      <c r="SEZ1" s="3"/>
      <c r="SFA1" s="3"/>
      <c r="SFB1" s="3"/>
      <c r="SFC1" s="3"/>
      <c r="SFD1" s="3"/>
      <c r="SFE1" s="3"/>
      <c r="SFF1" s="3"/>
      <c r="SFG1" s="3"/>
      <c r="SFH1" s="3"/>
      <c r="SFI1" s="3"/>
      <c r="SFJ1" s="3"/>
      <c r="SFK1" s="3"/>
      <c r="SFL1" s="3"/>
      <c r="SFM1" s="3"/>
      <c r="SFN1" s="3"/>
      <c r="SFO1" s="3"/>
      <c r="SFP1" s="3"/>
      <c r="SFQ1" s="3"/>
      <c r="SFR1" s="3"/>
      <c r="SFS1" s="3"/>
      <c r="SFT1" s="3"/>
      <c r="SFU1" s="3"/>
      <c r="SFV1" s="3"/>
      <c r="SFW1" s="3"/>
      <c r="SFX1" s="3"/>
      <c r="SFY1" s="3"/>
      <c r="SFZ1" s="3"/>
      <c r="SGA1" s="3"/>
      <c r="SGB1" s="3"/>
      <c r="SGC1" s="3"/>
      <c r="SGD1" s="3"/>
      <c r="SGE1" s="3"/>
      <c r="SGF1" s="3"/>
      <c r="SGG1" s="3"/>
      <c r="SGH1" s="3"/>
      <c r="SGI1" s="3"/>
      <c r="SGJ1" s="3"/>
      <c r="SGK1" s="3"/>
      <c r="SGL1" s="3"/>
      <c r="SGM1" s="3"/>
      <c r="SGN1" s="3"/>
      <c r="SGO1" s="3"/>
      <c r="SGP1" s="3"/>
      <c r="SGQ1" s="3"/>
      <c r="SGR1" s="3"/>
      <c r="SGS1" s="3"/>
      <c r="SGT1" s="3"/>
      <c r="SGU1" s="3"/>
      <c r="SGV1" s="3"/>
      <c r="SGW1" s="3"/>
      <c r="SGX1" s="3"/>
      <c r="SGY1" s="3"/>
      <c r="SGZ1" s="3"/>
      <c r="SHA1" s="3"/>
      <c r="SHB1" s="3"/>
      <c r="SHC1" s="3"/>
      <c r="SHD1" s="3"/>
      <c r="SHE1" s="3"/>
      <c r="SHF1" s="3"/>
      <c r="SHG1" s="3"/>
      <c r="SHH1" s="3"/>
      <c r="SHI1" s="3"/>
      <c r="SHJ1" s="3"/>
      <c r="SHK1" s="3"/>
      <c r="SHL1" s="3"/>
      <c r="SHM1" s="3"/>
      <c r="SHN1" s="3"/>
      <c r="SHO1" s="3"/>
      <c r="SHP1" s="3"/>
      <c r="SHQ1" s="3"/>
      <c r="SHR1" s="3"/>
      <c r="SHS1" s="3"/>
      <c r="SHT1" s="3"/>
      <c r="SHU1" s="3"/>
      <c r="SHV1" s="3"/>
      <c r="SHW1" s="3"/>
      <c r="SHX1" s="3"/>
      <c r="SHY1" s="3"/>
      <c r="SHZ1" s="3"/>
      <c r="SIA1" s="3"/>
      <c r="SIB1" s="3"/>
      <c r="SIC1" s="3"/>
      <c r="SID1" s="3"/>
      <c r="SIE1" s="3"/>
      <c r="SIF1" s="3"/>
      <c r="SIG1" s="3"/>
      <c r="SIH1" s="3"/>
      <c r="SII1" s="3"/>
      <c r="SIJ1" s="3"/>
      <c r="SIK1" s="3"/>
      <c r="SIL1" s="3"/>
      <c r="SIM1" s="3"/>
      <c r="SIN1" s="3"/>
      <c r="SIO1" s="3"/>
      <c r="SIP1" s="3"/>
      <c r="SIQ1" s="3"/>
      <c r="SIR1" s="3"/>
      <c r="SIS1" s="3"/>
      <c r="SIT1" s="3"/>
      <c r="SIU1" s="3"/>
      <c r="SIV1" s="3"/>
      <c r="SIW1" s="3"/>
      <c r="SIX1" s="3"/>
      <c r="SIY1" s="3"/>
      <c r="SIZ1" s="3"/>
      <c r="SJA1" s="3"/>
      <c r="SJB1" s="3"/>
      <c r="SJC1" s="3"/>
      <c r="SJD1" s="3"/>
      <c r="SJE1" s="3"/>
      <c r="SJF1" s="3"/>
      <c r="SJG1" s="3"/>
      <c r="SJH1" s="3"/>
      <c r="SJI1" s="3"/>
      <c r="SJJ1" s="3"/>
      <c r="SJK1" s="3"/>
      <c r="SJL1" s="3"/>
      <c r="SJM1" s="3"/>
      <c r="SJN1" s="3"/>
      <c r="SJO1" s="3"/>
      <c r="SJP1" s="3"/>
      <c r="SJQ1" s="3"/>
      <c r="SJR1" s="3"/>
      <c r="SJS1" s="3"/>
      <c r="SJT1" s="3"/>
      <c r="SJU1" s="3"/>
      <c r="SJV1" s="3"/>
      <c r="SJW1" s="3"/>
      <c r="SJX1" s="3"/>
      <c r="SJY1" s="3"/>
      <c r="SJZ1" s="3"/>
      <c r="SKA1" s="3"/>
      <c r="SKB1" s="3"/>
      <c r="SKC1" s="3"/>
      <c r="SKD1" s="3"/>
      <c r="SKE1" s="3"/>
      <c r="SKF1" s="3"/>
      <c r="SKG1" s="3"/>
      <c r="SKH1" s="3"/>
      <c r="SKI1" s="3"/>
      <c r="SKJ1" s="3"/>
      <c r="SKK1" s="3"/>
      <c r="SKL1" s="3"/>
      <c r="SKM1" s="3"/>
      <c r="SKN1" s="3"/>
      <c r="SKO1" s="3"/>
      <c r="SKP1" s="3"/>
      <c r="SKQ1" s="3"/>
      <c r="SKR1" s="3"/>
      <c r="SKS1" s="3"/>
      <c r="SKT1" s="3"/>
      <c r="SKU1" s="3"/>
      <c r="SKV1" s="3"/>
      <c r="SKW1" s="3"/>
      <c r="SKX1" s="3"/>
      <c r="SKY1" s="3"/>
      <c r="SKZ1" s="3"/>
      <c r="SLA1" s="3"/>
      <c r="SLB1" s="3"/>
      <c r="SLC1" s="3"/>
      <c r="SLD1" s="3"/>
      <c r="SLE1" s="3"/>
      <c r="SLF1" s="3"/>
      <c r="SLG1" s="3"/>
      <c r="SLH1" s="3"/>
      <c r="SLI1" s="3"/>
      <c r="SLJ1" s="3"/>
      <c r="SLK1" s="3"/>
      <c r="SLL1" s="3"/>
      <c r="SLM1" s="3"/>
      <c r="SLN1" s="3"/>
      <c r="SLO1" s="3"/>
      <c r="SLP1" s="3"/>
      <c r="SLQ1" s="3"/>
      <c r="SLR1" s="3"/>
      <c r="SLS1" s="3"/>
      <c r="SLT1" s="3"/>
      <c r="SLU1" s="3"/>
      <c r="SLV1" s="3"/>
      <c r="SLW1" s="3"/>
      <c r="SLX1" s="3"/>
      <c r="SLY1" s="3"/>
      <c r="SLZ1" s="3"/>
      <c r="SMA1" s="3"/>
      <c r="SMB1" s="3"/>
      <c r="SMC1" s="3"/>
      <c r="SMD1" s="3"/>
      <c r="SME1" s="3"/>
      <c r="SMF1" s="3"/>
      <c r="SMG1" s="3"/>
      <c r="SMH1" s="3"/>
      <c r="SMI1" s="3"/>
      <c r="SMJ1" s="3"/>
      <c r="SMK1" s="3"/>
      <c r="SML1" s="3"/>
      <c r="SMM1" s="3"/>
      <c r="SMN1" s="3"/>
      <c r="SMO1" s="3"/>
      <c r="SMP1" s="3"/>
      <c r="SMQ1" s="3"/>
      <c r="SMR1" s="3"/>
      <c r="SMS1" s="3"/>
      <c r="SMT1" s="3"/>
      <c r="SMU1" s="3"/>
      <c r="SMV1" s="3"/>
      <c r="SMW1" s="3"/>
      <c r="SMX1" s="3"/>
      <c r="SMY1" s="3"/>
      <c r="SMZ1" s="3"/>
      <c r="SNA1" s="3"/>
      <c r="SNB1" s="3"/>
      <c r="SNC1" s="3"/>
      <c r="SND1" s="3"/>
      <c r="SNE1" s="3"/>
      <c r="SNF1" s="3"/>
      <c r="SNG1" s="3"/>
      <c r="SNH1" s="3"/>
      <c r="SNI1" s="3"/>
      <c r="SNJ1" s="3"/>
      <c r="SNK1" s="3"/>
      <c r="SNL1" s="3"/>
      <c r="SNM1" s="3"/>
      <c r="SNN1" s="3"/>
      <c r="SNO1" s="3"/>
      <c r="SNP1" s="3"/>
      <c r="SNQ1" s="3"/>
      <c r="SNR1" s="3"/>
      <c r="SNS1" s="3"/>
      <c r="SNT1" s="3"/>
      <c r="SNU1" s="3"/>
      <c r="SNV1" s="3"/>
      <c r="SNW1" s="3"/>
      <c r="SNX1" s="3"/>
      <c r="SNY1" s="3"/>
      <c r="SNZ1" s="3"/>
      <c r="SOA1" s="3"/>
      <c r="SOB1" s="3"/>
      <c r="SOC1" s="3"/>
      <c r="SOD1" s="3"/>
      <c r="SOE1" s="3"/>
      <c r="SOF1" s="3"/>
      <c r="SOG1" s="3"/>
      <c r="SOH1" s="3"/>
      <c r="SOI1" s="3"/>
      <c r="SOJ1" s="3"/>
      <c r="SOK1" s="3"/>
      <c r="SOL1" s="3"/>
      <c r="SOM1" s="3"/>
      <c r="SON1" s="3"/>
      <c r="SOO1" s="3"/>
      <c r="SOP1" s="3"/>
      <c r="SOQ1" s="3"/>
      <c r="SOR1" s="3"/>
      <c r="SOS1" s="3"/>
      <c r="SOT1" s="3"/>
      <c r="SOU1" s="3"/>
      <c r="SOV1" s="3"/>
      <c r="SOW1" s="3"/>
      <c r="SOX1" s="3"/>
      <c r="SOY1" s="3"/>
      <c r="SOZ1" s="3"/>
      <c r="SPA1" s="3"/>
      <c r="SPB1" s="3"/>
      <c r="SPC1" s="3"/>
      <c r="SPD1" s="3"/>
      <c r="SPE1" s="3"/>
      <c r="SPF1" s="3"/>
      <c r="SPG1" s="3"/>
      <c r="SPH1" s="3"/>
      <c r="SPI1" s="3"/>
      <c r="SPJ1" s="3"/>
      <c r="SPK1" s="3"/>
      <c r="SPL1" s="3"/>
      <c r="SPM1" s="3"/>
      <c r="SPN1" s="3"/>
      <c r="SPO1" s="3"/>
      <c r="SPP1" s="3"/>
      <c r="SPQ1" s="3"/>
      <c r="SPR1" s="3"/>
      <c r="SPS1" s="3"/>
      <c r="SPT1" s="3"/>
      <c r="SPU1" s="3"/>
      <c r="SPV1" s="3"/>
      <c r="SPW1" s="3"/>
      <c r="SPX1" s="3"/>
      <c r="SPY1" s="3"/>
      <c r="SPZ1" s="3"/>
      <c r="SQA1" s="3"/>
      <c r="SQB1" s="3"/>
      <c r="SQC1" s="3"/>
      <c r="SQD1" s="3"/>
      <c r="SQE1" s="3"/>
      <c r="SQF1" s="3"/>
      <c r="SQG1" s="3"/>
      <c r="SQH1" s="3"/>
      <c r="SQI1" s="3"/>
      <c r="SQJ1" s="3"/>
      <c r="SQK1" s="3"/>
      <c r="SQL1" s="3"/>
      <c r="SQM1" s="3"/>
      <c r="SQN1" s="3"/>
      <c r="SQO1" s="3"/>
      <c r="SQP1" s="3"/>
      <c r="SQQ1" s="3"/>
      <c r="SQR1" s="3"/>
      <c r="SQS1" s="3"/>
      <c r="SQT1" s="3"/>
      <c r="SQU1" s="3"/>
      <c r="SQV1" s="3"/>
      <c r="SQW1" s="3"/>
      <c r="SQX1" s="3"/>
      <c r="SQY1" s="3"/>
      <c r="SQZ1" s="3"/>
      <c r="SRA1" s="3"/>
      <c r="SRB1" s="3"/>
      <c r="SRC1" s="3"/>
      <c r="SRD1" s="3"/>
      <c r="SRE1" s="3"/>
      <c r="SRF1" s="3"/>
      <c r="SRG1" s="3"/>
      <c r="SRH1" s="3"/>
      <c r="SRI1" s="3"/>
      <c r="SRJ1" s="3"/>
      <c r="SRK1" s="3"/>
      <c r="SRL1" s="3"/>
      <c r="SRM1" s="3"/>
      <c r="SRN1" s="3"/>
      <c r="SRO1" s="3"/>
      <c r="SRP1" s="3"/>
      <c r="SRQ1" s="3"/>
      <c r="SRR1" s="3"/>
      <c r="SRS1" s="3"/>
      <c r="SRT1" s="3"/>
      <c r="SRU1" s="3"/>
      <c r="SRV1" s="3"/>
      <c r="SRW1" s="3"/>
      <c r="SRX1" s="3"/>
      <c r="SRY1" s="3"/>
      <c r="SRZ1" s="3"/>
      <c r="SSA1" s="3"/>
      <c r="SSB1" s="3"/>
      <c r="SSC1" s="3"/>
      <c r="SSD1" s="3"/>
      <c r="SSE1" s="3"/>
      <c r="SSF1" s="3"/>
      <c r="SSG1" s="3"/>
      <c r="SSH1" s="3"/>
      <c r="SSI1" s="3"/>
      <c r="SSJ1" s="3"/>
      <c r="SSK1" s="3"/>
      <c r="SSL1" s="3"/>
      <c r="SSM1" s="3"/>
      <c r="SSN1" s="3"/>
      <c r="SSO1" s="3"/>
      <c r="SSP1" s="3"/>
      <c r="SSQ1" s="3"/>
      <c r="SSR1" s="3"/>
      <c r="SSS1" s="3"/>
      <c r="SST1" s="3"/>
      <c r="SSU1" s="3"/>
      <c r="SSV1" s="3"/>
      <c r="SSW1" s="3"/>
      <c r="SSX1" s="3"/>
      <c r="SSY1" s="3"/>
      <c r="SSZ1" s="3"/>
      <c r="STA1" s="3"/>
      <c r="STB1" s="3"/>
      <c r="STC1" s="3"/>
      <c r="STD1" s="3"/>
      <c r="STE1" s="3"/>
      <c r="STF1" s="3"/>
      <c r="STG1" s="3"/>
      <c r="STH1" s="3"/>
      <c r="STI1" s="3"/>
      <c r="STJ1" s="3"/>
      <c r="STK1" s="3"/>
      <c r="STL1" s="3"/>
      <c r="STM1" s="3"/>
      <c r="STN1" s="3"/>
      <c r="STO1" s="3"/>
      <c r="STP1" s="3"/>
      <c r="STQ1" s="3"/>
      <c r="STR1" s="3"/>
      <c r="STS1" s="3"/>
      <c r="STT1" s="3"/>
      <c r="STU1" s="3"/>
      <c r="STV1" s="3"/>
      <c r="STW1" s="3"/>
      <c r="STX1" s="3"/>
      <c r="STY1" s="3"/>
      <c r="STZ1" s="3"/>
      <c r="SUA1" s="3"/>
      <c r="SUB1" s="3"/>
      <c r="SUC1" s="3"/>
      <c r="SUD1" s="3"/>
      <c r="SUE1" s="3"/>
      <c r="SUF1" s="3"/>
      <c r="SUG1" s="3"/>
      <c r="SUH1" s="3"/>
      <c r="SUI1" s="3"/>
      <c r="SUJ1" s="3"/>
      <c r="SUK1" s="3"/>
      <c r="SUL1" s="3"/>
      <c r="SUM1" s="3"/>
      <c r="SUN1" s="3"/>
      <c r="SUO1" s="3"/>
      <c r="SUP1" s="3"/>
      <c r="SUQ1" s="3"/>
      <c r="SUR1" s="3"/>
      <c r="SUS1" s="3"/>
      <c r="SUT1" s="3"/>
      <c r="SUU1" s="3"/>
      <c r="SUV1" s="3"/>
      <c r="SUW1" s="3"/>
      <c r="SUX1" s="3"/>
      <c r="SUY1" s="3"/>
      <c r="SUZ1" s="3"/>
      <c r="SVA1" s="3"/>
      <c r="SVB1" s="3"/>
      <c r="SVC1" s="3"/>
      <c r="SVD1" s="3"/>
      <c r="SVE1" s="3"/>
      <c r="SVF1" s="3"/>
      <c r="SVG1" s="3"/>
      <c r="SVH1" s="3"/>
      <c r="SVI1" s="3"/>
      <c r="SVJ1" s="3"/>
      <c r="SVK1" s="3"/>
      <c r="SVL1" s="3"/>
      <c r="SVM1" s="3"/>
      <c r="SVN1" s="3"/>
      <c r="SVO1" s="3"/>
      <c r="SVP1" s="3"/>
      <c r="SVQ1" s="3"/>
      <c r="SVR1" s="3"/>
      <c r="SVS1" s="3"/>
      <c r="SVT1" s="3"/>
      <c r="SVU1" s="3"/>
      <c r="SVV1" s="3"/>
      <c r="SVW1" s="3"/>
      <c r="SVX1" s="3"/>
      <c r="SVY1" s="3"/>
      <c r="SVZ1" s="3"/>
      <c r="SWA1" s="3"/>
      <c r="SWB1" s="3"/>
      <c r="SWC1" s="3"/>
      <c r="SWD1" s="3"/>
      <c r="SWE1" s="3"/>
      <c r="SWF1" s="3"/>
      <c r="SWG1" s="3"/>
      <c r="SWH1" s="3"/>
      <c r="SWI1" s="3"/>
      <c r="SWJ1" s="3"/>
      <c r="SWK1" s="3"/>
      <c r="SWL1" s="3"/>
      <c r="SWM1" s="3"/>
      <c r="SWN1" s="3"/>
      <c r="SWO1" s="3"/>
      <c r="SWP1" s="3"/>
      <c r="SWQ1" s="3"/>
      <c r="SWR1" s="3"/>
      <c r="SWS1" s="3"/>
      <c r="SWT1" s="3"/>
      <c r="SWU1" s="3"/>
      <c r="SWV1" s="3"/>
      <c r="SWW1" s="3"/>
      <c r="SWX1" s="3"/>
      <c r="SWY1" s="3"/>
      <c r="SWZ1" s="3"/>
      <c r="SXA1" s="3"/>
      <c r="SXB1" s="3"/>
      <c r="SXC1" s="3"/>
      <c r="SXD1" s="3"/>
      <c r="SXE1" s="3"/>
      <c r="SXF1" s="3"/>
      <c r="SXG1" s="3"/>
      <c r="SXH1" s="3"/>
      <c r="SXI1" s="3"/>
      <c r="SXJ1" s="3"/>
      <c r="SXK1" s="3"/>
      <c r="SXL1" s="3"/>
      <c r="SXM1" s="3"/>
      <c r="SXN1" s="3"/>
      <c r="SXO1" s="3"/>
      <c r="SXP1" s="3"/>
      <c r="SXQ1" s="3"/>
      <c r="SXR1" s="3"/>
      <c r="SXS1" s="3"/>
      <c r="SXT1" s="3"/>
      <c r="SXU1" s="3"/>
      <c r="SXV1" s="3"/>
      <c r="SXW1" s="3"/>
      <c r="SXX1" s="3"/>
      <c r="SXY1" s="3"/>
      <c r="SXZ1" s="3"/>
      <c r="SYA1" s="3"/>
      <c r="SYB1" s="3"/>
      <c r="SYC1" s="3"/>
      <c r="SYD1" s="3"/>
      <c r="SYE1" s="3"/>
      <c r="SYF1" s="3"/>
      <c r="SYG1" s="3"/>
      <c r="SYH1" s="3"/>
      <c r="SYI1" s="3"/>
      <c r="SYJ1" s="3"/>
      <c r="SYK1" s="3"/>
      <c r="SYL1" s="3"/>
      <c r="SYM1" s="3"/>
      <c r="SYN1" s="3"/>
      <c r="SYO1" s="3"/>
      <c r="SYP1" s="3"/>
      <c r="SYQ1" s="3"/>
      <c r="SYR1" s="3"/>
      <c r="SYS1" s="3"/>
      <c r="SYT1" s="3"/>
      <c r="SYU1" s="3"/>
      <c r="SYV1" s="3"/>
      <c r="SYW1" s="3"/>
      <c r="SYX1" s="3"/>
      <c r="SYY1" s="3"/>
      <c r="SYZ1" s="3"/>
      <c r="SZA1" s="3"/>
      <c r="SZB1" s="3"/>
      <c r="SZC1" s="3"/>
      <c r="SZD1" s="3"/>
      <c r="SZE1" s="3"/>
      <c r="SZF1" s="3"/>
      <c r="SZG1" s="3"/>
      <c r="SZH1" s="3"/>
      <c r="SZI1" s="3"/>
      <c r="SZJ1" s="3"/>
      <c r="SZK1" s="3"/>
      <c r="SZL1" s="3"/>
      <c r="SZM1" s="3"/>
      <c r="SZN1" s="3"/>
      <c r="SZO1" s="3"/>
      <c r="SZP1" s="3"/>
      <c r="SZQ1" s="3"/>
      <c r="SZR1" s="3"/>
      <c r="SZS1" s="3"/>
      <c r="SZT1" s="3"/>
      <c r="SZU1" s="3"/>
      <c r="SZV1" s="3"/>
      <c r="SZW1" s="3"/>
      <c r="SZX1" s="3"/>
      <c r="SZY1" s="3"/>
      <c r="SZZ1" s="3"/>
      <c r="TAA1" s="3"/>
      <c r="TAB1" s="3"/>
      <c r="TAC1" s="3"/>
      <c r="TAD1" s="3"/>
      <c r="TAE1" s="3"/>
      <c r="TAF1" s="3"/>
      <c r="TAG1" s="3"/>
      <c r="TAH1" s="3"/>
      <c r="TAI1" s="3"/>
      <c r="TAJ1" s="3"/>
      <c r="TAK1" s="3"/>
      <c r="TAL1" s="3"/>
      <c r="TAM1" s="3"/>
      <c r="TAN1" s="3"/>
      <c r="TAO1" s="3"/>
      <c r="TAP1" s="3"/>
      <c r="TAQ1" s="3"/>
      <c r="TAR1" s="3"/>
      <c r="TAS1" s="3"/>
      <c r="TAT1" s="3"/>
      <c r="TAU1" s="3"/>
      <c r="TAV1" s="3"/>
      <c r="TAW1" s="3"/>
      <c r="TAX1" s="3"/>
      <c r="TAY1" s="3"/>
      <c r="TAZ1" s="3"/>
      <c r="TBA1" s="3"/>
      <c r="TBB1" s="3"/>
      <c r="TBC1" s="3"/>
      <c r="TBD1" s="3"/>
      <c r="TBE1" s="3"/>
      <c r="TBF1" s="3"/>
      <c r="TBG1" s="3"/>
      <c r="TBH1" s="3"/>
      <c r="TBI1" s="3"/>
      <c r="TBJ1" s="3"/>
      <c r="TBK1" s="3"/>
      <c r="TBL1" s="3"/>
      <c r="TBM1" s="3"/>
      <c r="TBN1" s="3"/>
      <c r="TBO1" s="3"/>
      <c r="TBP1" s="3"/>
      <c r="TBQ1" s="3"/>
      <c r="TBR1" s="3"/>
      <c r="TBS1" s="3"/>
      <c r="TBT1" s="3"/>
      <c r="TBU1" s="3"/>
      <c r="TBV1" s="3"/>
      <c r="TBW1" s="3"/>
      <c r="TBX1" s="3"/>
      <c r="TBY1" s="3"/>
      <c r="TBZ1" s="3"/>
      <c r="TCA1" s="3"/>
      <c r="TCB1" s="3"/>
      <c r="TCC1" s="3"/>
      <c r="TCD1" s="3"/>
      <c r="TCE1" s="3"/>
      <c r="TCF1" s="3"/>
      <c r="TCG1" s="3"/>
      <c r="TCH1" s="3"/>
      <c r="TCI1" s="3"/>
      <c r="TCJ1" s="3"/>
      <c r="TCK1" s="3"/>
      <c r="TCL1" s="3"/>
      <c r="TCM1" s="3"/>
      <c r="TCN1" s="3"/>
      <c r="TCO1" s="3"/>
      <c r="TCP1" s="3"/>
      <c r="TCQ1" s="3"/>
      <c r="TCR1" s="3"/>
      <c r="TCS1" s="3"/>
      <c r="TCT1" s="3"/>
      <c r="TCU1" s="3"/>
      <c r="TCV1" s="3"/>
      <c r="TCW1" s="3"/>
      <c r="TCX1" s="3"/>
      <c r="TCY1" s="3"/>
      <c r="TCZ1" s="3"/>
      <c r="TDA1" s="3"/>
      <c r="TDB1" s="3"/>
      <c r="TDC1" s="3"/>
      <c r="TDD1" s="3"/>
      <c r="TDE1" s="3"/>
      <c r="TDF1" s="3"/>
      <c r="TDG1" s="3"/>
      <c r="TDH1" s="3"/>
      <c r="TDI1" s="3"/>
      <c r="TDJ1" s="3"/>
      <c r="TDK1" s="3"/>
      <c r="TDL1" s="3"/>
      <c r="TDM1" s="3"/>
      <c r="TDN1" s="3"/>
      <c r="TDO1" s="3"/>
      <c r="TDP1" s="3"/>
      <c r="TDQ1" s="3"/>
      <c r="TDR1" s="3"/>
      <c r="TDS1" s="3"/>
      <c r="TDT1" s="3"/>
      <c r="TDU1" s="3"/>
      <c r="TDV1" s="3"/>
      <c r="TDW1" s="3"/>
      <c r="TDX1" s="3"/>
      <c r="TDY1" s="3"/>
      <c r="TDZ1" s="3"/>
      <c r="TEA1" s="3"/>
      <c r="TEB1" s="3"/>
      <c r="TEC1" s="3"/>
      <c r="TED1" s="3"/>
      <c r="TEE1" s="3"/>
      <c r="TEF1" s="3"/>
      <c r="TEG1" s="3"/>
      <c r="TEH1" s="3"/>
      <c r="TEI1" s="3"/>
      <c r="TEJ1" s="3"/>
      <c r="TEK1" s="3"/>
      <c r="TEL1" s="3"/>
      <c r="TEM1" s="3"/>
      <c r="TEN1" s="3"/>
      <c r="TEO1" s="3"/>
      <c r="TEP1" s="3"/>
      <c r="TEQ1" s="3"/>
      <c r="TER1" s="3"/>
      <c r="TES1" s="3"/>
      <c r="TET1" s="3"/>
      <c r="TEU1" s="3"/>
      <c r="TEV1" s="3"/>
      <c r="TEW1" s="3"/>
      <c r="TEX1" s="3"/>
      <c r="TEY1" s="3"/>
      <c r="TEZ1" s="3"/>
      <c r="TFA1" s="3"/>
      <c r="TFB1" s="3"/>
      <c r="TFC1" s="3"/>
      <c r="TFD1" s="3"/>
      <c r="TFE1" s="3"/>
      <c r="TFF1" s="3"/>
      <c r="TFG1" s="3"/>
      <c r="TFH1" s="3"/>
      <c r="TFI1" s="3"/>
      <c r="TFJ1" s="3"/>
      <c r="TFK1" s="3"/>
      <c r="TFL1" s="3"/>
      <c r="TFM1" s="3"/>
      <c r="TFN1" s="3"/>
      <c r="TFO1" s="3"/>
      <c r="TFP1" s="3"/>
      <c r="TFQ1" s="3"/>
      <c r="TFR1" s="3"/>
      <c r="TFS1" s="3"/>
      <c r="TFT1" s="3"/>
      <c r="TFU1" s="3"/>
      <c r="TFV1" s="3"/>
      <c r="TFW1" s="3"/>
      <c r="TFX1" s="3"/>
      <c r="TFY1" s="3"/>
      <c r="TFZ1" s="3"/>
      <c r="TGA1" s="3"/>
      <c r="TGB1" s="3"/>
      <c r="TGC1" s="3"/>
      <c r="TGD1" s="3"/>
      <c r="TGE1" s="3"/>
      <c r="TGF1" s="3"/>
      <c r="TGG1" s="3"/>
      <c r="TGH1" s="3"/>
      <c r="TGI1" s="3"/>
      <c r="TGJ1" s="3"/>
      <c r="TGK1" s="3"/>
      <c r="TGL1" s="3"/>
      <c r="TGM1" s="3"/>
      <c r="TGN1" s="3"/>
      <c r="TGO1" s="3"/>
      <c r="TGP1" s="3"/>
      <c r="TGQ1" s="3"/>
      <c r="TGR1" s="3"/>
      <c r="TGS1" s="3"/>
      <c r="TGT1" s="3"/>
      <c r="TGU1" s="3"/>
      <c r="TGV1" s="3"/>
      <c r="TGW1" s="3"/>
      <c r="TGX1" s="3"/>
      <c r="TGY1" s="3"/>
      <c r="TGZ1" s="3"/>
      <c r="THA1" s="3"/>
      <c r="THB1" s="3"/>
      <c r="THC1" s="3"/>
      <c r="THD1" s="3"/>
      <c r="THE1" s="3"/>
      <c r="THF1" s="3"/>
      <c r="THG1" s="3"/>
      <c r="THH1" s="3"/>
      <c r="THI1" s="3"/>
      <c r="THJ1" s="3"/>
      <c r="THK1" s="3"/>
      <c r="THL1" s="3"/>
      <c r="THM1" s="3"/>
      <c r="THN1" s="3"/>
      <c r="THO1" s="3"/>
      <c r="THP1" s="3"/>
      <c r="THQ1" s="3"/>
      <c r="THR1" s="3"/>
      <c r="THS1" s="3"/>
      <c r="THT1" s="3"/>
      <c r="THU1" s="3"/>
      <c r="THV1" s="3"/>
      <c r="THW1" s="3"/>
      <c r="THX1" s="3"/>
      <c r="THY1" s="3"/>
      <c r="THZ1" s="3"/>
      <c r="TIA1" s="3"/>
      <c r="TIB1" s="3"/>
      <c r="TIC1" s="3"/>
      <c r="TID1" s="3"/>
      <c r="TIE1" s="3"/>
      <c r="TIF1" s="3"/>
      <c r="TIG1" s="3"/>
      <c r="TIH1" s="3"/>
      <c r="TII1" s="3"/>
      <c r="TIJ1" s="3"/>
      <c r="TIK1" s="3"/>
      <c r="TIL1" s="3"/>
      <c r="TIM1" s="3"/>
      <c r="TIN1" s="3"/>
      <c r="TIO1" s="3"/>
      <c r="TIP1" s="3"/>
      <c r="TIQ1" s="3"/>
      <c r="TIR1" s="3"/>
      <c r="TIS1" s="3"/>
      <c r="TIT1" s="3"/>
      <c r="TIU1" s="3"/>
      <c r="TIV1" s="3"/>
      <c r="TIW1" s="3"/>
      <c r="TIX1" s="3"/>
      <c r="TIY1" s="3"/>
      <c r="TIZ1" s="3"/>
      <c r="TJA1" s="3"/>
      <c r="TJB1" s="3"/>
      <c r="TJC1" s="3"/>
      <c r="TJD1" s="3"/>
      <c r="TJE1" s="3"/>
      <c r="TJF1" s="3"/>
      <c r="TJG1" s="3"/>
      <c r="TJH1" s="3"/>
      <c r="TJI1" s="3"/>
      <c r="TJJ1" s="3"/>
      <c r="TJK1" s="3"/>
      <c r="TJL1" s="3"/>
      <c r="TJM1" s="3"/>
      <c r="TJN1" s="3"/>
      <c r="TJO1" s="3"/>
      <c r="TJP1" s="3"/>
      <c r="TJQ1" s="3"/>
      <c r="TJR1" s="3"/>
      <c r="TJS1" s="3"/>
      <c r="TJT1" s="3"/>
      <c r="TJU1" s="3"/>
      <c r="TJV1" s="3"/>
      <c r="TJW1" s="3"/>
      <c r="TJX1" s="3"/>
      <c r="TJY1" s="3"/>
      <c r="TJZ1" s="3"/>
      <c r="TKA1" s="3"/>
      <c r="TKB1" s="3"/>
      <c r="TKC1" s="3"/>
      <c r="TKD1" s="3"/>
      <c r="TKE1" s="3"/>
      <c r="TKF1" s="3"/>
      <c r="TKG1" s="3"/>
      <c r="TKH1" s="3"/>
      <c r="TKI1" s="3"/>
      <c r="TKJ1" s="3"/>
      <c r="TKK1" s="3"/>
      <c r="TKL1" s="3"/>
      <c r="TKM1" s="3"/>
      <c r="TKN1" s="3"/>
      <c r="TKO1" s="3"/>
      <c r="TKP1" s="3"/>
      <c r="TKQ1" s="3"/>
      <c r="TKR1" s="3"/>
      <c r="TKS1" s="3"/>
      <c r="TKT1" s="3"/>
      <c r="TKU1" s="3"/>
      <c r="TKV1" s="3"/>
      <c r="TKW1" s="3"/>
      <c r="TKX1" s="3"/>
      <c r="TKY1" s="3"/>
      <c r="TKZ1" s="3"/>
      <c r="TLA1" s="3"/>
      <c r="TLB1" s="3"/>
      <c r="TLC1" s="3"/>
      <c r="TLD1" s="3"/>
      <c r="TLE1" s="3"/>
      <c r="TLF1" s="3"/>
      <c r="TLG1" s="3"/>
      <c r="TLH1" s="3"/>
      <c r="TLI1" s="3"/>
      <c r="TLJ1" s="3"/>
      <c r="TLK1" s="3"/>
      <c r="TLL1" s="3"/>
      <c r="TLM1" s="3"/>
      <c r="TLN1" s="3"/>
      <c r="TLO1" s="3"/>
      <c r="TLP1" s="3"/>
      <c r="TLQ1" s="3"/>
      <c r="TLR1" s="3"/>
      <c r="TLS1" s="3"/>
      <c r="TLT1" s="3"/>
      <c r="TLU1" s="3"/>
      <c r="TLV1" s="3"/>
      <c r="TLW1" s="3"/>
      <c r="TLX1" s="3"/>
      <c r="TLY1" s="3"/>
      <c r="TLZ1" s="3"/>
      <c r="TMA1" s="3"/>
      <c r="TMB1" s="3"/>
      <c r="TMC1" s="3"/>
      <c r="TMD1" s="3"/>
      <c r="TME1" s="3"/>
      <c r="TMF1" s="3"/>
      <c r="TMG1" s="3"/>
      <c r="TMH1" s="3"/>
      <c r="TMI1" s="3"/>
      <c r="TMJ1" s="3"/>
      <c r="TMK1" s="3"/>
      <c r="TML1" s="3"/>
      <c r="TMM1" s="3"/>
      <c r="TMN1" s="3"/>
      <c r="TMO1" s="3"/>
      <c r="TMP1" s="3"/>
      <c r="TMQ1" s="3"/>
      <c r="TMR1" s="3"/>
      <c r="TMS1" s="3"/>
      <c r="TMT1" s="3"/>
      <c r="TMU1" s="3"/>
      <c r="TMV1" s="3"/>
      <c r="TMW1" s="3"/>
      <c r="TMX1" s="3"/>
      <c r="TMY1" s="3"/>
      <c r="TMZ1" s="3"/>
      <c r="TNA1" s="3"/>
      <c r="TNB1" s="3"/>
      <c r="TNC1" s="3"/>
      <c r="TND1" s="3"/>
      <c r="TNE1" s="3"/>
      <c r="TNF1" s="3"/>
      <c r="TNG1" s="3"/>
      <c r="TNH1" s="3"/>
      <c r="TNI1" s="3"/>
      <c r="TNJ1" s="3"/>
      <c r="TNK1" s="3"/>
      <c r="TNL1" s="3"/>
      <c r="TNM1" s="3"/>
      <c r="TNN1" s="3"/>
      <c r="TNO1" s="3"/>
      <c r="TNP1" s="3"/>
      <c r="TNQ1" s="3"/>
      <c r="TNR1" s="3"/>
      <c r="TNS1" s="3"/>
      <c r="TNT1" s="3"/>
      <c r="TNU1" s="3"/>
      <c r="TNV1" s="3"/>
      <c r="TNW1" s="3"/>
      <c r="TNX1" s="3"/>
      <c r="TNY1" s="3"/>
      <c r="TNZ1" s="3"/>
      <c r="TOA1" s="3"/>
      <c r="TOB1" s="3"/>
      <c r="TOC1" s="3"/>
      <c r="TOD1" s="3"/>
      <c r="TOE1" s="3"/>
      <c r="TOF1" s="3"/>
      <c r="TOG1" s="3"/>
      <c r="TOH1" s="3"/>
      <c r="TOI1" s="3"/>
      <c r="TOJ1" s="3"/>
      <c r="TOK1" s="3"/>
      <c r="TOL1" s="3"/>
      <c r="TOM1" s="3"/>
      <c r="TON1" s="3"/>
      <c r="TOO1" s="3"/>
      <c r="TOP1" s="3"/>
      <c r="TOQ1" s="3"/>
      <c r="TOR1" s="3"/>
      <c r="TOS1" s="3"/>
      <c r="TOT1" s="3"/>
      <c r="TOU1" s="3"/>
      <c r="TOV1" s="3"/>
      <c r="TOW1" s="3"/>
      <c r="TOX1" s="3"/>
      <c r="TOY1" s="3"/>
      <c r="TOZ1" s="3"/>
      <c r="TPA1" s="3"/>
      <c r="TPB1" s="3"/>
      <c r="TPC1" s="3"/>
      <c r="TPD1" s="3"/>
      <c r="TPE1" s="3"/>
      <c r="TPF1" s="3"/>
      <c r="TPG1" s="3"/>
      <c r="TPH1" s="3"/>
      <c r="TPI1" s="3"/>
      <c r="TPJ1" s="3"/>
      <c r="TPK1" s="3"/>
      <c r="TPL1" s="3"/>
      <c r="TPM1" s="3"/>
      <c r="TPN1" s="3"/>
      <c r="TPO1" s="3"/>
      <c r="TPP1" s="3"/>
      <c r="TPQ1" s="3"/>
      <c r="TPR1" s="3"/>
      <c r="TPS1" s="3"/>
      <c r="TPT1" s="3"/>
      <c r="TPU1" s="3"/>
      <c r="TPV1" s="3"/>
      <c r="TPW1" s="3"/>
      <c r="TPX1" s="3"/>
      <c r="TPY1" s="3"/>
      <c r="TPZ1" s="3"/>
      <c r="TQA1" s="3"/>
      <c r="TQB1" s="3"/>
      <c r="TQC1" s="3"/>
      <c r="TQD1" s="3"/>
      <c r="TQE1" s="3"/>
      <c r="TQF1" s="3"/>
      <c r="TQG1" s="3"/>
      <c r="TQH1" s="3"/>
      <c r="TQI1" s="3"/>
      <c r="TQJ1" s="3"/>
      <c r="TQK1" s="3"/>
      <c r="TQL1" s="3"/>
      <c r="TQM1" s="3"/>
      <c r="TQN1" s="3"/>
      <c r="TQO1" s="3"/>
      <c r="TQP1" s="3"/>
      <c r="TQQ1" s="3"/>
      <c r="TQR1" s="3"/>
      <c r="TQS1" s="3"/>
      <c r="TQT1" s="3"/>
      <c r="TQU1" s="3"/>
      <c r="TQV1" s="3"/>
      <c r="TQW1" s="3"/>
      <c r="TQX1" s="3"/>
      <c r="TQY1" s="3"/>
      <c r="TQZ1" s="3"/>
      <c r="TRA1" s="3"/>
      <c r="TRB1" s="3"/>
      <c r="TRC1" s="3"/>
      <c r="TRD1" s="3"/>
      <c r="TRE1" s="3"/>
      <c r="TRF1" s="3"/>
      <c r="TRG1" s="3"/>
      <c r="TRH1" s="3"/>
      <c r="TRI1" s="3"/>
      <c r="TRJ1" s="3"/>
      <c r="TRK1" s="3"/>
      <c r="TRL1" s="3"/>
      <c r="TRM1" s="3"/>
      <c r="TRN1" s="3"/>
      <c r="TRO1" s="3"/>
      <c r="TRP1" s="3"/>
      <c r="TRQ1" s="3"/>
      <c r="TRR1" s="3"/>
      <c r="TRS1" s="3"/>
      <c r="TRT1" s="3"/>
      <c r="TRU1" s="3"/>
      <c r="TRV1" s="3"/>
      <c r="TRW1" s="3"/>
      <c r="TRX1" s="3"/>
      <c r="TRY1" s="3"/>
      <c r="TRZ1" s="3"/>
      <c r="TSA1" s="3"/>
      <c r="TSB1" s="3"/>
      <c r="TSC1" s="3"/>
      <c r="TSD1" s="3"/>
      <c r="TSE1" s="3"/>
      <c r="TSF1" s="3"/>
      <c r="TSG1" s="3"/>
      <c r="TSH1" s="3"/>
      <c r="TSI1" s="3"/>
      <c r="TSJ1" s="3"/>
      <c r="TSK1" s="3"/>
      <c r="TSL1" s="3"/>
      <c r="TSM1" s="3"/>
      <c r="TSN1" s="3"/>
      <c r="TSO1" s="3"/>
      <c r="TSP1" s="3"/>
      <c r="TSQ1" s="3"/>
      <c r="TSR1" s="3"/>
      <c r="TSS1" s="3"/>
      <c r="TST1" s="3"/>
      <c r="TSU1" s="3"/>
      <c r="TSV1" s="3"/>
      <c r="TSW1" s="3"/>
      <c r="TSX1" s="3"/>
      <c r="TSY1" s="3"/>
      <c r="TSZ1" s="3"/>
      <c r="TTA1" s="3"/>
      <c r="TTB1" s="3"/>
      <c r="TTC1" s="3"/>
      <c r="TTD1" s="3"/>
      <c r="TTE1" s="3"/>
      <c r="TTF1" s="3"/>
      <c r="TTG1" s="3"/>
      <c r="TTH1" s="3"/>
      <c r="TTI1" s="3"/>
      <c r="TTJ1" s="3"/>
      <c r="TTK1" s="3"/>
      <c r="TTL1" s="3"/>
      <c r="TTM1" s="3"/>
      <c r="TTN1" s="3"/>
      <c r="TTO1" s="3"/>
      <c r="TTP1" s="3"/>
      <c r="TTQ1" s="3"/>
      <c r="TTR1" s="3"/>
      <c r="TTS1" s="3"/>
      <c r="TTT1" s="3"/>
      <c r="TTU1" s="3"/>
      <c r="TTV1" s="3"/>
      <c r="TTW1" s="3"/>
      <c r="TTX1" s="3"/>
      <c r="TTY1" s="3"/>
      <c r="TTZ1" s="3"/>
      <c r="TUA1" s="3"/>
      <c r="TUB1" s="3"/>
      <c r="TUC1" s="3"/>
      <c r="TUD1" s="3"/>
      <c r="TUE1" s="3"/>
      <c r="TUF1" s="3"/>
      <c r="TUG1" s="3"/>
      <c r="TUH1" s="3"/>
      <c r="TUI1" s="3"/>
      <c r="TUJ1" s="3"/>
      <c r="TUK1" s="3"/>
      <c r="TUL1" s="3"/>
      <c r="TUM1" s="3"/>
      <c r="TUN1" s="3"/>
      <c r="TUO1" s="3"/>
      <c r="TUP1" s="3"/>
      <c r="TUQ1" s="3"/>
      <c r="TUR1" s="3"/>
      <c r="TUS1" s="3"/>
      <c r="TUT1" s="3"/>
      <c r="TUU1" s="3"/>
      <c r="TUV1" s="3"/>
      <c r="TUW1" s="3"/>
      <c r="TUX1" s="3"/>
      <c r="TUY1" s="3"/>
      <c r="TUZ1" s="3"/>
      <c r="TVA1" s="3"/>
      <c r="TVB1" s="3"/>
      <c r="TVC1" s="3"/>
      <c r="TVD1" s="3"/>
      <c r="TVE1" s="3"/>
      <c r="TVF1" s="3"/>
      <c r="TVG1" s="3"/>
      <c r="TVH1" s="3"/>
      <c r="TVI1" s="3"/>
      <c r="TVJ1" s="3"/>
      <c r="TVK1" s="3"/>
      <c r="TVL1" s="3"/>
      <c r="TVM1" s="3"/>
      <c r="TVN1" s="3"/>
      <c r="TVO1" s="3"/>
      <c r="TVP1" s="3"/>
      <c r="TVQ1" s="3"/>
      <c r="TVR1" s="3"/>
      <c r="TVS1" s="3"/>
      <c r="TVT1" s="3"/>
      <c r="TVU1" s="3"/>
      <c r="TVV1" s="3"/>
      <c r="TVW1" s="3"/>
      <c r="TVX1" s="3"/>
      <c r="TVY1" s="3"/>
      <c r="TVZ1" s="3"/>
      <c r="TWA1" s="3"/>
      <c r="TWB1" s="3"/>
      <c r="TWC1" s="3"/>
      <c r="TWD1" s="3"/>
      <c r="TWE1" s="3"/>
      <c r="TWF1" s="3"/>
      <c r="TWG1" s="3"/>
      <c r="TWH1" s="3"/>
      <c r="TWI1" s="3"/>
      <c r="TWJ1" s="3"/>
      <c r="TWK1" s="3"/>
      <c r="TWL1" s="3"/>
      <c r="TWM1" s="3"/>
      <c r="TWN1" s="3"/>
      <c r="TWO1" s="3"/>
      <c r="TWP1" s="3"/>
      <c r="TWQ1" s="3"/>
      <c r="TWR1" s="3"/>
      <c r="TWS1" s="3"/>
      <c r="TWT1" s="3"/>
      <c r="TWU1" s="3"/>
      <c r="TWV1" s="3"/>
      <c r="TWW1" s="3"/>
      <c r="TWX1" s="3"/>
      <c r="TWY1" s="3"/>
      <c r="TWZ1" s="3"/>
      <c r="TXA1" s="3"/>
      <c r="TXB1" s="3"/>
      <c r="TXC1" s="3"/>
      <c r="TXD1" s="3"/>
      <c r="TXE1" s="3"/>
      <c r="TXF1" s="3"/>
      <c r="TXG1" s="3"/>
      <c r="TXH1" s="3"/>
      <c r="TXI1" s="3"/>
      <c r="TXJ1" s="3"/>
      <c r="TXK1" s="3"/>
      <c r="TXL1" s="3"/>
      <c r="TXM1" s="3"/>
      <c r="TXN1" s="3"/>
      <c r="TXO1" s="3"/>
      <c r="TXP1" s="3"/>
      <c r="TXQ1" s="3"/>
      <c r="TXR1" s="3"/>
      <c r="TXS1" s="3"/>
      <c r="TXT1" s="3"/>
      <c r="TXU1" s="3"/>
      <c r="TXV1" s="3"/>
      <c r="TXW1" s="3"/>
      <c r="TXX1" s="3"/>
      <c r="TXY1" s="3"/>
      <c r="TXZ1" s="3"/>
      <c r="TYA1" s="3"/>
      <c r="TYB1" s="3"/>
      <c r="TYC1" s="3"/>
      <c r="TYD1" s="3"/>
      <c r="TYE1" s="3"/>
      <c r="TYF1" s="3"/>
      <c r="TYG1" s="3"/>
      <c r="TYH1" s="3"/>
      <c r="TYI1" s="3"/>
      <c r="TYJ1" s="3"/>
      <c r="TYK1" s="3"/>
      <c r="TYL1" s="3"/>
      <c r="TYM1" s="3"/>
      <c r="TYN1" s="3"/>
      <c r="TYO1" s="3"/>
      <c r="TYP1" s="3"/>
      <c r="TYQ1" s="3"/>
      <c r="TYR1" s="3"/>
      <c r="TYS1" s="3"/>
      <c r="TYT1" s="3"/>
      <c r="TYU1" s="3"/>
      <c r="TYV1" s="3"/>
      <c r="TYW1" s="3"/>
      <c r="TYX1" s="3"/>
      <c r="TYY1" s="3"/>
      <c r="TYZ1" s="3"/>
      <c r="TZA1" s="3"/>
      <c r="TZB1" s="3"/>
      <c r="TZC1" s="3"/>
      <c r="TZD1" s="3"/>
      <c r="TZE1" s="3"/>
      <c r="TZF1" s="3"/>
      <c r="TZG1" s="3"/>
      <c r="TZH1" s="3"/>
      <c r="TZI1" s="3"/>
      <c r="TZJ1" s="3"/>
      <c r="TZK1" s="3"/>
      <c r="TZL1" s="3"/>
      <c r="TZM1" s="3"/>
      <c r="TZN1" s="3"/>
      <c r="TZO1" s="3"/>
      <c r="TZP1" s="3"/>
      <c r="TZQ1" s="3"/>
      <c r="TZR1" s="3"/>
      <c r="TZS1" s="3"/>
      <c r="TZT1" s="3"/>
      <c r="TZU1" s="3"/>
      <c r="TZV1" s="3"/>
      <c r="TZW1" s="3"/>
      <c r="TZX1" s="3"/>
      <c r="TZY1" s="3"/>
      <c r="TZZ1" s="3"/>
      <c r="UAA1" s="3"/>
      <c r="UAB1" s="3"/>
      <c r="UAC1" s="3"/>
      <c r="UAD1" s="3"/>
      <c r="UAE1" s="3"/>
      <c r="UAF1" s="3"/>
      <c r="UAG1" s="3"/>
      <c r="UAH1" s="3"/>
      <c r="UAI1" s="3"/>
      <c r="UAJ1" s="3"/>
      <c r="UAK1" s="3"/>
      <c r="UAL1" s="3"/>
      <c r="UAM1" s="3"/>
      <c r="UAN1" s="3"/>
      <c r="UAO1" s="3"/>
      <c r="UAP1" s="3"/>
      <c r="UAQ1" s="3"/>
      <c r="UAR1" s="3"/>
      <c r="UAS1" s="3"/>
      <c r="UAT1" s="3"/>
      <c r="UAU1" s="3"/>
      <c r="UAV1" s="3"/>
      <c r="UAW1" s="3"/>
      <c r="UAX1" s="3"/>
      <c r="UAY1" s="3"/>
      <c r="UAZ1" s="3"/>
      <c r="UBA1" s="3"/>
      <c r="UBB1" s="3"/>
      <c r="UBC1" s="3"/>
      <c r="UBD1" s="3"/>
      <c r="UBE1" s="3"/>
      <c r="UBF1" s="3"/>
      <c r="UBG1" s="3"/>
      <c r="UBH1" s="3"/>
      <c r="UBI1" s="3"/>
      <c r="UBJ1" s="3"/>
      <c r="UBK1" s="3"/>
      <c r="UBL1" s="3"/>
      <c r="UBM1" s="3"/>
      <c r="UBN1" s="3"/>
      <c r="UBO1" s="3"/>
      <c r="UBP1" s="3"/>
      <c r="UBQ1" s="3"/>
      <c r="UBR1" s="3"/>
      <c r="UBS1" s="3"/>
      <c r="UBT1" s="3"/>
      <c r="UBU1" s="3"/>
      <c r="UBV1" s="3"/>
      <c r="UBW1" s="3"/>
      <c r="UBX1" s="3"/>
      <c r="UBY1" s="3"/>
      <c r="UBZ1" s="3"/>
      <c r="UCA1" s="3"/>
      <c r="UCB1" s="3"/>
      <c r="UCC1" s="3"/>
      <c r="UCD1" s="3"/>
      <c r="UCE1" s="3"/>
      <c r="UCF1" s="3"/>
      <c r="UCG1" s="3"/>
      <c r="UCH1" s="3"/>
      <c r="UCI1" s="3"/>
      <c r="UCJ1" s="3"/>
      <c r="UCK1" s="3"/>
      <c r="UCL1" s="3"/>
      <c r="UCM1" s="3"/>
      <c r="UCN1" s="3"/>
      <c r="UCO1" s="3"/>
      <c r="UCP1" s="3"/>
      <c r="UCQ1" s="3"/>
      <c r="UCR1" s="3"/>
      <c r="UCS1" s="3"/>
      <c r="UCT1" s="3"/>
      <c r="UCU1" s="3"/>
      <c r="UCV1" s="3"/>
      <c r="UCW1" s="3"/>
      <c r="UCX1" s="3"/>
      <c r="UCY1" s="3"/>
      <c r="UCZ1" s="3"/>
      <c r="UDA1" s="3"/>
      <c r="UDB1" s="3"/>
      <c r="UDC1" s="3"/>
      <c r="UDD1" s="3"/>
      <c r="UDE1" s="3"/>
      <c r="UDF1" s="3"/>
      <c r="UDG1" s="3"/>
      <c r="UDH1" s="3"/>
      <c r="UDI1" s="3"/>
      <c r="UDJ1" s="3"/>
      <c r="UDK1" s="3"/>
      <c r="UDL1" s="3"/>
      <c r="UDM1" s="3"/>
      <c r="UDN1" s="3"/>
      <c r="UDO1" s="3"/>
      <c r="UDP1" s="3"/>
      <c r="UDQ1" s="3"/>
      <c r="UDR1" s="3"/>
      <c r="UDS1" s="3"/>
      <c r="UDT1" s="3"/>
      <c r="UDU1" s="3"/>
      <c r="UDV1" s="3"/>
      <c r="UDW1" s="3"/>
      <c r="UDX1" s="3"/>
      <c r="UDY1" s="3"/>
      <c r="UDZ1" s="3"/>
      <c r="UEA1" s="3"/>
      <c r="UEB1" s="3"/>
      <c r="UEC1" s="3"/>
      <c r="UED1" s="3"/>
      <c r="UEE1" s="3"/>
      <c r="UEF1" s="3"/>
      <c r="UEG1" s="3"/>
      <c r="UEH1" s="3"/>
      <c r="UEI1" s="3"/>
      <c r="UEJ1" s="3"/>
      <c r="UEK1" s="3"/>
      <c r="UEL1" s="3"/>
      <c r="UEM1" s="3"/>
      <c r="UEN1" s="3"/>
      <c r="UEO1" s="3"/>
      <c r="UEP1" s="3"/>
      <c r="UEQ1" s="3"/>
      <c r="UER1" s="3"/>
      <c r="UES1" s="3"/>
      <c r="UET1" s="3"/>
      <c r="UEU1" s="3"/>
      <c r="UEV1" s="3"/>
      <c r="UEW1" s="3"/>
      <c r="UEX1" s="3"/>
      <c r="UEY1" s="3"/>
      <c r="UEZ1" s="3"/>
      <c r="UFA1" s="3"/>
      <c r="UFB1" s="3"/>
      <c r="UFC1" s="3"/>
      <c r="UFD1" s="3"/>
      <c r="UFE1" s="3"/>
      <c r="UFF1" s="3"/>
      <c r="UFG1" s="3"/>
      <c r="UFH1" s="3"/>
      <c r="UFI1" s="3"/>
      <c r="UFJ1" s="3"/>
      <c r="UFK1" s="3"/>
      <c r="UFL1" s="3"/>
      <c r="UFM1" s="3"/>
      <c r="UFN1" s="3"/>
      <c r="UFO1" s="3"/>
      <c r="UFP1" s="3"/>
      <c r="UFQ1" s="3"/>
      <c r="UFR1" s="3"/>
      <c r="UFS1" s="3"/>
      <c r="UFT1" s="3"/>
      <c r="UFU1" s="3"/>
      <c r="UFV1" s="3"/>
      <c r="UFW1" s="3"/>
      <c r="UFX1" s="3"/>
      <c r="UFY1" s="3"/>
      <c r="UFZ1" s="3"/>
      <c r="UGA1" s="3"/>
      <c r="UGB1" s="3"/>
      <c r="UGC1" s="3"/>
      <c r="UGD1" s="3"/>
      <c r="UGE1" s="3"/>
      <c r="UGF1" s="3"/>
      <c r="UGG1" s="3"/>
      <c r="UGH1" s="3"/>
      <c r="UGI1" s="3"/>
      <c r="UGJ1" s="3"/>
      <c r="UGK1" s="3"/>
      <c r="UGL1" s="3"/>
      <c r="UGM1" s="3"/>
      <c r="UGN1" s="3"/>
      <c r="UGO1" s="3"/>
      <c r="UGP1" s="3"/>
      <c r="UGQ1" s="3"/>
      <c r="UGR1" s="3"/>
      <c r="UGS1" s="3"/>
      <c r="UGT1" s="3"/>
      <c r="UGU1" s="3"/>
      <c r="UGV1" s="3"/>
      <c r="UGW1" s="3"/>
      <c r="UGX1" s="3"/>
      <c r="UGY1" s="3"/>
      <c r="UGZ1" s="3"/>
      <c r="UHA1" s="3"/>
      <c r="UHB1" s="3"/>
      <c r="UHC1" s="3"/>
      <c r="UHD1" s="3"/>
      <c r="UHE1" s="3"/>
      <c r="UHF1" s="3"/>
      <c r="UHG1" s="3"/>
      <c r="UHH1" s="3"/>
      <c r="UHI1" s="3"/>
      <c r="UHJ1" s="3"/>
      <c r="UHK1" s="3"/>
      <c r="UHL1" s="3"/>
      <c r="UHM1" s="3"/>
      <c r="UHN1" s="3"/>
      <c r="UHO1" s="3"/>
      <c r="UHP1" s="3"/>
      <c r="UHQ1" s="3"/>
      <c r="UHR1" s="3"/>
      <c r="UHS1" s="3"/>
      <c r="UHT1" s="3"/>
      <c r="UHU1" s="3"/>
      <c r="UHV1" s="3"/>
      <c r="UHW1" s="3"/>
      <c r="UHX1" s="3"/>
      <c r="UHY1" s="3"/>
      <c r="UHZ1" s="3"/>
      <c r="UIA1" s="3"/>
      <c r="UIB1" s="3"/>
      <c r="UIC1" s="3"/>
      <c r="UID1" s="3"/>
      <c r="UIE1" s="3"/>
      <c r="UIF1" s="3"/>
      <c r="UIG1" s="3"/>
      <c r="UIH1" s="3"/>
      <c r="UII1" s="3"/>
      <c r="UIJ1" s="3"/>
      <c r="UIK1" s="3"/>
      <c r="UIL1" s="3"/>
      <c r="UIM1" s="3"/>
      <c r="UIN1" s="3"/>
      <c r="UIO1" s="3"/>
      <c r="UIP1" s="3"/>
      <c r="UIQ1" s="3"/>
      <c r="UIR1" s="3"/>
      <c r="UIS1" s="3"/>
      <c r="UIT1" s="3"/>
      <c r="UIU1" s="3"/>
      <c r="UIV1" s="3"/>
      <c r="UIW1" s="3"/>
      <c r="UIX1" s="3"/>
      <c r="UIY1" s="3"/>
      <c r="UIZ1" s="3"/>
      <c r="UJA1" s="3"/>
      <c r="UJB1" s="3"/>
      <c r="UJC1" s="3"/>
      <c r="UJD1" s="3"/>
      <c r="UJE1" s="3"/>
      <c r="UJF1" s="3"/>
      <c r="UJG1" s="3"/>
      <c r="UJH1" s="3"/>
      <c r="UJI1" s="3"/>
      <c r="UJJ1" s="3"/>
      <c r="UJK1" s="3"/>
      <c r="UJL1" s="3"/>
      <c r="UJM1" s="3"/>
      <c r="UJN1" s="3"/>
      <c r="UJO1" s="3"/>
      <c r="UJP1" s="3"/>
      <c r="UJQ1" s="3"/>
      <c r="UJR1" s="3"/>
      <c r="UJS1" s="3"/>
      <c r="UJT1" s="3"/>
      <c r="UJU1" s="3"/>
      <c r="UJV1" s="3"/>
      <c r="UJW1" s="3"/>
      <c r="UJX1" s="3"/>
      <c r="UJY1" s="3"/>
      <c r="UJZ1" s="3"/>
      <c r="UKA1" s="3"/>
      <c r="UKB1" s="3"/>
      <c r="UKC1" s="3"/>
      <c r="UKD1" s="3"/>
      <c r="UKE1" s="3"/>
      <c r="UKF1" s="3"/>
      <c r="UKG1" s="3"/>
      <c r="UKH1" s="3"/>
      <c r="UKI1" s="3"/>
      <c r="UKJ1" s="3"/>
      <c r="UKK1" s="3"/>
      <c r="UKL1" s="3"/>
      <c r="UKM1" s="3"/>
      <c r="UKN1" s="3"/>
      <c r="UKO1" s="3"/>
      <c r="UKP1" s="3"/>
      <c r="UKQ1" s="3"/>
      <c r="UKR1" s="3"/>
      <c r="UKS1" s="3"/>
      <c r="UKT1" s="3"/>
      <c r="UKU1" s="3"/>
      <c r="UKV1" s="3"/>
      <c r="UKW1" s="3"/>
      <c r="UKX1" s="3"/>
      <c r="UKY1" s="3"/>
      <c r="UKZ1" s="3"/>
      <c r="ULA1" s="3"/>
      <c r="ULB1" s="3"/>
      <c r="ULC1" s="3"/>
      <c r="ULD1" s="3"/>
      <c r="ULE1" s="3"/>
      <c r="ULF1" s="3"/>
      <c r="ULG1" s="3"/>
      <c r="ULH1" s="3"/>
      <c r="ULI1" s="3"/>
      <c r="ULJ1" s="3"/>
      <c r="ULK1" s="3"/>
      <c r="ULL1" s="3"/>
      <c r="ULM1" s="3"/>
      <c r="ULN1" s="3"/>
      <c r="ULO1" s="3"/>
      <c r="ULP1" s="3"/>
      <c r="ULQ1" s="3"/>
      <c r="ULR1" s="3"/>
      <c r="ULS1" s="3"/>
      <c r="ULT1" s="3"/>
      <c r="ULU1" s="3"/>
      <c r="ULV1" s="3"/>
      <c r="ULW1" s="3"/>
      <c r="ULX1" s="3"/>
      <c r="ULY1" s="3"/>
      <c r="ULZ1" s="3"/>
      <c r="UMA1" s="3"/>
      <c r="UMB1" s="3"/>
      <c r="UMC1" s="3"/>
      <c r="UMD1" s="3"/>
      <c r="UME1" s="3"/>
      <c r="UMF1" s="3"/>
      <c r="UMG1" s="3"/>
      <c r="UMH1" s="3"/>
      <c r="UMI1" s="3"/>
      <c r="UMJ1" s="3"/>
      <c r="UMK1" s="3"/>
      <c r="UML1" s="3"/>
      <c r="UMM1" s="3"/>
      <c r="UMN1" s="3"/>
      <c r="UMO1" s="3"/>
      <c r="UMP1" s="3"/>
      <c r="UMQ1" s="3"/>
      <c r="UMR1" s="3"/>
      <c r="UMS1" s="3"/>
      <c r="UMT1" s="3"/>
      <c r="UMU1" s="3"/>
      <c r="UMV1" s="3"/>
      <c r="UMW1" s="3"/>
      <c r="UMX1" s="3"/>
      <c r="UMY1" s="3"/>
      <c r="UMZ1" s="3"/>
      <c r="UNA1" s="3"/>
      <c r="UNB1" s="3"/>
      <c r="UNC1" s="3"/>
      <c r="UND1" s="3"/>
      <c r="UNE1" s="3"/>
      <c r="UNF1" s="3"/>
      <c r="UNG1" s="3"/>
      <c r="UNH1" s="3"/>
      <c r="UNI1" s="3"/>
      <c r="UNJ1" s="3"/>
      <c r="UNK1" s="3"/>
      <c r="UNL1" s="3"/>
      <c r="UNM1" s="3"/>
      <c r="UNN1" s="3"/>
      <c r="UNO1" s="3"/>
      <c r="UNP1" s="3"/>
      <c r="UNQ1" s="3"/>
      <c r="UNR1" s="3"/>
      <c r="UNS1" s="3"/>
      <c r="UNT1" s="3"/>
      <c r="UNU1" s="3"/>
      <c r="UNV1" s="3"/>
      <c r="UNW1" s="3"/>
      <c r="UNX1" s="3"/>
      <c r="UNY1" s="3"/>
      <c r="UNZ1" s="3"/>
      <c r="UOA1" s="3"/>
      <c r="UOB1" s="3"/>
      <c r="UOC1" s="3"/>
      <c r="UOD1" s="3"/>
      <c r="UOE1" s="3"/>
      <c r="UOF1" s="3"/>
      <c r="UOG1" s="3"/>
      <c r="UOH1" s="3"/>
      <c r="UOI1" s="3"/>
      <c r="UOJ1" s="3"/>
      <c r="UOK1" s="3"/>
      <c r="UOL1" s="3"/>
      <c r="UOM1" s="3"/>
      <c r="UON1" s="3"/>
      <c r="UOO1" s="3"/>
      <c r="UOP1" s="3"/>
      <c r="UOQ1" s="3"/>
      <c r="UOR1" s="3"/>
      <c r="UOS1" s="3"/>
      <c r="UOT1" s="3"/>
      <c r="UOU1" s="3"/>
      <c r="UOV1" s="3"/>
      <c r="UOW1" s="3"/>
      <c r="UOX1" s="3"/>
      <c r="UOY1" s="3"/>
      <c r="UOZ1" s="3"/>
      <c r="UPA1" s="3"/>
      <c r="UPB1" s="3"/>
      <c r="UPC1" s="3"/>
      <c r="UPD1" s="3"/>
      <c r="UPE1" s="3"/>
      <c r="UPF1" s="3"/>
      <c r="UPG1" s="3"/>
      <c r="UPH1" s="3"/>
      <c r="UPI1" s="3"/>
      <c r="UPJ1" s="3"/>
      <c r="UPK1" s="3"/>
      <c r="UPL1" s="3"/>
      <c r="UPM1" s="3"/>
      <c r="UPN1" s="3"/>
      <c r="UPO1" s="3"/>
      <c r="UPP1" s="3"/>
      <c r="UPQ1" s="3"/>
      <c r="UPR1" s="3"/>
      <c r="UPS1" s="3"/>
      <c r="UPT1" s="3"/>
      <c r="UPU1" s="3"/>
      <c r="UPV1" s="3"/>
      <c r="UPW1" s="3"/>
      <c r="UPX1" s="3"/>
      <c r="UPY1" s="3"/>
      <c r="UPZ1" s="3"/>
      <c r="UQA1" s="3"/>
      <c r="UQB1" s="3"/>
      <c r="UQC1" s="3"/>
      <c r="UQD1" s="3"/>
      <c r="UQE1" s="3"/>
      <c r="UQF1" s="3"/>
      <c r="UQG1" s="3"/>
      <c r="UQH1" s="3"/>
      <c r="UQI1" s="3"/>
      <c r="UQJ1" s="3"/>
      <c r="UQK1" s="3"/>
      <c r="UQL1" s="3"/>
      <c r="UQM1" s="3"/>
      <c r="UQN1" s="3"/>
      <c r="UQO1" s="3"/>
      <c r="UQP1" s="3"/>
      <c r="UQQ1" s="3"/>
      <c r="UQR1" s="3"/>
      <c r="UQS1" s="3"/>
      <c r="UQT1" s="3"/>
      <c r="UQU1" s="3"/>
      <c r="UQV1" s="3"/>
      <c r="UQW1" s="3"/>
      <c r="UQX1" s="3"/>
      <c r="UQY1" s="3"/>
      <c r="UQZ1" s="3"/>
      <c r="URA1" s="3"/>
      <c r="URB1" s="3"/>
      <c r="URC1" s="3"/>
      <c r="URD1" s="3"/>
      <c r="URE1" s="3"/>
      <c r="URF1" s="3"/>
      <c r="URG1" s="3"/>
      <c r="URH1" s="3"/>
      <c r="URI1" s="3"/>
      <c r="URJ1" s="3"/>
      <c r="URK1" s="3"/>
      <c r="URL1" s="3"/>
      <c r="URM1" s="3"/>
      <c r="URN1" s="3"/>
      <c r="URO1" s="3"/>
      <c r="URP1" s="3"/>
      <c r="URQ1" s="3"/>
      <c r="URR1" s="3"/>
      <c r="URS1" s="3"/>
      <c r="URT1" s="3"/>
      <c r="URU1" s="3"/>
      <c r="URV1" s="3"/>
      <c r="URW1" s="3"/>
      <c r="URX1" s="3"/>
      <c r="URY1" s="3"/>
      <c r="URZ1" s="3"/>
      <c r="USA1" s="3"/>
      <c r="USB1" s="3"/>
      <c r="USC1" s="3"/>
      <c r="USD1" s="3"/>
      <c r="USE1" s="3"/>
      <c r="USF1" s="3"/>
      <c r="USG1" s="3"/>
      <c r="USH1" s="3"/>
      <c r="USI1" s="3"/>
      <c r="USJ1" s="3"/>
      <c r="USK1" s="3"/>
      <c r="USL1" s="3"/>
      <c r="USM1" s="3"/>
      <c r="USN1" s="3"/>
      <c r="USO1" s="3"/>
      <c r="USP1" s="3"/>
      <c r="USQ1" s="3"/>
      <c r="USR1" s="3"/>
      <c r="USS1" s="3"/>
      <c r="UST1" s="3"/>
      <c r="USU1" s="3"/>
      <c r="USV1" s="3"/>
      <c r="USW1" s="3"/>
      <c r="USX1" s="3"/>
      <c r="USY1" s="3"/>
      <c r="USZ1" s="3"/>
      <c r="UTA1" s="3"/>
      <c r="UTB1" s="3"/>
      <c r="UTC1" s="3"/>
      <c r="UTD1" s="3"/>
      <c r="UTE1" s="3"/>
      <c r="UTF1" s="3"/>
      <c r="UTG1" s="3"/>
      <c r="UTH1" s="3"/>
      <c r="UTI1" s="3"/>
      <c r="UTJ1" s="3"/>
      <c r="UTK1" s="3"/>
      <c r="UTL1" s="3"/>
      <c r="UTM1" s="3"/>
      <c r="UTN1" s="3"/>
      <c r="UTO1" s="3"/>
      <c r="UTP1" s="3"/>
      <c r="UTQ1" s="3"/>
      <c r="UTR1" s="3"/>
      <c r="UTS1" s="3"/>
      <c r="UTT1" s="3"/>
      <c r="UTU1" s="3"/>
      <c r="UTV1" s="3"/>
      <c r="UTW1" s="3"/>
      <c r="UTX1" s="3"/>
      <c r="UTY1" s="3"/>
      <c r="UTZ1" s="3"/>
      <c r="UUA1" s="3"/>
      <c r="UUB1" s="3"/>
      <c r="UUC1" s="3"/>
      <c r="UUD1" s="3"/>
      <c r="UUE1" s="3"/>
      <c r="UUF1" s="3"/>
      <c r="UUG1" s="3"/>
      <c r="UUH1" s="3"/>
      <c r="UUI1" s="3"/>
      <c r="UUJ1" s="3"/>
      <c r="UUK1" s="3"/>
      <c r="UUL1" s="3"/>
      <c r="UUM1" s="3"/>
      <c r="UUN1" s="3"/>
      <c r="UUO1" s="3"/>
      <c r="UUP1" s="3"/>
      <c r="UUQ1" s="3"/>
      <c r="UUR1" s="3"/>
      <c r="UUS1" s="3"/>
      <c r="UUT1" s="3"/>
      <c r="UUU1" s="3"/>
      <c r="UUV1" s="3"/>
      <c r="UUW1" s="3"/>
      <c r="UUX1" s="3"/>
      <c r="UUY1" s="3"/>
      <c r="UUZ1" s="3"/>
      <c r="UVA1" s="3"/>
      <c r="UVB1" s="3"/>
      <c r="UVC1" s="3"/>
      <c r="UVD1" s="3"/>
      <c r="UVE1" s="3"/>
      <c r="UVF1" s="3"/>
      <c r="UVG1" s="3"/>
      <c r="UVH1" s="3"/>
      <c r="UVI1" s="3"/>
      <c r="UVJ1" s="3"/>
      <c r="UVK1" s="3"/>
      <c r="UVL1" s="3"/>
      <c r="UVM1" s="3"/>
      <c r="UVN1" s="3"/>
      <c r="UVO1" s="3"/>
      <c r="UVP1" s="3"/>
      <c r="UVQ1" s="3"/>
      <c r="UVR1" s="3"/>
      <c r="UVS1" s="3"/>
      <c r="UVT1" s="3"/>
      <c r="UVU1" s="3"/>
      <c r="UVV1" s="3"/>
      <c r="UVW1" s="3"/>
      <c r="UVX1" s="3"/>
      <c r="UVY1" s="3"/>
      <c r="UVZ1" s="3"/>
      <c r="UWA1" s="3"/>
      <c r="UWB1" s="3"/>
      <c r="UWC1" s="3"/>
      <c r="UWD1" s="3"/>
      <c r="UWE1" s="3"/>
      <c r="UWF1" s="3"/>
      <c r="UWG1" s="3"/>
      <c r="UWH1" s="3"/>
      <c r="UWI1" s="3"/>
      <c r="UWJ1" s="3"/>
      <c r="UWK1" s="3"/>
      <c r="UWL1" s="3"/>
      <c r="UWM1" s="3"/>
      <c r="UWN1" s="3"/>
      <c r="UWO1" s="3"/>
      <c r="UWP1" s="3"/>
      <c r="UWQ1" s="3"/>
      <c r="UWR1" s="3"/>
      <c r="UWS1" s="3"/>
      <c r="UWT1" s="3"/>
      <c r="UWU1" s="3"/>
      <c r="UWV1" s="3"/>
      <c r="UWW1" s="3"/>
      <c r="UWX1" s="3"/>
      <c r="UWY1" s="3"/>
      <c r="UWZ1" s="3"/>
      <c r="UXA1" s="3"/>
      <c r="UXB1" s="3"/>
      <c r="UXC1" s="3"/>
      <c r="UXD1" s="3"/>
      <c r="UXE1" s="3"/>
      <c r="UXF1" s="3"/>
      <c r="UXG1" s="3"/>
      <c r="UXH1" s="3"/>
      <c r="UXI1" s="3"/>
      <c r="UXJ1" s="3"/>
      <c r="UXK1" s="3"/>
      <c r="UXL1" s="3"/>
      <c r="UXM1" s="3"/>
      <c r="UXN1" s="3"/>
      <c r="UXO1" s="3"/>
      <c r="UXP1" s="3"/>
      <c r="UXQ1" s="3"/>
      <c r="UXR1" s="3"/>
      <c r="UXS1" s="3"/>
      <c r="UXT1" s="3"/>
      <c r="UXU1" s="3"/>
      <c r="UXV1" s="3"/>
      <c r="UXW1" s="3"/>
      <c r="UXX1" s="3"/>
      <c r="UXY1" s="3"/>
      <c r="UXZ1" s="3"/>
      <c r="UYA1" s="3"/>
      <c r="UYB1" s="3"/>
      <c r="UYC1" s="3"/>
      <c r="UYD1" s="3"/>
      <c r="UYE1" s="3"/>
      <c r="UYF1" s="3"/>
      <c r="UYG1" s="3"/>
      <c r="UYH1" s="3"/>
      <c r="UYI1" s="3"/>
      <c r="UYJ1" s="3"/>
      <c r="UYK1" s="3"/>
      <c r="UYL1" s="3"/>
      <c r="UYM1" s="3"/>
      <c r="UYN1" s="3"/>
      <c r="UYO1" s="3"/>
      <c r="UYP1" s="3"/>
      <c r="UYQ1" s="3"/>
      <c r="UYR1" s="3"/>
      <c r="UYS1" s="3"/>
      <c r="UYT1" s="3"/>
      <c r="UYU1" s="3"/>
      <c r="UYV1" s="3"/>
      <c r="UYW1" s="3"/>
      <c r="UYX1" s="3"/>
      <c r="UYY1" s="3"/>
      <c r="UYZ1" s="3"/>
      <c r="UZA1" s="3"/>
      <c r="UZB1" s="3"/>
      <c r="UZC1" s="3"/>
      <c r="UZD1" s="3"/>
      <c r="UZE1" s="3"/>
      <c r="UZF1" s="3"/>
      <c r="UZG1" s="3"/>
      <c r="UZH1" s="3"/>
      <c r="UZI1" s="3"/>
      <c r="UZJ1" s="3"/>
      <c r="UZK1" s="3"/>
      <c r="UZL1" s="3"/>
      <c r="UZM1" s="3"/>
      <c r="UZN1" s="3"/>
      <c r="UZO1" s="3"/>
      <c r="UZP1" s="3"/>
      <c r="UZQ1" s="3"/>
      <c r="UZR1" s="3"/>
      <c r="UZS1" s="3"/>
      <c r="UZT1" s="3"/>
      <c r="UZU1" s="3"/>
      <c r="UZV1" s="3"/>
      <c r="UZW1" s="3"/>
      <c r="UZX1" s="3"/>
      <c r="UZY1" s="3"/>
      <c r="UZZ1" s="3"/>
      <c r="VAA1" s="3"/>
      <c r="VAB1" s="3"/>
      <c r="VAC1" s="3"/>
      <c r="VAD1" s="3"/>
      <c r="VAE1" s="3"/>
      <c r="VAF1" s="3"/>
      <c r="VAG1" s="3"/>
      <c r="VAH1" s="3"/>
      <c r="VAI1" s="3"/>
      <c r="VAJ1" s="3"/>
      <c r="VAK1" s="3"/>
      <c r="VAL1" s="3"/>
      <c r="VAM1" s="3"/>
      <c r="VAN1" s="3"/>
      <c r="VAO1" s="3"/>
      <c r="VAP1" s="3"/>
      <c r="VAQ1" s="3"/>
      <c r="VAR1" s="3"/>
      <c r="VAS1" s="3"/>
      <c r="VAT1" s="3"/>
      <c r="VAU1" s="3"/>
      <c r="VAV1" s="3"/>
      <c r="VAW1" s="3"/>
      <c r="VAX1" s="3"/>
      <c r="VAY1" s="3"/>
      <c r="VAZ1" s="3"/>
      <c r="VBA1" s="3"/>
      <c r="VBB1" s="3"/>
      <c r="VBC1" s="3"/>
      <c r="VBD1" s="3"/>
      <c r="VBE1" s="3"/>
      <c r="VBF1" s="3"/>
      <c r="VBG1" s="3"/>
      <c r="VBH1" s="3"/>
      <c r="VBI1" s="3"/>
      <c r="VBJ1" s="3"/>
      <c r="VBK1" s="3"/>
      <c r="VBL1" s="3"/>
      <c r="VBM1" s="3"/>
      <c r="VBN1" s="3"/>
      <c r="VBO1" s="3"/>
      <c r="VBP1" s="3"/>
      <c r="VBQ1" s="3"/>
      <c r="VBR1" s="3"/>
      <c r="VBS1" s="3"/>
      <c r="VBT1" s="3"/>
      <c r="VBU1" s="3"/>
      <c r="VBV1" s="3"/>
      <c r="VBW1" s="3"/>
      <c r="VBX1" s="3"/>
      <c r="VBY1" s="3"/>
      <c r="VBZ1" s="3"/>
      <c r="VCA1" s="3"/>
      <c r="VCB1" s="3"/>
      <c r="VCC1" s="3"/>
      <c r="VCD1" s="3"/>
      <c r="VCE1" s="3"/>
      <c r="VCF1" s="3"/>
      <c r="VCG1" s="3"/>
      <c r="VCH1" s="3"/>
      <c r="VCI1" s="3"/>
      <c r="VCJ1" s="3"/>
      <c r="VCK1" s="3"/>
      <c r="VCL1" s="3"/>
      <c r="VCM1" s="3"/>
      <c r="VCN1" s="3"/>
      <c r="VCO1" s="3"/>
      <c r="VCP1" s="3"/>
      <c r="VCQ1" s="3"/>
      <c r="VCR1" s="3"/>
      <c r="VCS1" s="3"/>
      <c r="VCT1" s="3"/>
      <c r="VCU1" s="3"/>
      <c r="VCV1" s="3"/>
      <c r="VCW1" s="3"/>
      <c r="VCX1" s="3"/>
      <c r="VCY1" s="3"/>
      <c r="VCZ1" s="3"/>
      <c r="VDA1" s="3"/>
      <c r="VDB1" s="3"/>
      <c r="VDC1" s="3"/>
      <c r="VDD1" s="3"/>
      <c r="VDE1" s="3"/>
      <c r="VDF1" s="3"/>
      <c r="VDG1" s="3"/>
      <c r="VDH1" s="3"/>
      <c r="VDI1" s="3"/>
      <c r="VDJ1" s="3"/>
      <c r="VDK1" s="3"/>
      <c r="VDL1" s="3"/>
      <c r="VDM1" s="3"/>
      <c r="VDN1" s="3"/>
      <c r="VDO1" s="3"/>
      <c r="VDP1" s="3"/>
      <c r="VDQ1" s="3"/>
      <c r="VDR1" s="3"/>
      <c r="VDS1" s="3"/>
      <c r="VDT1" s="3"/>
      <c r="VDU1" s="3"/>
      <c r="VDV1" s="3"/>
      <c r="VDW1" s="3"/>
      <c r="VDX1" s="3"/>
      <c r="VDY1" s="3"/>
      <c r="VDZ1" s="3"/>
      <c r="VEA1" s="3"/>
      <c r="VEB1" s="3"/>
      <c r="VEC1" s="3"/>
      <c r="VED1" s="3"/>
      <c r="VEE1" s="3"/>
      <c r="VEF1" s="3"/>
      <c r="VEG1" s="3"/>
      <c r="VEH1" s="3"/>
      <c r="VEI1" s="3"/>
      <c r="VEJ1" s="3"/>
      <c r="VEK1" s="3"/>
      <c r="VEL1" s="3"/>
      <c r="VEM1" s="3"/>
      <c r="VEN1" s="3"/>
      <c r="VEO1" s="3"/>
      <c r="VEP1" s="3"/>
      <c r="VEQ1" s="3"/>
      <c r="VER1" s="3"/>
      <c r="VES1" s="3"/>
      <c r="VET1" s="3"/>
      <c r="VEU1" s="3"/>
      <c r="VEV1" s="3"/>
      <c r="VEW1" s="3"/>
      <c r="VEX1" s="3"/>
      <c r="VEY1" s="3"/>
      <c r="VEZ1" s="3"/>
      <c r="VFA1" s="3"/>
      <c r="VFB1" s="3"/>
      <c r="VFC1" s="3"/>
      <c r="VFD1" s="3"/>
      <c r="VFE1" s="3"/>
      <c r="VFF1" s="3"/>
      <c r="VFG1" s="3"/>
      <c r="VFH1" s="3"/>
      <c r="VFI1" s="3"/>
      <c r="VFJ1" s="3"/>
      <c r="VFK1" s="3"/>
      <c r="VFL1" s="3"/>
      <c r="VFM1" s="3"/>
      <c r="VFN1" s="3"/>
      <c r="VFO1" s="3"/>
      <c r="VFP1" s="3"/>
      <c r="VFQ1" s="3"/>
      <c r="VFR1" s="3"/>
      <c r="VFS1" s="3"/>
      <c r="VFT1" s="3"/>
      <c r="VFU1" s="3"/>
      <c r="VFV1" s="3"/>
      <c r="VFW1" s="3"/>
      <c r="VFX1" s="3"/>
      <c r="VFY1" s="3"/>
      <c r="VFZ1" s="3"/>
      <c r="VGA1" s="3"/>
      <c r="VGB1" s="3"/>
      <c r="VGC1" s="3"/>
      <c r="VGD1" s="3"/>
      <c r="VGE1" s="3"/>
      <c r="VGF1" s="3"/>
      <c r="VGG1" s="3"/>
      <c r="VGH1" s="3"/>
      <c r="VGI1" s="3"/>
      <c r="VGJ1" s="3"/>
      <c r="VGK1" s="3"/>
      <c r="VGL1" s="3"/>
      <c r="VGM1" s="3"/>
      <c r="VGN1" s="3"/>
      <c r="VGO1" s="3"/>
      <c r="VGP1" s="3"/>
      <c r="VGQ1" s="3"/>
      <c r="VGR1" s="3"/>
      <c r="VGS1" s="3"/>
      <c r="VGT1" s="3"/>
      <c r="VGU1" s="3"/>
      <c r="VGV1" s="3"/>
      <c r="VGW1" s="3"/>
      <c r="VGX1" s="3"/>
      <c r="VGY1" s="3"/>
      <c r="VGZ1" s="3"/>
      <c r="VHA1" s="3"/>
      <c r="VHB1" s="3"/>
      <c r="VHC1" s="3"/>
      <c r="VHD1" s="3"/>
      <c r="VHE1" s="3"/>
      <c r="VHF1" s="3"/>
      <c r="VHG1" s="3"/>
      <c r="VHH1" s="3"/>
      <c r="VHI1" s="3"/>
      <c r="VHJ1" s="3"/>
      <c r="VHK1" s="3"/>
      <c r="VHL1" s="3"/>
      <c r="VHM1" s="3"/>
      <c r="VHN1" s="3"/>
      <c r="VHO1" s="3"/>
      <c r="VHP1" s="3"/>
      <c r="VHQ1" s="3"/>
      <c r="VHR1" s="3"/>
      <c r="VHS1" s="3"/>
      <c r="VHT1" s="3"/>
      <c r="VHU1" s="3"/>
      <c r="VHV1" s="3"/>
      <c r="VHW1" s="3"/>
      <c r="VHX1" s="3"/>
      <c r="VHY1" s="3"/>
      <c r="VHZ1" s="3"/>
      <c r="VIA1" s="3"/>
      <c r="VIB1" s="3"/>
      <c r="VIC1" s="3"/>
      <c r="VID1" s="3"/>
      <c r="VIE1" s="3"/>
      <c r="VIF1" s="3"/>
      <c r="VIG1" s="3"/>
      <c r="VIH1" s="3"/>
      <c r="VII1" s="3"/>
      <c r="VIJ1" s="3"/>
      <c r="VIK1" s="3"/>
      <c r="VIL1" s="3"/>
      <c r="VIM1" s="3"/>
      <c r="VIN1" s="3"/>
      <c r="VIO1" s="3"/>
      <c r="VIP1" s="3"/>
      <c r="VIQ1" s="3"/>
      <c r="VIR1" s="3"/>
      <c r="VIS1" s="3"/>
      <c r="VIT1" s="3"/>
      <c r="VIU1" s="3"/>
      <c r="VIV1" s="3"/>
      <c r="VIW1" s="3"/>
      <c r="VIX1" s="3"/>
      <c r="VIY1" s="3"/>
      <c r="VIZ1" s="3"/>
      <c r="VJA1" s="3"/>
      <c r="VJB1" s="3"/>
      <c r="VJC1" s="3"/>
      <c r="VJD1" s="3"/>
      <c r="VJE1" s="3"/>
      <c r="VJF1" s="3"/>
      <c r="VJG1" s="3"/>
      <c r="VJH1" s="3"/>
      <c r="VJI1" s="3"/>
      <c r="VJJ1" s="3"/>
      <c r="VJK1" s="3"/>
      <c r="VJL1" s="3"/>
      <c r="VJM1" s="3"/>
      <c r="VJN1" s="3"/>
      <c r="VJO1" s="3"/>
      <c r="VJP1" s="3"/>
      <c r="VJQ1" s="3"/>
      <c r="VJR1" s="3"/>
      <c r="VJS1" s="3"/>
      <c r="VJT1" s="3"/>
      <c r="VJU1" s="3"/>
      <c r="VJV1" s="3"/>
      <c r="VJW1" s="3"/>
      <c r="VJX1" s="3"/>
      <c r="VJY1" s="3"/>
      <c r="VJZ1" s="3"/>
      <c r="VKA1" s="3"/>
      <c r="VKB1" s="3"/>
      <c r="VKC1" s="3"/>
      <c r="VKD1" s="3"/>
      <c r="VKE1" s="3"/>
      <c r="VKF1" s="3"/>
      <c r="VKG1" s="3"/>
      <c r="VKH1" s="3"/>
      <c r="VKI1" s="3"/>
      <c r="VKJ1" s="3"/>
      <c r="VKK1" s="3"/>
      <c r="VKL1" s="3"/>
      <c r="VKM1" s="3"/>
      <c r="VKN1" s="3"/>
      <c r="VKO1" s="3"/>
      <c r="VKP1" s="3"/>
      <c r="VKQ1" s="3"/>
      <c r="VKR1" s="3"/>
      <c r="VKS1" s="3"/>
      <c r="VKT1" s="3"/>
      <c r="VKU1" s="3"/>
      <c r="VKV1" s="3"/>
      <c r="VKW1" s="3"/>
      <c r="VKX1" s="3"/>
      <c r="VKY1" s="3"/>
      <c r="VKZ1" s="3"/>
      <c r="VLA1" s="3"/>
      <c r="VLB1" s="3"/>
      <c r="VLC1" s="3"/>
      <c r="VLD1" s="3"/>
      <c r="VLE1" s="3"/>
      <c r="VLF1" s="3"/>
      <c r="VLG1" s="3"/>
      <c r="VLH1" s="3"/>
      <c r="VLI1" s="3"/>
      <c r="VLJ1" s="3"/>
      <c r="VLK1" s="3"/>
      <c r="VLL1" s="3"/>
      <c r="VLM1" s="3"/>
      <c r="VLN1" s="3"/>
      <c r="VLO1" s="3"/>
      <c r="VLP1" s="3"/>
      <c r="VLQ1" s="3"/>
      <c r="VLR1" s="3"/>
      <c r="VLS1" s="3"/>
      <c r="VLT1" s="3"/>
      <c r="VLU1" s="3"/>
      <c r="VLV1" s="3"/>
      <c r="VLW1" s="3"/>
      <c r="VLX1" s="3"/>
      <c r="VLY1" s="3"/>
      <c r="VLZ1" s="3"/>
      <c r="VMA1" s="3"/>
      <c r="VMB1" s="3"/>
      <c r="VMC1" s="3"/>
      <c r="VMD1" s="3"/>
      <c r="VME1" s="3"/>
      <c r="VMF1" s="3"/>
      <c r="VMG1" s="3"/>
      <c r="VMH1" s="3"/>
      <c r="VMI1" s="3"/>
      <c r="VMJ1" s="3"/>
      <c r="VMK1" s="3"/>
      <c r="VML1" s="3"/>
      <c r="VMM1" s="3"/>
      <c r="VMN1" s="3"/>
      <c r="VMO1" s="3"/>
      <c r="VMP1" s="3"/>
      <c r="VMQ1" s="3"/>
      <c r="VMR1" s="3"/>
      <c r="VMS1" s="3"/>
      <c r="VMT1" s="3"/>
      <c r="VMU1" s="3"/>
      <c r="VMV1" s="3"/>
      <c r="VMW1" s="3"/>
      <c r="VMX1" s="3"/>
      <c r="VMY1" s="3"/>
      <c r="VMZ1" s="3"/>
      <c r="VNA1" s="3"/>
      <c r="VNB1" s="3"/>
      <c r="VNC1" s="3"/>
      <c r="VND1" s="3"/>
      <c r="VNE1" s="3"/>
      <c r="VNF1" s="3"/>
      <c r="VNG1" s="3"/>
      <c r="VNH1" s="3"/>
      <c r="VNI1" s="3"/>
      <c r="VNJ1" s="3"/>
      <c r="VNK1" s="3"/>
      <c r="VNL1" s="3"/>
      <c r="VNM1" s="3"/>
      <c r="VNN1" s="3"/>
      <c r="VNO1" s="3"/>
      <c r="VNP1" s="3"/>
      <c r="VNQ1" s="3"/>
      <c r="VNR1" s="3"/>
      <c r="VNS1" s="3"/>
      <c r="VNT1" s="3"/>
      <c r="VNU1" s="3"/>
      <c r="VNV1" s="3"/>
      <c r="VNW1" s="3"/>
      <c r="VNX1" s="3"/>
      <c r="VNY1" s="3"/>
      <c r="VNZ1" s="3"/>
      <c r="VOA1" s="3"/>
      <c r="VOB1" s="3"/>
      <c r="VOC1" s="3"/>
      <c r="VOD1" s="3"/>
      <c r="VOE1" s="3"/>
      <c r="VOF1" s="3"/>
      <c r="VOG1" s="3"/>
      <c r="VOH1" s="3"/>
      <c r="VOI1" s="3"/>
      <c r="VOJ1" s="3"/>
      <c r="VOK1" s="3"/>
      <c r="VOL1" s="3"/>
      <c r="VOM1" s="3"/>
      <c r="VON1" s="3"/>
      <c r="VOO1" s="3"/>
      <c r="VOP1" s="3"/>
      <c r="VOQ1" s="3"/>
      <c r="VOR1" s="3"/>
      <c r="VOS1" s="3"/>
      <c r="VOT1" s="3"/>
      <c r="VOU1" s="3"/>
      <c r="VOV1" s="3"/>
      <c r="VOW1" s="3"/>
      <c r="VOX1" s="3"/>
      <c r="VOY1" s="3"/>
      <c r="VOZ1" s="3"/>
      <c r="VPA1" s="3"/>
      <c r="VPB1" s="3"/>
      <c r="VPC1" s="3"/>
      <c r="VPD1" s="3"/>
      <c r="VPE1" s="3"/>
      <c r="VPF1" s="3"/>
      <c r="VPG1" s="3"/>
      <c r="VPH1" s="3"/>
      <c r="VPI1" s="3"/>
      <c r="VPJ1" s="3"/>
      <c r="VPK1" s="3"/>
      <c r="VPL1" s="3"/>
      <c r="VPM1" s="3"/>
      <c r="VPN1" s="3"/>
      <c r="VPO1" s="3"/>
      <c r="VPP1" s="3"/>
      <c r="VPQ1" s="3"/>
      <c r="VPR1" s="3"/>
      <c r="VPS1" s="3"/>
      <c r="VPT1" s="3"/>
      <c r="VPU1" s="3"/>
      <c r="VPV1" s="3"/>
      <c r="VPW1" s="3"/>
      <c r="VPX1" s="3"/>
      <c r="VPY1" s="3"/>
      <c r="VPZ1" s="3"/>
      <c r="VQA1" s="3"/>
      <c r="VQB1" s="3"/>
      <c r="VQC1" s="3"/>
      <c r="VQD1" s="3"/>
      <c r="VQE1" s="3"/>
      <c r="VQF1" s="3"/>
      <c r="VQG1" s="3"/>
      <c r="VQH1" s="3"/>
      <c r="VQI1" s="3"/>
      <c r="VQJ1" s="3"/>
      <c r="VQK1" s="3"/>
      <c r="VQL1" s="3"/>
      <c r="VQM1" s="3"/>
      <c r="VQN1" s="3"/>
      <c r="VQO1" s="3"/>
      <c r="VQP1" s="3"/>
      <c r="VQQ1" s="3"/>
      <c r="VQR1" s="3"/>
      <c r="VQS1" s="3"/>
      <c r="VQT1" s="3"/>
      <c r="VQU1" s="3"/>
      <c r="VQV1" s="3"/>
      <c r="VQW1" s="3"/>
      <c r="VQX1" s="3"/>
      <c r="VQY1" s="3"/>
      <c r="VQZ1" s="3"/>
      <c r="VRA1" s="3"/>
      <c r="VRB1" s="3"/>
      <c r="VRC1" s="3"/>
      <c r="VRD1" s="3"/>
      <c r="VRE1" s="3"/>
      <c r="VRF1" s="3"/>
      <c r="VRG1" s="3"/>
      <c r="VRH1" s="3"/>
      <c r="VRI1" s="3"/>
      <c r="VRJ1" s="3"/>
      <c r="VRK1" s="3"/>
      <c r="VRL1" s="3"/>
      <c r="VRM1" s="3"/>
      <c r="VRN1" s="3"/>
      <c r="VRO1" s="3"/>
      <c r="VRP1" s="3"/>
      <c r="VRQ1" s="3"/>
      <c r="VRR1" s="3"/>
      <c r="VRS1" s="3"/>
      <c r="VRT1" s="3"/>
      <c r="VRU1" s="3"/>
      <c r="VRV1" s="3"/>
      <c r="VRW1" s="3"/>
      <c r="VRX1" s="3"/>
      <c r="VRY1" s="3"/>
      <c r="VRZ1" s="3"/>
      <c r="VSA1" s="3"/>
      <c r="VSB1" s="3"/>
      <c r="VSC1" s="3"/>
      <c r="VSD1" s="3"/>
      <c r="VSE1" s="3"/>
      <c r="VSF1" s="3"/>
      <c r="VSG1" s="3"/>
      <c r="VSH1" s="3"/>
      <c r="VSI1" s="3"/>
      <c r="VSJ1" s="3"/>
      <c r="VSK1" s="3"/>
      <c r="VSL1" s="3"/>
      <c r="VSM1" s="3"/>
      <c r="VSN1" s="3"/>
      <c r="VSO1" s="3"/>
      <c r="VSP1" s="3"/>
      <c r="VSQ1" s="3"/>
      <c r="VSR1" s="3"/>
      <c r="VSS1" s="3"/>
      <c r="VST1" s="3"/>
      <c r="VSU1" s="3"/>
      <c r="VSV1" s="3"/>
      <c r="VSW1" s="3"/>
      <c r="VSX1" s="3"/>
      <c r="VSY1" s="3"/>
      <c r="VSZ1" s="3"/>
      <c r="VTA1" s="3"/>
      <c r="VTB1" s="3"/>
      <c r="VTC1" s="3"/>
      <c r="VTD1" s="3"/>
      <c r="VTE1" s="3"/>
      <c r="VTF1" s="3"/>
      <c r="VTG1" s="3"/>
      <c r="VTH1" s="3"/>
      <c r="VTI1" s="3"/>
      <c r="VTJ1" s="3"/>
      <c r="VTK1" s="3"/>
      <c r="VTL1" s="3"/>
      <c r="VTM1" s="3"/>
      <c r="VTN1" s="3"/>
      <c r="VTO1" s="3"/>
      <c r="VTP1" s="3"/>
      <c r="VTQ1" s="3"/>
      <c r="VTR1" s="3"/>
      <c r="VTS1" s="3"/>
      <c r="VTT1" s="3"/>
      <c r="VTU1" s="3"/>
      <c r="VTV1" s="3"/>
      <c r="VTW1" s="3"/>
      <c r="VTX1" s="3"/>
      <c r="VTY1" s="3"/>
      <c r="VTZ1" s="3"/>
      <c r="VUA1" s="3"/>
      <c r="VUB1" s="3"/>
      <c r="VUC1" s="3"/>
      <c r="VUD1" s="3"/>
      <c r="VUE1" s="3"/>
      <c r="VUF1" s="3"/>
      <c r="VUG1" s="3"/>
      <c r="VUH1" s="3"/>
      <c r="VUI1" s="3"/>
      <c r="VUJ1" s="3"/>
      <c r="VUK1" s="3"/>
      <c r="VUL1" s="3"/>
      <c r="VUM1" s="3"/>
      <c r="VUN1" s="3"/>
      <c r="VUO1" s="3"/>
      <c r="VUP1" s="3"/>
      <c r="VUQ1" s="3"/>
      <c r="VUR1" s="3"/>
      <c r="VUS1" s="3"/>
      <c r="VUT1" s="3"/>
      <c r="VUU1" s="3"/>
      <c r="VUV1" s="3"/>
      <c r="VUW1" s="3"/>
      <c r="VUX1" s="3"/>
      <c r="VUY1" s="3"/>
      <c r="VUZ1" s="3"/>
      <c r="VVA1" s="3"/>
      <c r="VVB1" s="3"/>
      <c r="VVC1" s="3"/>
      <c r="VVD1" s="3"/>
      <c r="VVE1" s="3"/>
      <c r="VVF1" s="3"/>
      <c r="VVG1" s="3"/>
      <c r="VVH1" s="3"/>
      <c r="VVI1" s="3"/>
      <c r="VVJ1" s="3"/>
      <c r="VVK1" s="3"/>
      <c r="VVL1" s="3"/>
      <c r="VVM1" s="3"/>
      <c r="VVN1" s="3"/>
      <c r="VVO1" s="3"/>
      <c r="VVP1" s="3"/>
      <c r="VVQ1" s="3"/>
      <c r="VVR1" s="3"/>
      <c r="VVS1" s="3"/>
      <c r="VVT1" s="3"/>
      <c r="VVU1" s="3"/>
      <c r="VVV1" s="3"/>
      <c r="VVW1" s="3"/>
      <c r="VVX1" s="3"/>
      <c r="VVY1" s="3"/>
      <c r="VVZ1" s="3"/>
      <c r="VWA1" s="3"/>
      <c r="VWB1" s="3"/>
      <c r="VWC1" s="3"/>
      <c r="VWD1" s="3"/>
      <c r="VWE1" s="3"/>
      <c r="VWF1" s="3"/>
      <c r="VWG1" s="3"/>
      <c r="VWH1" s="3"/>
      <c r="VWI1" s="3"/>
      <c r="VWJ1" s="3"/>
      <c r="VWK1" s="3"/>
      <c r="VWL1" s="3"/>
      <c r="VWM1" s="3"/>
      <c r="VWN1" s="3"/>
      <c r="VWO1" s="3"/>
      <c r="VWP1" s="3"/>
      <c r="VWQ1" s="3"/>
      <c r="VWR1" s="3"/>
      <c r="VWS1" s="3"/>
      <c r="VWT1" s="3"/>
      <c r="VWU1" s="3"/>
      <c r="VWV1" s="3"/>
      <c r="VWW1" s="3"/>
      <c r="VWX1" s="3"/>
      <c r="VWY1" s="3"/>
      <c r="VWZ1" s="3"/>
      <c r="VXA1" s="3"/>
      <c r="VXB1" s="3"/>
      <c r="VXC1" s="3"/>
      <c r="VXD1" s="3"/>
      <c r="VXE1" s="3"/>
      <c r="VXF1" s="3"/>
      <c r="VXG1" s="3"/>
      <c r="VXH1" s="3"/>
      <c r="VXI1" s="3"/>
      <c r="VXJ1" s="3"/>
      <c r="VXK1" s="3"/>
      <c r="VXL1" s="3"/>
      <c r="VXM1" s="3"/>
      <c r="VXN1" s="3"/>
      <c r="VXO1" s="3"/>
      <c r="VXP1" s="3"/>
      <c r="VXQ1" s="3"/>
      <c r="VXR1" s="3"/>
      <c r="VXS1" s="3"/>
      <c r="VXT1" s="3"/>
      <c r="VXU1" s="3"/>
      <c r="VXV1" s="3"/>
      <c r="VXW1" s="3"/>
      <c r="VXX1" s="3"/>
      <c r="VXY1" s="3"/>
      <c r="VXZ1" s="3"/>
      <c r="VYA1" s="3"/>
      <c r="VYB1" s="3"/>
      <c r="VYC1" s="3"/>
      <c r="VYD1" s="3"/>
      <c r="VYE1" s="3"/>
      <c r="VYF1" s="3"/>
      <c r="VYG1" s="3"/>
      <c r="VYH1" s="3"/>
      <c r="VYI1" s="3"/>
      <c r="VYJ1" s="3"/>
      <c r="VYK1" s="3"/>
      <c r="VYL1" s="3"/>
      <c r="VYM1" s="3"/>
      <c r="VYN1" s="3"/>
      <c r="VYO1" s="3"/>
      <c r="VYP1" s="3"/>
      <c r="VYQ1" s="3"/>
      <c r="VYR1" s="3"/>
      <c r="VYS1" s="3"/>
      <c r="VYT1" s="3"/>
      <c r="VYU1" s="3"/>
      <c r="VYV1" s="3"/>
      <c r="VYW1" s="3"/>
      <c r="VYX1" s="3"/>
      <c r="VYY1" s="3"/>
      <c r="VYZ1" s="3"/>
      <c r="VZA1" s="3"/>
      <c r="VZB1" s="3"/>
      <c r="VZC1" s="3"/>
      <c r="VZD1" s="3"/>
      <c r="VZE1" s="3"/>
      <c r="VZF1" s="3"/>
      <c r="VZG1" s="3"/>
      <c r="VZH1" s="3"/>
      <c r="VZI1" s="3"/>
      <c r="VZJ1" s="3"/>
      <c r="VZK1" s="3"/>
      <c r="VZL1" s="3"/>
      <c r="VZM1" s="3"/>
      <c r="VZN1" s="3"/>
      <c r="VZO1" s="3"/>
      <c r="VZP1" s="3"/>
      <c r="VZQ1" s="3"/>
      <c r="VZR1" s="3"/>
      <c r="VZS1" s="3"/>
      <c r="VZT1" s="3"/>
      <c r="VZU1" s="3"/>
      <c r="VZV1" s="3"/>
      <c r="VZW1" s="3"/>
      <c r="VZX1" s="3"/>
      <c r="VZY1" s="3"/>
      <c r="VZZ1" s="3"/>
      <c r="WAA1" s="3"/>
      <c r="WAB1" s="3"/>
      <c r="WAC1" s="3"/>
      <c r="WAD1" s="3"/>
      <c r="WAE1" s="3"/>
      <c r="WAF1" s="3"/>
      <c r="WAG1" s="3"/>
      <c r="WAH1" s="3"/>
      <c r="WAI1" s="3"/>
      <c r="WAJ1" s="3"/>
      <c r="WAK1" s="3"/>
      <c r="WAL1" s="3"/>
      <c r="WAM1" s="3"/>
      <c r="WAN1" s="3"/>
      <c r="WAO1" s="3"/>
      <c r="WAP1" s="3"/>
      <c r="WAQ1" s="3"/>
      <c r="WAR1" s="3"/>
      <c r="WAS1" s="3"/>
      <c r="WAT1" s="3"/>
      <c r="WAU1" s="3"/>
      <c r="WAV1" s="3"/>
      <c r="WAW1" s="3"/>
      <c r="WAX1" s="3"/>
      <c r="WAY1" s="3"/>
      <c r="WAZ1" s="3"/>
      <c r="WBA1" s="3"/>
      <c r="WBB1" s="3"/>
      <c r="WBC1" s="3"/>
      <c r="WBD1" s="3"/>
      <c r="WBE1" s="3"/>
      <c r="WBF1" s="3"/>
      <c r="WBG1" s="3"/>
      <c r="WBH1" s="3"/>
      <c r="WBI1" s="3"/>
      <c r="WBJ1" s="3"/>
      <c r="WBK1" s="3"/>
      <c r="WBL1" s="3"/>
      <c r="WBM1" s="3"/>
      <c r="WBN1" s="3"/>
      <c r="WBO1" s="3"/>
      <c r="WBP1" s="3"/>
      <c r="WBQ1" s="3"/>
      <c r="WBR1" s="3"/>
      <c r="WBS1" s="3"/>
      <c r="WBT1" s="3"/>
      <c r="WBU1" s="3"/>
      <c r="WBV1" s="3"/>
      <c r="WBW1" s="3"/>
      <c r="WBX1" s="3"/>
      <c r="WBY1" s="3"/>
      <c r="WBZ1" s="3"/>
      <c r="WCA1" s="3"/>
      <c r="WCB1" s="3"/>
      <c r="WCC1" s="3"/>
      <c r="WCD1" s="3"/>
      <c r="WCE1" s="3"/>
      <c r="WCF1" s="3"/>
      <c r="WCG1" s="3"/>
      <c r="WCH1" s="3"/>
      <c r="WCI1" s="3"/>
      <c r="WCJ1" s="3"/>
      <c r="WCK1" s="3"/>
      <c r="WCL1" s="3"/>
      <c r="WCM1" s="3"/>
      <c r="WCN1" s="3"/>
      <c r="WCO1" s="3"/>
      <c r="WCP1" s="3"/>
      <c r="WCQ1" s="3"/>
      <c r="WCR1" s="3"/>
      <c r="WCS1" s="3"/>
      <c r="WCT1" s="3"/>
      <c r="WCU1" s="3"/>
      <c r="WCV1" s="3"/>
      <c r="WCW1" s="3"/>
      <c r="WCX1" s="3"/>
      <c r="WCY1" s="3"/>
      <c r="WCZ1" s="3"/>
      <c r="WDA1" s="3"/>
      <c r="WDB1" s="3"/>
      <c r="WDC1" s="3"/>
      <c r="WDD1" s="3"/>
      <c r="WDE1" s="3"/>
      <c r="WDF1" s="3"/>
      <c r="WDG1" s="3"/>
      <c r="WDH1" s="3"/>
      <c r="WDI1" s="3"/>
      <c r="WDJ1" s="3"/>
      <c r="WDK1" s="3"/>
      <c r="WDL1" s="3"/>
      <c r="WDM1" s="3"/>
      <c r="WDN1" s="3"/>
      <c r="WDO1" s="3"/>
      <c r="WDP1" s="3"/>
      <c r="WDQ1" s="3"/>
      <c r="WDR1" s="3"/>
      <c r="WDS1" s="3"/>
      <c r="WDT1" s="3"/>
      <c r="WDU1" s="3"/>
      <c r="WDV1" s="3"/>
      <c r="WDW1" s="3"/>
      <c r="WDX1" s="3"/>
      <c r="WDY1" s="3"/>
      <c r="WDZ1" s="3"/>
      <c r="WEA1" s="3"/>
      <c r="WEB1" s="3"/>
      <c r="WEC1" s="3"/>
      <c r="WED1" s="3"/>
      <c r="WEE1" s="3"/>
      <c r="WEF1" s="3"/>
      <c r="WEG1" s="3"/>
      <c r="WEH1" s="3"/>
      <c r="WEI1" s="3"/>
      <c r="WEJ1" s="3"/>
      <c r="WEK1" s="3"/>
      <c r="WEL1" s="3"/>
      <c r="WEM1" s="3"/>
      <c r="WEN1" s="3"/>
      <c r="WEO1" s="3"/>
      <c r="WEP1" s="3"/>
      <c r="WEQ1" s="3"/>
      <c r="WER1" s="3"/>
      <c r="WES1" s="3"/>
      <c r="WET1" s="3"/>
      <c r="WEU1" s="3"/>
      <c r="WEV1" s="3"/>
      <c r="WEW1" s="3"/>
      <c r="WEX1" s="3"/>
      <c r="WEY1" s="3"/>
      <c r="WEZ1" s="3"/>
      <c r="WFA1" s="3"/>
      <c r="WFB1" s="3"/>
      <c r="WFC1" s="3"/>
      <c r="WFD1" s="3"/>
      <c r="WFE1" s="3"/>
      <c r="WFF1" s="3"/>
      <c r="WFG1" s="3"/>
      <c r="WFH1" s="3"/>
      <c r="WFI1" s="3"/>
      <c r="WFJ1" s="3"/>
      <c r="WFK1" s="3"/>
      <c r="WFL1" s="3"/>
      <c r="WFM1" s="3"/>
      <c r="WFN1" s="3"/>
      <c r="WFO1" s="3"/>
      <c r="WFP1" s="3"/>
      <c r="WFQ1" s="3"/>
      <c r="WFR1" s="3"/>
      <c r="WFS1" s="3"/>
      <c r="WFT1" s="3"/>
      <c r="WFU1" s="3"/>
      <c r="WFV1" s="3"/>
      <c r="WFW1" s="3"/>
      <c r="WFX1" s="3"/>
      <c r="WFY1" s="3"/>
      <c r="WFZ1" s="3"/>
      <c r="WGA1" s="3"/>
      <c r="WGB1" s="3"/>
      <c r="WGC1" s="3"/>
      <c r="WGD1" s="3"/>
      <c r="WGE1" s="3"/>
      <c r="WGF1" s="3"/>
      <c r="WGG1" s="3"/>
      <c r="WGH1" s="3"/>
      <c r="WGI1" s="3"/>
      <c r="WGJ1" s="3"/>
      <c r="WGK1" s="3"/>
      <c r="WGL1" s="3"/>
      <c r="WGM1" s="3"/>
      <c r="WGN1" s="3"/>
      <c r="WGO1" s="3"/>
      <c r="WGP1" s="3"/>
      <c r="WGQ1" s="3"/>
      <c r="WGR1" s="3"/>
      <c r="WGS1" s="3"/>
      <c r="WGT1" s="3"/>
      <c r="WGU1" s="3"/>
      <c r="WGV1" s="3"/>
      <c r="WGW1" s="3"/>
      <c r="WGX1" s="3"/>
      <c r="WGY1" s="3"/>
      <c r="WGZ1" s="3"/>
      <c r="WHA1" s="3"/>
      <c r="WHB1" s="3"/>
      <c r="WHC1" s="3"/>
      <c r="WHD1" s="3"/>
      <c r="WHE1" s="3"/>
      <c r="WHF1" s="3"/>
      <c r="WHG1" s="3"/>
      <c r="WHH1" s="3"/>
      <c r="WHI1" s="3"/>
      <c r="WHJ1" s="3"/>
      <c r="WHK1" s="3"/>
      <c r="WHL1" s="3"/>
      <c r="WHM1" s="3"/>
      <c r="WHN1" s="3"/>
      <c r="WHO1" s="3"/>
      <c r="WHP1" s="3"/>
      <c r="WHQ1" s="3"/>
      <c r="WHR1" s="3"/>
      <c r="WHS1" s="3"/>
      <c r="WHT1" s="3"/>
      <c r="WHU1" s="3"/>
      <c r="WHV1" s="3"/>
      <c r="WHW1" s="3"/>
      <c r="WHX1" s="3"/>
      <c r="WHY1" s="3"/>
      <c r="WHZ1" s="3"/>
      <c r="WIA1" s="3"/>
      <c r="WIB1" s="3"/>
      <c r="WIC1" s="3"/>
      <c r="WID1" s="3"/>
      <c r="WIE1" s="3"/>
      <c r="WIF1" s="3"/>
      <c r="WIG1" s="3"/>
      <c r="WIH1" s="3"/>
      <c r="WII1" s="3"/>
      <c r="WIJ1" s="3"/>
      <c r="WIK1" s="3"/>
      <c r="WIL1" s="3"/>
      <c r="WIM1" s="3"/>
      <c r="WIN1" s="3"/>
      <c r="WIO1" s="3"/>
      <c r="WIP1" s="3"/>
      <c r="WIQ1" s="3"/>
      <c r="WIR1" s="3"/>
      <c r="WIS1" s="3"/>
      <c r="WIT1" s="3"/>
      <c r="WIU1" s="3"/>
      <c r="WIV1" s="3"/>
      <c r="WIW1" s="3"/>
      <c r="WIX1" s="3"/>
      <c r="WIY1" s="3"/>
      <c r="WIZ1" s="3"/>
      <c r="WJA1" s="3"/>
      <c r="WJB1" s="3"/>
      <c r="WJC1" s="3"/>
      <c r="WJD1" s="3"/>
      <c r="WJE1" s="3"/>
      <c r="WJF1" s="3"/>
      <c r="WJG1" s="3"/>
      <c r="WJH1" s="3"/>
      <c r="WJI1" s="3"/>
      <c r="WJJ1" s="3"/>
      <c r="WJK1" s="3"/>
      <c r="WJL1" s="3"/>
      <c r="WJM1" s="3"/>
      <c r="WJN1" s="3"/>
      <c r="WJO1" s="3"/>
      <c r="WJP1" s="3"/>
      <c r="WJQ1" s="3"/>
      <c r="WJR1" s="3"/>
      <c r="WJS1" s="3"/>
      <c r="WJT1" s="3"/>
      <c r="WJU1" s="3"/>
      <c r="WJV1" s="3"/>
      <c r="WJW1" s="3"/>
      <c r="WJX1" s="3"/>
      <c r="WJY1" s="3"/>
      <c r="WJZ1" s="3"/>
      <c r="WKA1" s="3"/>
      <c r="WKB1" s="3"/>
      <c r="WKC1" s="3"/>
      <c r="WKD1" s="3"/>
      <c r="WKE1" s="3"/>
      <c r="WKF1" s="3"/>
      <c r="WKG1" s="3"/>
      <c r="WKH1" s="3"/>
      <c r="WKI1" s="3"/>
      <c r="WKJ1" s="3"/>
      <c r="WKK1" s="3"/>
      <c r="WKL1" s="3"/>
      <c r="WKM1" s="3"/>
      <c r="WKN1" s="3"/>
      <c r="WKO1" s="3"/>
      <c r="WKP1" s="3"/>
      <c r="WKQ1" s="3"/>
      <c r="WKR1" s="3"/>
      <c r="WKS1" s="3"/>
      <c r="WKT1" s="3"/>
      <c r="WKU1" s="3"/>
      <c r="WKV1" s="3"/>
      <c r="WKW1" s="3"/>
      <c r="WKX1" s="3"/>
      <c r="WKY1" s="3"/>
      <c r="WKZ1" s="3"/>
      <c r="WLA1" s="3"/>
      <c r="WLB1" s="3"/>
      <c r="WLC1" s="3"/>
      <c r="WLD1" s="3"/>
      <c r="WLE1" s="3"/>
      <c r="WLF1" s="3"/>
      <c r="WLG1" s="3"/>
      <c r="WLH1" s="3"/>
      <c r="WLI1" s="3"/>
      <c r="WLJ1" s="3"/>
      <c r="WLK1" s="3"/>
      <c r="WLL1" s="3"/>
      <c r="WLM1" s="3"/>
      <c r="WLN1" s="3"/>
      <c r="WLO1" s="3"/>
      <c r="WLP1" s="3"/>
      <c r="WLQ1" s="3"/>
      <c r="WLR1" s="3"/>
      <c r="WLS1" s="3"/>
      <c r="WLT1" s="3"/>
      <c r="WLU1" s="3"/>
      <c r="WLV1" s="3"/>
      <c r="WLW1" s="3"/>
      <c r="WLX1" s="3"/>
      <c r="WLY1" s="3"/>
      <c r="WLZ1" s="3"/>
      <c r="WMA1" s="3"/>
      <c r="WMB1" s="3"/>
      <c r="WMC1" s="3"/>
      <c r="WMD1" s="3"/>
      <c r="WME1" s="3"/>
      <c r="WMF1" s="3"/>
      <c r="WMG1" s="3"/>
      <c r="WMH1" s="3"/>
      <c r="WMI1" s="3"/>
      <c r="WMJ1" s="3"/>
      <c r="WMK1" s="3"/>
      <c r="WML1" s="3"/>
      <c r="WMM1" s="3"/>
      <c r="WMN1" s="3"/>
      <c r="WMO1" s="3"/>
      <c r="WMP1" s="3"/>
      <c r="WMQ1" s="3"/>
      <c r="WMR1" s="3"/>
      <c r="WMS1" s="3"/>
      <c r="WMT1" s="3"/>
      <c r="WMU1" s="3"/>
      <c r="WMV1" s="3"/>
      <c r="WMW1" s="3"/>
      <c r="WMX1" s="3"/>
      <c r="WMY1" s="3"/>
      <c r="WMZ1" s="3"/>
      <c r="WNA1" s="3"/>
      <c r="WNB1" s="3"/>
      <c r="WNC1" s="3"/>
      <c r="WND1" s="3"/>
      <c r="WNE1" s="3"/>
      <c r="WNF1" s="3"/>
      <c r="WNG1" s="3"/>
      <c r="WNH1" s="3"/>
      <c r="WNI1" s="3"/>
      <c r="WNJ1" s="3"/>
      <c r="WNK1" s="3"/>
      <c r="WNL1" s="3"/>
      <c r="WNM1" s="3"/>
      <c r="WNN1" s="3"/>
      <c r="WNO1" s="3"/>
      <c r="WNP1" s="3"/>
      <c r="WNQ1" s="3"/>
      <c r="WNR1" s="3"/>
      <c r="WNS1" s="3"/>
      <c r="WNT1" s="3"/>
      <c r="WNU1" s="3"/>
      <c r="WNV1" s="3"/>
      <c r="WNW1" s="3"/>
      <c r="WNX1" s="3"/>
      <c r="WNY1" s="3"/>
      <c r="WNZ1" s="3"/>
      <c r="WOA1" s="3"/>
      <c r="WOB1" s="3"/>
      <c r="WOC1" s="3"/>
      <c r="WOD1" s="3"/>
      <c r="WOE1" s="3"/>
      <c r="WOF1" s="3"/>
      <c r="WOG1" s="3"/>
      <c r="WOH1" s="3"/>
      <c r="WOI1" s="3"/>
      <c r="WOJ1" s="3"/>
      <c r="WOK1" s="3"/>
      <c r="WOL1" s="3"/>
      <c r="WOM1" s="3"/>
      <c r="WON1" s="3"/>
      <c r="WOO1" s="3"/>
      <c r="WOP1" s="3"/>
      <c r="WOQ1" s="3"/>
      <c r="WOR1" s="3"/>
      <c r="WOS1" s="3"/>
      <c r="WOT1" s="3"/>
      <c r="WOU1" s="3"/>
      <c r="WOV1" s="3"/>
      <c r="WOW1" s="3"/>
      <c r="WOX1" s="3"/>
      <c r="WOY1" s="3"/>
      <c r="WOZ1" s="3"/>
      <c r="WPA1" s="3"/>
      <c r="WPB1" s="3"/>
      <c r="WPC1" s="3"/>
      <c r="WPD1" s="3"/>
      <c r="WPE1" s="3"/>
      <c r="WPF1" s="3"/>
      <c r="WPG1" s="3"/>
      <c r="WPH1" s="3"/>
      <c r="WPI1" s="3"/>
      <c r="WPJ1" s="3"/>
      <c r="WPK1" s="3"/>
      <c r="WPL1" s="3"/>
      <c r="WPM1" s="3"/>
      <c r="WPN1" s="3"/>
      <c r="WPO1" s="3"/>
      <c r="WPP1" s="3"/>
      <c r="WPQ1" s="3"/>
      <c r="WPR1" s="3"/>
      <c r="WPS1" s="3"/>
      <c r="WPT1" s="3"/>
      <c r="WPU1" s="3"/>
      <c r="WPV1" s="3"/>
      <c r="WPW1" s="3"/>
      <c r="WPX1" s="3"/>
      <c r="WPY1" s="3"/>
      <c r="WPZ1" s="3"/>
      <c r="WQA1" s="3"/>
      <c r="WQB1" s="3"/>
      <c r="WQC1" s="3"/>
      <c r="WQD1" s="3"/>
      <c r="WQE1" s="3"/>
      <c r="WQF1" s="3"/>
      <c r="WQG1" s="3"/>
      <c r="WQH1" s="3"/>
      <c r="WQI1" s="3"/>
      <c r="WQJ1" s="3"/>
      <c r="WQK1" s="3"/>
      <c r="WQL1" s="3"/>
      <c r="WQM1" s="3"/>
      <c r="WQN1" s="3"/>
      <c r="WQO1" s="3"/>
      <c r="WQP1" s="3"/>
      <c r="WQQ1" s="3"/>
      <c r="WQR1" s="3"/>
      <c r="WQS1" s="3"/>
      <c r="WQT1" s="3"/>
      <c r="WQU1" s="3"/>
      <c r="WQV1" s="3"/>
      <c r="WQW1" s="3"/>
      <c r="WQX1" s="3"/>
      <c r="WQY1" s="3"/>
      <c r="WQZ1" s="3"/>
      <c r="WRA1" s="3"/>
      <c r="WRB1" s="3"/>
      <c r="WRC1" s="3"/>
      <c r="WRD1" s="3"/>
      <c r="WRE1" s="3"/>
      <c r="WRF1" s="3"/>
      <c r="WRG1" s="3"/>
      <c r="WRH1" s="3"/>
      <c r="WRI1" s="3"/>
      <c r="WRJ1" s="3"/>
      <c r="WRK1" s="3"/>
      <c r="WRL1" s="3"/>
      <c r="WRM1" s="3"/>
      <c r="WRN1" s="3"/>
      <c r="WRO1" s="3"/>
      <c r="WRP1" s="3"/>
      <c r="WRQ1" s="3"/>
      <c r="WRR1" s="3"/>
      <c r="WRS1" s="3"/>
      <c r="WRT1" s="3"/>
      <c r="WRU1" s="3"/>
      <c r="WRV1" s="3"/>
      <c r="WRW1" s="3"/>
      <c r="WRX1" s="3"/>
      <c r="WRY1" s="3"/>
      <c r="WRZ1" s="3"/>
      <c r="WSA1" s="3"/>
      <c r="WSB1" s="3"/>
      <c r="WSC1" s="3"/>
      <c r="WSD1" s="3"/>
      <c r="WSE1" s="3"/>
      <c r="WSF1" s="3"/>
      <c r="WSG1" s="3"/>
      <c r="WSH1" s="3"/>
      <c r="WSI1" s="3"/>
      <c r="WSJ1" s="3"/>
      <c r="WSK1" s="3"/>
      <c r="WSL1" s="3"/>
      <c r="WSM1" s="3"/>
      <c r="WSN1" s="3"/>
      <c r="WSO1" s="3"/>
      <c r="WSP1" s="3"/>
      <c r="WSQ1" s="3"/>
      <c r="WSR1" s="3"/>
      <c r="WSS1" s="3"/>
      <c r="WST1" s="3"/>
      <c r="WSU1" s="3"/>
      <c r="WSV1" s="3"/>
      <c r="WSW1" s="3"/>
      <c r="WSX1" s="3"/>
      <c r="WSY1" s="3"/>
      <c r="WSZ1" s="3"/>
      <c r="WTA1" s="3"/>
      <c r="WTB1" s="3"/>
      <c r="WTC1" s="3"/>
      <c r="WTD1" s="3"/>
      <c r="WTE1" s="3"/>
      <c r="WTF1" s="3"/>
      <c r="WTG1" s="3"/>
      <c r="WTH1" s="3"/>
      <c r="WTI1" s="3"/>
      <c r="WTJ1" s="3"/>
      <c r="WTK1" s="3"/>
      <c r="WTL1" s="3"/>
      <c r="WTM1" s="3"/>
      <c r="WTN1" s="3"/>
      <c r="WTO1" s="3"/>
      <c r="WTP1" s="3"/>
      <c r="WTQ1" s="3"/>
      <c r="WTR1" s="3"/>
      <c r="WTS1" s="3"/>
      <c r="WTT1" s="3"/>
      <c r="WTU1" s="3"/>
      <c r="WTV1" s="3"/>
      <c r="WTW1" s="3"/>
      <c r="WTX1" s="3"/>
      <c r="WTY1" s="3"/>
      <c r="WTZ1" s="3"/>
      <c r="WUA1" s="3"/>
      <c r="WUB1" s="3"/>
      <c r="WUC1" s="3"/>
      <c r="WUD1" s="3"/>
      <c r="WUE1" s="3"/>
      <c r="WUF1" s="3"/>
      <c r="WUG1" s="3"/>
      <c r="WUH1" s="3"/>
      <c r="WUI1" s="3"/>
      <c r="WUJ1" s="3"/>
      <c r="WUK1" s="3"/>
      <c r="WUL1" s="3"/>
      <c r="WUM1" s="3"/>
      <c r="WUN1" s="3"/>
      <c r="WUO1" s="3"/>
      <c r="WUP1" s="3"/>
      <c r="WUQ1" s="3"/>
      <c r="WUR1" s="3"/>
      <c r="WUS1" s="3"/>
      <c r="WUT1" s="3"/>
      <c r="WUU1" s="3"/>
      <c r="WUV1" s="3"/>
      <c r="WUW1" s="3"/>
      <c r="WUX1" s="3"/>
      <c r="WUY1" s="3"/>
      <c r="WUZ1" s="3"/>
      <c r="WVA1" s="3"/>
      <c r="WVB1" s="3"/>
      <c r="WVC1" s="3"/>
      <c r="WVD1" s="3"/>
      <c r="WVE1" s="3"/>
      <c r="WVF1" s="3"/>
      <c r="WVG1" s="3"/>
      <c r="WVH1" s="3"/>
      <c r="WVI1" s="3"/>
      <c r="WVJ1" s="3"/>
      <c r="WVK1" s="3"/>
      <c r="WVL1" s="3"/>
      <c r="WVM1" s="3"/>
      <c r="WVN1" s="3"/>
      <c r="WVO1" s="3"/>
      <c r="WVP1" s="3"/>
      <c r="WVQ1" s="3"/>
      <c r="WVR1" s="3"/>
      <c r="WVS1" s="3"/>
      <c r="WVT1" s="3"/>
      <c r="WVU1" s="3"/>
      <c r="WVV1" s="3"/>
      <c r="WVW1" s="3"/>
      <c r="WVX1" s="3"/>
      <c r="WVY1" s="3"/>
      <c r="WVZ1" s="3"/>
      <c r="WWA1" s="3"/>
      <c r="WWB1" s="3"/>
      <c r="WWC1" s="3"/>
      <c r="WWD1" s="3"/>
      <c r="WWE1" s="3"/>
      <c r="WWF1" s="3"/>
      <c r="WWG1" s="3"/>
      <c r="WWH1" s="3"/>
      <c r="WWI1" s="3"/>
      <c r="WWJ1" s="3"/>
      <c r="WWK1" s="3"/>
      <c r="WWL1" s="3"/>
      <c r="WWM1" s="3"/>
      <c r="WWN1" s="3"/>
      <c r="WWO1" s="3"/>
      <c r="WWP1" s="3"/>
      <c r="WWQ1" s="3"/>
      <c r="WWR1" s="3"/>
      <c r="WWS1" s="3"/>
      <c r="WWT1" s="3"/>
      <c r="WWU1" s="3"/>
      <c r="WWV1" s="3"/>
      <c r="WWW1" s="3"/>
      <c r="WWX1" s="3"/>
      <c r="WWY1" s="3"/>
      <c r="WWZ1" s="3"/>
      <c r="WXA1" s="3"/>
      <c r="WXB1" s="3"/>
      <c r="WXC1" s="3"/>
      <c r="WXD1" s="3"/>
      <c r="WXE1" s="3"/>
      <c r="WXF1" s="3"/>
      <c r="WXG1" s="3"/>
      <c r="WXH1" s="3"/>
      <c r="WXI1" s="3"/>
      <c r="WXJ1" s="3"/>
      <c r="WXK1" s="3"/>
      <c r="WXL1" s="3"/>
      <c r="WXM1" s="3"/>
      <c r="WXN1" s="3"/>
      <c r="WXO1" s="3"/>
      <c r="WXP1" s="3"/>
      <c r="WXQ1" s="3"/>
      <c r="WXR1" s="3"/>
      <c r="WXS1" s="3"/>
      <c r="WXT1" s="3"/>
      <c r="WXU1" s="3"/>
      <c r="WXV1" s="3"/>
      <c r="WXW1" s="3"/>
      <c r="WXX1" s="3"/>
      <c r="WXY1" s="3"/>
      <c r="WXZ1" s="3"/>
      <c r="WYA1" s="3"/>
      <c r="WYB1" s="3"/>
      <c r="WYC1" s="3"/>
      <c r="WYD1" s="3"/>
      <c r="WYE1" s="3"/>
      <c r="WYF1" s="3"/>
      <c r="WYG1" s="3"/>
      <c r="WYH1" s="3"/>
      <c r="WYI1" s="3"/>
      <c r="WYJ1" s="3"/>
      <c r="WYK1" s="3"/>
      <c r="WYL1" s="3"/>
      <c r="WYM1" s="3"/>
      <c r="WYN1" s="3"/>
      <c r="WYO1" s="3"/>
      <c r="WYP1" s="3"/>
      <c r="WYQ1" s="3"/>
      <c r="WYR1" s="3"/>
      <c r="WYS1" s="3"/>
      <c r="WYT1" s="3"/>
      <c r="WYU1" s="3"/>
      <c r="WYV1" s="3"/>
      <c r="WYW1" s="3"/>
      <c r="WYX1" s="3"/>
      <c r="WYY1" s="3"/>
      <c r="WYZ1" s="3"/>
      <c r="WZA1" s="3"/>
      <c r="WZB1" s="3"/>
      <c r="WZC1" s="3"/>
      <c r="WZD1" s="3"/>
      <c r="WZE1" s="3"/>
      <c r="WZF1" s="3"/>
      <c r="WZG1" s="3"/>
      <c r="WZH1" s="3"/>
      <c r="WZI1" s="3"/>
      <c r="WZJ1" s="3"/>
      <c r="WZK1" s="3"/>
      <c r="WZL1" s="3"/>
      <c r="WZM1" s="3"/>
      <c r="WZN1" s="3"/>
      <c r="WZO1" s="3"/>
      <c r="WZP1" s="3"/>
      <c r="WZQ1" s="3"/>
      <c r="WZR1" s="3"/>
      <c r="WZS1" s="3"/>
      <c r="WZT1" s="3"/>
      <c r="WZU1" s="3"/>
      <c r="WZV1" s="3"/>
      <c r="WZW1" s="3"/>
      <c r="WZX1" s="3"/>
      <c r="WZY1" s="3"/>
      <c r="WZZ1" s="3"/>
      <c r="XAA1" s="3"/>
      <c r="XAB1" s="3"/>
      <c r="XAC1" s="3"/>
      <c r="XAD1" s="3"/>
      <c r="XAE1" s="3"/>
      <c r="XAF1" s="3"/>
      <c r="XAG1" s="3"/>
      <c r="XAH1" s="3"/>
      <c r="XAI1" s="3"/>
      <c r="XAJ1" s="3"/>
      <c r="XAK1" s="3"/>
      <c r="XAL1" s="3"/>
      <c r="XAM1" s="3"/>
      <c r="XAN1" s="3"/>
      <c r="XAO1" s="3"/>
      <c r="XAP1" s="3"/>
      <c r="XAQ1" s="3"/>
      <c r="XAR1" s="3"/>
      <c r="XAS1" s="3"/>
      <c r="XAT1" s="3"/>
      <c r="XAU1" s="3"/>
      <c r="XAV1" s="3"/>
      <c r="XAW1" s="3"/>
      <c r="XAX1" s="3"/>
      <c r="XAY1" s="3"/>
      <c r="XAZ1" s="3"/>
      <c r="XBA1" s="3"/>
      <c r="XBB1" s="3"/>
      <c r="XBC1" s="3"/>
      <c r="XBD1" s="3"/>
      <c r="XBE1" s="3"/>
      <c r="XBF1" s="3"/>
      <c r="XBG1" s="3"/>
      <c r="XBH1" s="3"/>
      <c r="XBI1" s="3"/>
      <c r="XBJ1" s="3"/>
      <c r="XBK1" s="3"/>
      <c r="XBL1" s="3"/>
      <c r="XBM1" s="3"/>
      <c r="XBN1" s="3"/>
      <c r="XBO1" s="3"/>
      <c r="XBP1" s="3"/>
      <c r="XBQ1" s="3"/>
      <c r="XBR1" s="3"/>
      <c r="XBS1" s="3"/>
      <c r="XBT1" s="3"/>
      <c r="XBU1" s="3"/>
      <c r="XBV1" s="3"/>
      <c r="XBW1" s="3"/>
      <c r="XBX1" s="3"/>
      <c r="XBY1" s="3"/>
      <c r="XBZ1" s="3"/>
      <c r="XCA1" s="3"/>
      <c r="XCB1" s="3"/>
      <c r="XCC1" s="3"/>
      <c r="XCD1" s="3"/>
      <c r="XCE1" s="3"/>
      <c r="XCF1" s="3"/>
      <c r="XCG1" s="3"/>
      <c r="XCH1" s="3"/>
      <c r="XCI1" s="3"/>
      <c r="XCJ1" s="3"/>
      <c r="XCK1" s="3"/>
      <c r="XCL1" s="3"/>
      <c r="XCM1" s="3"/>
      <c r="XCN1" s="3"/>
      <c r="XCO1" s="3"/>
      <c r="XCP1" s="3"/>
      <c r="XCQ1" s="3"/>
      <c r="XCR1" s="3"/>
      <c r="XCS1" s="3"/>
      <c r="XCT1" s="3"/>
      <c r="XCU1" s="3"/>
      <c r="XCV1" s="3"/>
      <c r="XCW1" s="3"/>
      <c r="XCX1" s="3"/>
      <c r="XCY1" s="3"/>
      <c r="XCZ1" s="3"/>
      <c r="XDA1" s="3"/>
      <c r="XDB1" s="3"/>
      <c r="XDC1" s="3"/>
      <c r="XDD1" s="3"/>
      <c r="XDE1" s="3"/>
      <c r="XDF1" s="3"/>
      <c r="XDG1" s="3"/>
      <c r="XDH1" s="3"/>
      <c r="XDI1" s="3"/>
      <c r="XDJ1" s="3"/>
      <c r="XDK1" s="3"/>
      <c r="XDL1" s="3"/>
      <c r="XDM1" s="3"/>
      <c r="XDN1" s="3"/>
      <c r="XDO1" s="3"/>
      <c r="XDP1" s="3"/>
      <c r="XDQ1" s="3"/>
      <c r="XDR1" s="3"/>
      <c r="XDS1" s="3"/>
      <c r="XDT1" s="3"/>
      <c r="XDU1" s="3"/>
      <c r="XDV1" s="3"/>
      <c r="XDW1" s="3"/>
      <c r="XDX1" s="3"/>
      <c r="XDY1" s="3"/>
      <c r="XDZ1" s="3"/>
      <c r="XEA1" s="3"/>
      <c r="XEB1" s="3"/>
      <c r="XEC1" s="3"/>
      <c r="XED1" s="3"/>
      <c r="XEE1" s="3"/>
      <c r="XEF1" s="3"/>
      <c r="XEG1" s="3"/>
      <c r="XEH1" s="3"/>
      <c r="XEI1" s="3"/>
      <c r="XEJ1" s="3"/>
      <c r="XEK1" s="3"/>
      <c r="XEL1" s="3"/>
      <c r="XEM1" s="3"/>
      <c r="XEN1" s="3"/>
      <c r="XEO1" s="3"/>
      <c r="XEP1" s="3"/>
      <c r="XEQ1" s="3"/>
      <c r="XER1" s="3"/>
      <c r="XES1" s="3"/>
      <c r="XET1" s="3"/>
      <c r="XEU1" s="3"/>
      <c r="XEV1" s="3"/>
      <c r="XEW1" s="3"/>
      <c r="XEX1" s="3"/>
      <c r="XEY1" s="3"/>
      <c r="XEZ1" s="3"/>
      <c r="XFA1" s="3"/>
      <c r="XFB1" s="3"/>
    </row>
    <row r="2" spans="1:16382" ht="261" x14ac:dyDescent="0.35">
      <c r="A2" s="126">
        <v>598</v>
      </c>
      <c r="B2" s="73">
        <v>2001</v>
      </c>
      <c r="C2" s="73">
        <v>1</v>
      </c>
      <c r="D2" s="75" t="s">
        <v>16</v>
      </c>
      <c r="E2" s="75" t="s">
        <v>17</v>
      </c>
      <c r="F2" s="75" t="s">
        <v>19</v>
      </c>
      <c r="G2" s="120" t="s">
        <v>1002</v>
      </c>
      <c r="H2" s="120">
        <v>101</v>
      </c>
      <c r="I2" s="75" t="s">
        <v>1003</v>
      </c>
      <c r="J2" s="75"/>
      <c r="K2" s="92" t="s">
        <v>1004</v>
      </c>
      <c r="L2" s="92" t="s">
        <v>1005</v>
      </c>
    </row>
    <row r="3" spans="1:16382" ht="58" x14ac:dyDescent="0.35">
      <c r="A3" s="157">
        <v>600</v>
      </c>
      <c r="B3" s="94">
        <v>2011</v>
      </c>
      <c r="C3" s="94">
        <v>1</v>
      </c>
      <c r="D3" s="158" t="s">
        <v>43</v>
      </c>
      <c r="E3" s="158" t="s">
        <v>28</v>
      </c>
      <c r="F3" s="158" t="s">
        <v>28</v>
      </c>
      <c r="G3" s="159" t="s">
        <v>1002</v>
      </c>
      <c r="H3" s="159">
        <v>105</v>
      </c>
      <c r="I3" s="158" t="s">
        <v>1006</v>
      </c>
      <c r="J3" s="158"/>
      <c r="K3" s="93" t="s">
        <v>1007</v>
      </c>
      <c r="L3" s="93" t="s">
        <v>1008</v>
      </c>
    </row>
    <row r="4" spans="1:16382" ht="43.5" x14ac:dyDescent="0.35">
      <c r="A4" s="157">
        <v>1601</v>
      </c>
      <c r="B4" s="94">
        <v>2011</v>
      </c>
      <c r="C4" s="94">
        <v>1</v>
      </c>
      <c r="D4" s="158" t="s">
        <v>43</v>
      </c>
      <c r="E4" s="158" t="s">
        <v>28</v>
      </c>
      <c r="F4" s="158" t="s">
        <v>28</v>
      </c>
      <c r="G4" s="159" t="s">
        <v>1002</v>
      </c>
      <c r="H4" s="159">
        <v>106</v>
      </c>
      <c r="I4" s="158" t="s">
        <v>1006</v>
      </c>
      <c r="J4" s="158"/>
      <c r="K4" s="93" t="s">
        <v>1009</v>
      </c>
      <c r="L4" s="93" t="s">
        <v>1010</v>
      </c>
    </row>
    <row r="5" spans="1:16382" ht="43.5" x14ac:dyDescent="0.35">
      <c r="A5" s="157">
        <v>1602</v>
      </c>
      <c r="B5" s="94">
        <v>2011</v>
      </c>
      <c r="C5" s="94">
        <v>1</v>
      </c>
      <c r="D5" s="158" t="s">
        <v>43</v>
      </c>
      <c r="E5" s="158" t="s">
        <v>28</v>
      </c>
      <c r="F5" s="158" t="s">
        <v>28</v>
      </c>
      <c r="G5" s="159" t="s">
        <v>1002</v>
      </c>
      <c r="H5" s="159">
        <v>107</v>
      </c>
      <c r="I5" s="158" t="s">
        <v>1006</v>
      </c>
      <c r="J5" s="158"/>
      <c r="K5" s="93" t="s">
        <v>1011</v>
      </c>
      <c r="L5" s="93" t="s">
        <v>1012</v>
      </c>
    </row>
    <row r="6" spans="1:16382" ht="261" x14ac:dyDescent="0.35">
      <c r="A6" s="68">
        <v>601</v>
      </c>
      <c r="B6" s="22">
        <v>2012</v>
      </c>
      <c r="C6" s="22">
        <v>2</v>
      </c>
      <c r="D6" s="6" t="s">
        <v>45</v>
      </c>
      <c r="E6" s="6" t="s">
        <v>46</v>
      </c>
      <c r="F6" s="6" t="s">
        <v>47</v>
      </c>
      <c r="G6" s="3" t="s">
        <v>1002</v>
      </c>
      <c r="H6" s="3">
        <v>201</v>
      </c>
      <c r="I6" s="6" t="s">
        <v>1003</v>
      </c>
      <c r="K6" s="76" t="s">
        <v>1013</v>
      </c>
      <c r="L6" s="76" t="s">
        <v>1014</v>
      </c>
    </row>
    <row r="7" spans="1:16382" ht="43.5" x14ac:dyDescent="0.35">
      <c r="A7" s="68">
        <v>15</v>
      </c>
      <c r="B7" s="22">
        <v>2022</v>
      </c>
      <c r="C7" s="22" t="s">
        <v>1015</v>
      </c>
      <c r="D7" s="6" t="s">
        <v>69</v>
      </c>
      <c r="E7" s="6" t="s">
        <v>70</v>
      </c>
      <c r="F7" s="6" t="s">
        <v>70</v>
      </c>
      <c r="G7" s="3" t="s">
        <v>1002</v>
      </c>
      <c r="H7" s="3">
        <v>301</v>
      </c>
      <c r="I7" s="6" t="s">
        <v>1016</v>
      </c>
      <c r="K7" s="76" t="s">
        <v>1017</v>
      </c>
      <c r="L7" s="76" t="s">
        <v>1018</v>
      </c>
    </row>
    <row r="8" spans="1:16382" ht="43.5" x14ac:dyDescent="0.35">
      <c r="A8" s="68">
        <v>606</v>
      </c>
      <c r="B8" s="22">
        <v>2023</v>
      </c>
      <c r="C8" s="22" t="s">
        <v>1019</v>
      </c>
      <c r="D8" s="6" t="s">
        <v>73</v>
      </c>
      <c r="E8" s="6" t="s">
        <v>74</v>
      </c>
      <c r="F8" s="6" t="s">
        <v>74</v>
      </c>
      <c r="G8" s="3" t="s">
        <v>1002</v>
      </c>
      <c r="H8" s="3">
        <v>311</v>
      </c>
      <c r="I8" s="6" t="s">
        <v>1016</v>
      </c>
      <c r="K8" s="76" t="s">
        <v>1020</v>
      </c>
      <c r="L8" s="76" t="s">
        <v>1021</v>
      </c>
    </row>
    <row r="9" spans="1:16382" ht="43.5" x14ac:dyDescent="0.35">
      <c r="A9" s="68">
        <v>847</v>
      </c>
      <c r="B9" s="22">
        <v>2024</v>
      </c>
      <c r="C9" s="22">
        <v>4</v>
      </c>
      <c r="D9" s="6" t="s">
        <v>77</v>
      </c>
      <c r="E9" s="6" t="s">
        <v>78</v>
      </c>
      <c r="F9" s="6" t="s">
        <v>78</v>
      </c>
      <c r="G9" s="3" t="s">
        <v>1002</v>
      </c>
      <c r="H9" s="3">
        <v>401</v>
      </c>
      <c r="I9" s="6" t="s">
        <v>1006</v>
      </c>
      <c r="K9" s="76" t="s">
        <v>1022</v>
      </c>
      <c r="L9" s="76" t="s">
        <v>1023</v>
      </c>
    </row>
    <row r="10" spans="1:16382" ht="29" x14ac:dyDescent="0.35">
      <c r="A10" s="68">
        <v>846</v>
      </c>
      <c r="B10" s="22">
        <v>2025</v>
      </c>
      <c r="C10" s="22">
        <v>5</v>
      </c>
      <c r="D10" s="6" t="s">
        <v>80</v>
      </c>
      <c r="E10" s="6" t="s">
        <v>81</v>
      </c>
      <c r="F10" s="6" t="s">
        <v>81</v>
      </c>
      <c r="G10" s="3" t="s">
        <v>1002</v>
      </c>
      <c r="H10" s="3">
        <v>501</v>
      </c>
      <c r="I10" s="6" t="s">
        <v>1016</v>
      </c>
      <c r="L10" s="76" t="s">
        <v>1024</v>
      </c>
    </row>
    <row r="11" spans="1:16382" ht="43.5" x14ac:dyDescent="0.35">
      <c r="A11" s="68">
        <v>27</v>
      </c>
      <c r="B11" s="22">
        <v>2026</v>
      </c>
      <c r="C11" s="22">
        <v>6</v>
      </c>
      <c r="D11" s="6" t="s">
        <v>83</v>
      </c>
      <c r="E11" s="6" t="s">
        <v>84</v>
      </c>
      <c r="F11" s="6" t="s">
        <v>84</v>
      </c>
      <c r="G11" s="3" t="s">
        <v>1002</v>
      </c>
      <c r="H11" s="3">
        <v>601</v>
      </c>
      <c r="I11" s="6" t="s">
        <v>1016</v>
      </c>
      <c r="J11" s="6" t="s">
        <v>86</v>
      </c>
      <c r="L11" s="76" t="s">
        <v>1025</v>
      </c>
    </row>
    <row r="12" spans="1:16382" ht="43.5" x14ac:dyDescent="0.35">
      <c r="A12" s="68">
        <v>28</v>
      </c>
      <c r="B12" s="22">
        <v>2027</v>
      </c>
      <c r="C12" s="22">
        <v>6</v>
      </c>
      <c r="D12" s="6" t="s">
        <v>87</v>
      </c>
      <c r="E12" s="6" t="s">
        <v>88</v>
      </c>
      <c r="F12" s="6" t="s">
        <v>88</v>
      </c>
      <c r="G12" s="3" t="s">
        <v>1002</v>
      </c>
      <c r="H12" s="3">
        <v>605</v>
      </c>
      <c r="I12" s="6" t="s">
        <v>1016</v>
      </c>
      <c r="J12" s="6" t="s">
        <v>86</v>
      </c>
      <c r="L12" s="76" t="s">
        <v>1026</v>
      </c>
    </row>
    <row r="13" spans="1:16382" x14ac:dyDescent="0.35">
      <c r="A13" s="68">
        <v>607</v>
      </c>
      <c r="B13" s="22">
        <v>2030</v>
      </c>
      <c r="C13" s="22" t="s">
        <v>1027</v>
      </c>
      <c r="D13" s="6" t="s">
        <v>95</v>
      </c>
      <c r="E13" s="6" t="s">
        <v>96</v>
      </c>
      <c r="F13" s="6" t="s">
        <v>96</v>
      </c>
      <c r="G13" s="3" t="s">
        <v>1002</v>
      </c>
      <c r="H13" s="3">
        <v>801</v>
      </c>
      <c r="I13" s="6" t="s">
        <v>1016</v>
      </c>
      <c r="L13" s="76" t="s">
        <v>1028</v>
      </c>
    </row>
    <row r="14" spans="1:16382" ht="145" x14ac:dyDescent="0.35">
      <c r="A14" s="68">
        <v>29</v>
      </c>
      <c r="B14" s="22">
        <v>2031</v>
      </c>
      <c r="C14" s="22" t="s">
        <v>1029</v>
      </c>
      <c r="D14" s="6" t="s">
        <v>98</v>
      </c>
      <c r="E14" s="6" t="s">
        <v>99</v>
      </c>
      <c r="F14" s="6" t="s">
        <v>100</v>
      </c>
      <c r="G14" s="3" t="s">
        <v>1002</v>
      </c>
      <c r="H14" s="3">
        <v>811</v>
      </c>
      <c r="I14" s="6" t="s">
        <v>1030</v>
      </c>
      <c r="K14" s="76" t="s">
        <v>1031</v>
      </c>
      <c r="L14" s="76" t="s">
        <v>1032</v>
      </c>
    </row>
    <row r="15" spans="1:16382" ht="145" x14ac:dyDescent="0.35">
      <c r="A15" s="126">
        <v>858</v>
      </c>
      <c r="B15" s="73">
        <v>2031</v>
      </c>
      <c r="C15" s="73" t="s">
        <v>1029</v>
      </c>
      <c r="D15" s="75" t="s">
        <v>98</v>
      </c>
      <c r="E15" s="75" t="s">
        <v>99</v>
      </c>
      <c r="F15" s="75" t="s">
        <v>100</v>
      </c>
      <c r="G15" s="120" t="s">
        <v>1002</v>
      </c>
      <c r="H15" s="120">
        <v>815</v>
      </c>
      <c r="I15" s="75" t="s">
        <v>1006</v>
      </c>
      <c r="J15" s="75"/>
      <c r="K15" s="92" t="s">
        <v>1033</v>
      </c>
      <c r="L15" s="92" t="s">
        <v>1034</v>
      </c>
    </row>
    <row r="16" spans="1:16382" x14ac:dyDescent="0.35">
      <c r="A16" s="127">
        <v>1010</v>
      </c>
      <c r="B16" s="73">
        <v>2038</v>
      </c>
      <c r="C16" s="73" t="s">
        <v>1035</v>
      </c>
      <c r="D16" s="75" t="s">
        <v>115</v>
      </c>
      <c r="E16" s="75" t="s">
        <v>116</v>
      </c>
      <c r="F16" s="75" t="s">
        <v>116</v>
      </c>
      <c r="G16" s="120" t="s">
        <v>1002</v>
      </c>
      <c r="H16" s="159">
        <v>901</v>
      </c>
      <c r="I16" s="75" t="s">
        <v>1016</v>
      </c>
      <c r="J16" s="75"/>
      <c r="K16" s="92"/>
      <c r="L16" s="92" t="s">
        <v>1036</v>
      </c>
    </row>
    <row r="17" spans="1:13" x14ac:dyDescent="0.35">
      <c r="A17" s="126">
        <v>1012</v>
      </c>
      <c r="B17" s="73">
        <v>2039</v>
      </c>
      <c r="C17" s="73" t="s">
        <v>1037</v>
      </c>
      <c r="D17" s="75" t="s">
        <v>118</v>
      </c>
      <c r="E17" s="75" t="s">
        <v>119</v>
      </c>
      <c r="F17" s="75" t="s">
        <v>119</v>
      </c>
      <c r="G17" s="120" t="s">
        <v>1002</v>
      </c>
      <c r="H17" s="159">
        <v>902</v>
      </c>
      <c r="I17" s="75" t="s">
        <v>1016</v>
      </c>
      <c r="J17" s="75"/>
      <c r="K17" s="92"/>
      <c r="L17" s="92" t="s">
        <v>1038</v>
      </c>
    </row>
    <row r="18" spans="1:13" ht="43.5" x14ac:dyDescent="0.35">
      <c r="A18" s="126">
        <v>1013</v>
      </c>
      <c r="B18" s="73">
        <v>2040</v>
      </c>
      <c r="C18" s="73" t="s">
        <v>1039</v>
      </c>
      <c r="D18" s="75" t="s">
        <v>121</v>
      </c>
      <c r="E18" s="75" t="s">
        <v>122</v>
      </c>
      <c r="F18" s="75" t="s">
        <v>122</v>
      </c>
      <c r="G18" s="120" t="s">
        <v>1002</v>
      </c>
      <c r="H18" s="159">
        <v>903</v>
      </c>
      <c r="I18" s="75" t="s">
        <v>1040</v>
      </c>
      <c r="J18" s="75"/>
      <c r="K18" s="92" t="s">
        <v>1041</v>
      </c>
      <c r="L18" s="92" t="s">
        <v>1042</v>
      </c>
    </row>
    <row r="19" spans="1:13" ht="43.5" x14ac:dyDescent="0.35">
      <c r="A19" s="126">
        <v>1014</v>
      </c>
      <c r="B19" s="73">
        <v>2041</v>
      </c>
      <c r="C19" s="73" t="s">
        <v>1043</v>
      </c>
      <c r="D19" s="75" t="s">
        <v>124</v>
      </c>
      <c r="E19" s="75" t="s">
        <v>125</v>
      </c>
      <c r="F19" s="75" t="s">
        <v>125</v>
      </c>
      <c r="G19" s="120" t="s">
        <v>1002</v>
      </c>
      <c r="H19" s="159">
        <v>904</v>
      </c>
      <c r="I19" s="75" t="s">
        <v>1044</v>
      </c>
      <c r="J19" s="75"/>
      <c r="K19" s="92" t="s">
        <v>1045</v>
      </c>
      <c r="L19" s="92" t="s">
        <v>1046</v>
      </c>
    </row>
    <row r="20" spans="1:13" ht="29" x14ac:dyDescent="0.35">
      <c r="A20" s="122">
        <v>1423</v>
      </c>
      <c r="B20" s="122">
        <v>2038</v>
      </c>
      <c r="C20" s="122" t="s">
        <v>1035</v>
      </c>
      <c r="D20" s="123" t="s">
        <v>115</v>
      </c>
      <c r="E20" s="123" t="s">
        <v>116</v>
      </c>
      <c r="F20" s="123" t="s">
        <v>116</v>
      </c>
      <c r="G20" s="124" t="s">
        <v>1002</v>
      </c>
      <c r="H20" s="124" t="s">
        <v>1047</v>
      </c>
      <c r="I20" s="125" t="s">
        <v>1048</v>
      </c>
      <c r="J20" s="125"/>
      <c r="K20" s="125" t="s">
        <v>1049</v>
      </c>
      <c r="L20" s="125" t="s">
        <v>1050</v>
      </c>
      <c r="M20" s="121" t="s">
        <v>1051</v>
      </c>
    </row>
    <row r="21" spans="1:13" ht="43.5" x14ac:dyDescent="0.35">
      <c r="A21" s="68">
        <v>16</v>
      </c>
      <c r="B21" s="22">
        <v>2044</v>
      </c>
      <c r="C21" s="22">
        <v>10</v>
      </c>
      <c r="D21" s="6" t="s">
        <v>132</v>
      </c>
      <c r="E21" s="6" t="s">
        <v>133</v>
      </c>
      <c r="F21" s="6" t="s">
        <v>133</v>
      </c>
      <c r="G21" s="3" t="s">
        <v>1002</v>
      </c>
      <c r="H21" s="3">
        <v>1001</v>
      </c>
      <c r="I21" s="6" t="s">
        <v>1016</v>
      </c>
      <c r="J21" s="6" t="s">
        <v>134</v>
      </c>
      <c r="L21" s="76" t="s">
        <v>1052</v>
      </c>
    </row>
    <row r="22" spans="1:13" x14ac:dyDescent="0.35">
      <c r="A22" s="68">
        <v>608</v>
      </c>
      <c r="B22" s="22">
        <v>2045</v>
      </c>
      <c r="C22" s="22">
        <v>11</v>
      </c>
      <c r="D22" s="6" t="s">
        <v>136</v>
      </c>
      <c r="E22" s="6" t="s">
        <v>137</v>
      </c>
      <c r="F22" s="6" t="s">
        <v>137</v>
      </c>
      <c r="G22" s="3" t="s">
        <v>1002</v>
      </c>
      <c r="H22" s="3">
        <v>1101</v>
      </c>
      <c r="I22" s="6" t="s">
        <v>1016</v>
      </c>
      <c r="L22" s="76" t="s">
        <v>1053</v>
      </c>
    </row>
    <row r="23" spans="1:13" ht="43.5" x14ac:dyDescent="0.35">
      <c r="A23" s="68">
        <v>609</v>
      </c>
      <c r="B23" s="22">
        <v>2046</v>
      </c>
      <c r="C23" s="22">
        <v>12</v>
      </c>
      <c r="D23" s="6" t="s">
        <v>140</v>
      </c>
      <c r="E23" s="6" t="s">
        <v>141</v>
      </c>
      <c r="F23" s="6" t="s">
        <v>141</v>
      </c>
      <c r="G23" s="3" t="s">
        <v>1002</v>
      </c>
      <c r="H23" s="3">
        <v>1201</v>
      </c>
      <c r="I23" s="6" t="s">
        <v>1016</v>
      </c>
      <c r="J23" s="6" t="s">
        <v>86</v>
      </c>
      <c r="L23" s="76" t="s">
        <v>1054</v>
      </c>
    </row>
    <row r="24" spans="1:13" ht="29" x14ac:dyDescent="0.35">
      <c r="A24" s="68">
        <v>610</v>
      </c>
      <c r="B24" s="22">
        <v>2047</v>
      </c>
      <c r="C24" s="22">
        <v>13</v>
      </c>
      <c r="D24" s="6" t="s">
        <v>143</v>
      </c>
      <c r="E24" s="6" t="s">
        <v>144</v>
      </c>
      <c r="F24" s="6" t="s">
        <v>144</v>
      </c>
      <c r="G24" s="3" t="s">
        <v>1002</v>
      </c>
      <c r="H24" s="3">
        <v>1301</v>
      </c>
      <c r="I24" s="6" t="s">
        <v>1016</v>
      </c>
      <c r="J24" s="6" t="s">
        <v>146</v>
      </c>
      <c r="K24" s="76" t="s">
        <v>1055</v>
      </c>
      <c r="L24" s="76" t="s">
        <v>1056</v>
      </c>
    </row>
    <row r="25" spans="1:13" ht="29" x14ac:dyDescent="0.35">
      <c r="A25" s="68">
        <v>611</v>
      </c>
      <c r="B25" s="22">
        <v>2048</v>
      </c>
      <c r="C25" s="22">
        <v>14</v>
      </c>
      <c r="D25" s="6" t="s">
        <v>148</v>
      </c>
      <c r="E25" s="6" t="s">
        <v>149</v>
      </c>
      <c r="F25" s="6" t="s">
        <v>149</v>
      </c>
      <c r="G25" s="3" t="s">
        <v>1002</v>
      </c>
      <c r="H25" s="3">
        <v>1401</v>
      </c>
      <c r="I25" s="6" t="s">
        <v>1016</v>
      </c>
      <c r="L25" s="76" t="s">
        <v>1057</v>
      </c>
    </row>
    <row r="26" spans="1:13" x14ac:dyDescent="0.35">
      <c r="A26" s="68">
        <v>612</v>
      </c>
      <c r="B26" s="22">
        <v>2049</v>
      </c>
      <c r="C26" s="22">
        <v>15</v>
      </c>
      <c r="D26" s="6" t="s">
        <v>152</v>
      </c>
      <c r="E26" s="6" t="s">
        <v>153</v>
      </c>
      <c r="F26" s="6" t="s">
        <v>153</v>
      </c>
      <c r="G26" s="3" t="s">
        <v>1002</v>
      </c>
      <c r="H26" s="3">
        <v>1501</v>
      </c>
      <c r="I26" s="6" t="s">
        <v>1016</v>
      </c>
      <c r="L26" s="76" t="s">
        <v>1058</v>
      </c>
    </row>
    <row r="27" spans="1:13" ht="29" x14ac:dyDescent="0.35">
      <c r="A27" s="68">
        <v>613</v>
      </c>
      <c r="B27" s="22">
        <v>2050</v>
      </c>
      <c r="C27" s="22">
        <v>16</v>
      </c>
      <c r="D27" s="6" t="s">
        <v>156</v>
      </c>
      <c r="E27" s="6" t="s">
        <v>157</v>
      </c>
      <c r="F27" s="6" t="s">
        <v>157</v>
      </c>
      <c r="G27" s="3" t="s">
        <v>1002</v>
      </c>
      <c r="H27" s="3">
        <v>1601</v>
      </c>
      <c r="I27" s="6" t="s">
        <v>1016</v>
      </c>
      <c r="J27" s="6" t="s">
        <v>146</v>
      </c>
      <c r="K27" s="76" t="s">
        <v>1059</v>
      </c>
      <c r="L27" s="76" t="s">
        <v>1060</v>
      </c>
    </row>
    <row r="28" spans="1:13" ht="29" x14ac:dyDescent="0.35">
      <c r="A28" s="68">
        <v>614</v>
      </c>
      <c r="B28" s="22">
        <v>2051</v>
      </c>
      <c r="C28" s="22">
        <v>17</v>
      </c>
      <c r="D28" s="6" t="s">
        <v>159</v>
      </c>
      <c r="E28" s="6" t="s">
        <v>160</v>
      </c>
      <c r="F28" s="6" t="s">
        <v>160</v>
      </c>
      <c r="G28" s="3" t="s">
        <v>1002</v>
      </c>
      <c r="H28" s="3">
        <v>1701</v>
      </c>
      <c r="I28" s="6" t="s">
        <v>1016</v>
      </c>
      <c r="L28" s="76" t="s">
        <v>1061</v>
      </c>
    </row>
    <row r="29" spans="1:13" x14ac:dyDescent="0.35">
      <c r="A29" s="68">
        <v>615</v>
      </c>
      <c r="B29" s="22">
        <v>2052</v>
      </c>
      <c r="C29" s="22">
        <v>18</v>
      </c>
      <c r="D29" s="6" t="s">
        <v>162</v>
      </c>
      <c r="E29" s="6" t="s">
        <v>163</v>
      </c>
      <c r="F29" s="6" t="s">
        <v>163</v>
      </c>
      <c r="G29" s="3" t="s">
        <v>1002</v>
      </c>
      <c r="H29" s="3">
        <v>1801</v>
      </c>
      <c r="I29" s="6" t="s">
        <v>1016</v>
      </c>
      <c r="L29" s="76" t="s">
        <v>1062</v>
      </c>
    </row>
    <row r="30" spans="1:13" x14ac:dyDescent="0.35">
      <c r="A30" s="68">
        <v>616</v>
      </c>
      <c r="B30" s="22">
        <v>2053</v>
      </c>
      <c r="C30" s="22">
        <v>19</v>
      </c>
      <c r="D30" s="6" t="s">
        <v>165</v>
      </c>
      <c r="E30" s="6" t="s">
        <v>166</v>
      </c>
      <c r="F30" s="6" t="s">
        <v>166</v>
      </c>
      <c r="G30" s="3" t="s">
        <v>1002</v>
      </c>
      <c r="H30" s="3">
        <v>1901</v>
      </c>
      <c r="I30" s="6" t="s">
        <v>1016</v>
      </c>
      <c r="L30" s="76" t="s">
        <v>1062</v>
      </c>
    </row>
    <row r="31" spans="1:13" x14ac:dyDescent="0.35">
      <c r="A31" s="68">
        <v>617</v>
      </c>
      <c r="B31" s="22">
        <v>2054</v>
      </c>
      <c r="C31" s="22">
        <v>20</v>
      </c>
      <c r="D31" s="6" t="s">
        <v>168</v>
      </c>
      <c r="E31" s="6" t="s">
        <v>169</v>
      </c>
      <c r="F31" s="6" t="s">
        <v>169</v>
      </c>
      <c r="G31" s="3" t="s">
        <v>1002</v>
      </c>
      <c r="H31" s="3">
        <v>2001</v>
      </c>
      <c r="I31" s="6" t="s">
        <v>1016</v>
      </c>
      <c r="L31" s="76" t="s">
        <v>1062</v>
      </c>
    </row>
    <row r="32" spans="1:13" x14ac:dyDescent="0.35">
      <c r="A32" s="68">
        <v>618</v>
      </c>
      <c r="B32" s="22">
        <v>2055</v>
      </c>
      <c r="C32" s="22">
        <v>21</v>
      </c>
      <c r="D32" s="6" t="s">
        <v>171</v>
      </c>
      <c r="E32" s="6" t="s">
        <v>172</v>
      </c>
      <c r="F32" s="6" t="s">
        <v>172</v>
      </c>
      <c r="G32" s="3" t="s">
        <v>1002</v>
      </c>
      <c r="H32" s="3">
        <v>2101</v>
      </c>
      <c r="I32" s="6" t="s">
        <v>1016</v>
      </c>
      <c r="L32" s="76" t="s">
        <v>1062</v>
      </c>
    </row>
    <row r="33" spans="1:12" x14ac:dyDescent="0.35">
      <c r="A33" s="68">
        <v>619</v>
      </c>
      <c r="B33" s="22">
        <v>2056</v>
      </c>
      <c r="C33" s="22">
        <v>22</v>
      </c>
      <c r="D33" s="6" t="s">
        <v>174</v>
      </c>
      <c r="E33" s="6" t="s">
        <v>175</v>
      </c>
      <c r="F33" s="6" t="s">
        <v>175</v>
      </c>
      <c r="G33" s="3" t="s">
        <v>1002</v>
      </c>
      <c r="H33" s="3">
        <v>2201</v>
      </c>
      <c r="I33" s="6" t="s">
        <v>1016</v>
      </c>
      <c r="L33" s="76" t="s">
        <v>1062</v>
      </c>
    </row>
    <row r="34" spans="1:12" x14ac:dyDescent="0.35">
      <c r="A34" s="68">
        <v>620</v>
      </c>
      <c r="B34" s="22">
        <v>2057</v>
      </c>
      <c r="C34" s="22">
        <v>23</v>
      </c>
      <c r="D34" s="6" t="s">
        <v>177</v>
      </c>
      <c r="E34" s="6" t="s">
        <v>178</v>
      </c>
      <c r="F34" s="6" t="s">
        <v>178</v>
      </c>
      <c r="G34" s="3" t="s">
        <v>1002</v>
      </c>
      <c r="H34" s="3">
        <v>2301</v>
      </c>
      <c r="I34" s="6" t="s">
        <v>1016</v>
      </c>
      <c r="L34" s="76" t="s">
        <v>1062</v>
      </c>
    </row>
    <row r="35" spans="1:12" x14ac:dyDescent="0.35">
      <c r="A35" s="68">
        <v>621</v>
      </c>
      <c r="B35" s="22">
        <v>2058</v>
      </c>
      <c r="C35" s="22">
        <v>24</v>
      </c>
      <c r="D35" s="6" t="s">
        <v>180</v>
      </c>
      <c r="E35" s="6" t="s">
        <v>181</v>
      </c>
      <c r="F35" s="6" t="s">
        <v>181</v>
      </c>
      <c r="G35" s="3" t="s">
        <v>1002</v>
      </c>
      <c r="H35" s="3">
        <v>2401</v>
      </c>
      <c r="I35" s="6" t="s">
        <v>1016</v>
      </c>
      <c r="L35" s="76" t="s">
        <v>1062</v>
      </c>
    </row>
    <row r="36" spans="1:12" x14ac:dyDescent="0.35">
      <c r="A36" s="68">
        <v>622</v>
      </c>
      <c r="B36" s="22">
        <v>2059</v>
      </c>
      <c r="C36" s="22">
        <v>25</v>
      </c>
      <c r="D36" s="6" t="s">
        <v>183</v>
      </c>
      <c r="E36" s="6" t="s">
        <v>184</v>
      </c>
      <c r="F36" s="6" t="s">
        <v>184</v>
      </c>
      <c r="G36" s="3" t="s">
        <v>1002</v>
      </c>
      <c r="H36" s="3">
        <v>2501</v>
      </c>
      <c r="I36" s="6" t="s">
        <v>1016</v>
      </c>
      <c r="L36" s="76" t="s">
        <v>1062</v>
      </c>
    </row>
    <row r="37" spans="1:12" x14ac:dyDescent="0.35">
      <c r="A37" s="68">
        <v>623</v>
      </c>
      <c r="B37" s="22">
        <v>2060</v>
      </c>
      <c r="C37" s="22">
        <v>26</v>
      </c>
      <c r="D37" s="6" t="s">
        <v>186</v>
      </c>
      <c r="E37" s="6" t="s">
        <v>187</v>
      </c>
      <c r="F37" s="6" t="s">
        <v>187</v>
      </c>
      <c r="G37" s="3" t="s">
        <v>1002</v>
      </c>
      <c r="H37" s="3">
        <v>2601</v>
      </c>
      <c r="I37" s="6" t="s">
        <v>1016</v>
      </c>
      <c r="L37" s="76" t="s">
        <v>1062</v>
      </c>
    </row>
    <row r="38" spans="1:12" x14ac:dyDescent="0.35">
      <c r="A38" s="68">
        <v>624</v>
      </c>
      <c r="B38" s="22">
        <v>2061</v>
      </c>
      <c r="C38" s="22">
        <v>27</v>
      </c>
      <c r="D38" s="6" t="s">
        <v>189</v>
      </c>
      <c r="E38" s="6" t="s">
        <v>190</v>
      </c>
      <c r="F38" s="6" t="s">
        <v>190</v>
      </c>
      <c r="G38" s="3" t="s">
        <v>1002</v>
      </c>
      <c r="H38" s="3">
        <v>2701</v>
      </c>
      <c r="I38" s="6" t="s">
        <v>1016</v>
      </c>
      <c r="L38" s="76" t="s">
        <v>1062</v>
      </c>
    </row>
    <row r="39" spans="1:12" x14ac:dyDescent="0.35">
      <c r="A39" s="68">
        <v>625</v>
      </c>
      <c r="B39" s="22">
        <v>2062</v>
      </c>
      <c r="C39" s="22">
        <v>28</v>
      </c>
      <c r="D39" s="6" t="s">
        <v>192</v>
      </c>
      <c r="E39" s="6" t="s">
        <v>193</v>
      </c>
      <c r="F39" s="6" t="s">
        <v>193</v>
      </c>
      <c r="G39" s="3" t="s">
        <v>1002</v>
      </c>
      <c r="H39" s="3">
        <v>2801</v>
      </c>
      <c r="I39" s="6" t="s">
        <v>1016</v>
      </c>
      <c r="L39" s="76" t="s">
        <v>1062</v>
      </c>
    </row>
    <row r="40" spans="1:12" x14ac:dyDescent="0.35">
      <c r="A40" s="68">
        <v>626</v>
      </c>
      <c r="B40" s="22">
        <v>2065</v>
      </c>
      <c r="C40" s="22" t="s">
        <v>1063</v>
      </c>
      <c r="D40" s="6" t="s">
        <v>201</v>
      </c>
      <c r="E40" s="6" t="s">
        <v>202</v>
      </c>
      <c r="F40" s="6" t="s">
        <v>202</v>
      </c>
      <c r="G40" s="3" t="s">
        <v>1002</v>
      </c>
      <c r="H40" s="3">
        <v>3101</v>
      </c>
      <c r="I40" s="6" t="s">
        <v>1016</v>
      </c>
      <c r="L40" s="76" t="s">
        <v>1064</v>
      </c>
    </row>
    <row r="41" spans="1:12" ht="43.5" x14ac:dyDescent="0.35">
      <c r="A41" s="68">
        <v>627</v>
      </c>
      <c r="B41" s="22">
        <v>2066</v>
      </c>
      <c r="C41" s="22" t="s">
        <v>1063</v>
      </c>
      <c r="D41" s="6" t="s">
        <v>203</v>
      </c>
      <c r="E41" s="6" t="s">
        <v>204</v>
      </c>
      <c r="F41" s="6" t="s">
        <v>204</v>
      </c>
      <c r="G41" s="3" t="s">
        <v>1002</v>
      </c>
      <c r="H41" s="3">
        <v>3105</v>
      </c>
      <c r="I41" s="6" t="s">
        <v>1016</v>
      </c>
      <c r="J41" s="6" t="s">
        <v>205</v>
      </c>
      <c r="L41" s="76" t="s">
        <v>1065</v>
      </c>
    </row>
    <row r="42" spans="1:12" x14ac:dyDescent="0.35">
      <c r="A42" s="68">
        <v>628</v>
      </c>
      <c r="B42" s="22">
        <v>2067</v>
      </c>
      <c r="C42" s="22" t="s">
        <v>1066</v>
      </c>
      <c r="D42" s="6" t="s">
        <v>207</v>
      </c>
      <c r="E42" s="6" t="s">
        <v>208</v>
      </c>
      <c r="F42" s="6" t="s">
        <v>208</v>
      </c>
      <c r="G42" s="3" t="s">
        <v>1002</v>
      </c>
      <c r="H42" s="3">
        <v>3111</v>
      </c>
      <c r="I42" s="6" t="s">
        <v>1016</v>
      </c>
      <c r="L42" s="76" t="s">
        <v>1064</v>
      </c>
    </row>
    <row r="43" spans="1:12" ht="43.5" x14ac:dyDescent="0.35">
      <c r="A43" s="68">
        <v>629</v>
      </c>
      <c r="B43" s="22">
        <v>2068</v>
      </c>
      <c r="C43" s="22" t="s">
        <v>1066</v>
      </c>
      <c r="D43" s="6" t="s">
        <v>209</v>
      </c>
      <c r="E43" s="6" t="s">
        <v>210</v>
      </c>
      <c r="F43" s="6" t="s">
        <v>210</v>
      </c>
      <c r="G43" s="3" t="s">
        <v>1002</v>
      </c>
      <c r="H43" s="3">
        <v>3115</v>
      </c>
      <c r="I43" s="6" t="s">
        <v>1016</v>
      </c>
      <c r="J43" s="6" t="s">
        <v>205</v>
      </c>
      <c r="L43" s="76" t="s">
        <v>1065</v>
      </c>
    </row>
    <row r="44" spans="1:12" x14ac:dyDescent="0.35">
      <c r="A44" s="68">
        <v>630</v>
      </c>
      <c r="B44" s="22">
        <v>2069</v>
      </c>
      <c r="C44" s="22" t="s">
        <v>1067</v>
      </c>
      <c r="D44" s="6" t="s">
        <v>212</v>
      </c>
      <c r="E44" s="6" t="s">
        <v>213</v>
      </c>
      <c r="F44" s="6" t="s">
        <v>213</v>
      </c>
      <c r="G44" s="3" t="s">
        <v>1002</v>
      </c>
      <c r="H44" s="3">
        <v>3201</v>
      </c>
      <c r="I44" s="6" t="s">
        <v>1016</v>
      </c>
      <c r="L44" s="76" t="s">
        <v>1064</v>
      </c>
    </row>
    <row r="45" spans="1:12" ht="43.5" x14ac:dyDescent="0.35">
      <c r="A45" s="68">
        <v>631</v>
      </c>
      <c r="B45" s="22">
        <v>2070</v>
      </c>
      <c r="C45" s="22" t="s">
        <v>1067</v>
      </c>
      <c r="D45" s="6" t="s">
        <v>214</v>
      </c>
      <c r="E45" s="6" t="s">
        <v>215</v>
      </c>
      <c r="F45" s="6" t="s">
        <v>215</v>
      </c>
      <c r="G45" s="3" t="s">
        <v>1002</v>
      </c>
      <c r="H45" s="3">
        <v>3205</v>
      </c>
      <c r="I45" s="6" t="s">
        <v>1016</v>
      </c>
      <c r="J45" s="6" t="s">
        <v>205</v>
      </c>
      <c r="L45" s="76" t="s">
        <v>1065</v>
      </c>
    </row>
    <row r="46" spans="1:12" x14ac:dyDescent="0.35">
      <c r="A46" s="68">
        <v>632</v>
      </c>
      <c r="B46" s="22">
        <v>2071</v>
      </c>
      <c r="C46" s="22" t="s">
        <v>1068</v>
      </c>
      <c r="D46" s="6" t="s">
        <v>217</v>
      </c>
      <c r="E46" s="6" t="s">
        <v>218</v>
      </c>
      <c r="F46" s="6" t="s">
        <v>218</v>
      </c>
      <c r="G46" s="3" t="s">
        <v>1002</v>
      </c>
      <c r="H46" s="3">
        <v>3211</v>
      </c>
      <c r="I46" s="6" t="s">
        <v>1016</v>
      </c>
      <c r="L46" s="76" t="s">
        <v>1064</v>
      </c>
    </row>
    <row r="47" spans="1:12" ht="43.5" x14ac:dyDescent="0.35">
      <c r="A47" s="68">
        <v>633</v>
      </c>
      <c r="B47" s="22">
        <v>2072</v>
      </c>
      <c r="C47" s="22" t="s">
        <v>1068</v>
      </c>
      <c r="D47" s="6" t="s">
        <v>219</v>
      </c>
      <c r="E47" s="6" t="s">
        <v>220</v>
      </c>
      <c r="F47" s="6" t="s">
        <v>220</v>
      </c>
      <c r="G47" s="3" t="s">
        <v>1002</v>
      </c>
      <c r="H47" s="3">
        <v>3215</v>
      </c>
      <c r="I47" s="6" t="s">
        <v>1016</v>
      </c>
      <c r="J47" s="6" t="s">
        <v>205</v>
      </c>
      <c r="L47" s="76" t="s">
        <v>1065</v>
      </c>
    </row>
    <row r="48" spans="1:12" x14ac:dyDescent="0.35">
      <c r="A48" s="68">
        <v>634</v>
      </c>
      <c r="B48" s="22">
        <v>2073</v>
      </c>
      <c r="C48" s="22" t="s">
        <v>1069</v>
      </c>
      <c r="D48" s="6" t="s">
        <v>222</v>
      </c>
      <c r="E48" s="6" t="s">
        <v>223</v>
      </c>
      <c r="F48" s="6" t="s">
        <v>223</v>
      </c>
      <c r="G48" s="3" t="s">
        <v>1002</v>
      </c>
      <c r="H48" s="3">
        <v>3301</v>
      </c>
      <c r="I48" s="6" t="s">
        <v>1016</v>
      </c>
      <c r="L48" s="76" t="s">
        <v>1064</v>
      </c>
    </row>
    <row r="49" spans="1:12" ht="43.5" x14ac:dyDescent="0.35">
      <c r="A49" s="68">
        <v>635</v>
      </c>
      <c r="B49" s="22">
        <v>2074</v>
      </c>
      <c r="C49" s="22" t="s">
        <v>1069</v>
      </c>
      <c r="D49" s="6" t="s">
        <v>224</v>
      </c>
      <c r="E49" s="6" t="s">
        <v>225</v>
      </c>
      <c r="F49" s="6" t="s">
        <v>225</v>
      </c>
      <c r="G49" s="3" t="s">
        <v>1002</v>
      </c>
      <c r="H49" s="3">
        <v>3305</v>
      </c>
      <c r="I49" s="6" t="s">
        <v>1016</v>
      </c>
      <c r="J49" s="6" t="s">
        <v>205</v>
      </c>
      <c r="L49" s="76" t="s">
        <v>1065</v>
      </c>
    </row>
    <row r="50" spans="1:12" x14ac:dyDescent="0.35">
      <c r="A50" s="68">
        <v>636</v>
      </c>
      <c r="B50" s="22">
        <v>2075</v>
      </c>
      <c r="C50" s="22" t="s">
        <v>1070</v>
      </c>
      <c r="D50" s="6" t="s">
        <v>227</v>
      </c>
      <c r="E50" s="6" t="s">
        <v>228</v>
      </c>
      <c r="F50" s="6" t="s">
        <v>228</v>
      </c>
      <c r="G50" s="3" t="s">
        <v>1002</v>
      </c>
      <c r="H50" s="3">
        <v>3311</v>
      </c>
      <c r="I50" s="6" t="s">
        <v>1016</v>
      </c>
      <c r="L50" s="76" t="s">
        <v>1064</v>
      </c>
    </row>
    <row r="51" spans="1:12" ht="43.5" x14ac:dyDescent="0.35">
      <c r="A51" s="68">
        <v>637</v>
      </c>
      <c r="B51" s="22">
        <v>2076</v>
      </c>
      <c r="C51" s="22" t="s">
        <v>1070</v>
      </c>
      <c r="D51" s="6" t="s">
        <v>229</v>
      </c>
      <c r="E51" s="6" t="s">
        <v>230</v>
      </c>
      <c r="F51" s="6" t="s">
        <v>230</v>
      </c>
      <c r="G51" s="3" t="s">
        <v>1002</v>
      </c>
      <c r="H51" s="3">
        <v>3315</v>
      </c>
      <c r="I51" s="6" t="s">
        <v>1016</v>
      </c>
      <c r="J51" s="6" t="s">
        <v>205</v>
      </c>
      <c r="L51" s="76" t="s">
        <v>1065</v>
      </c>
    </row>
    <row r="52" spans="1:12" x14ac:dyDescent="0.35">
      <c r="A52" s="68">
        <v>638</v>
      </c>
      <c r="B52" s="22">
        <v>2077</v>
      </c>
      <c r="C52" s="22" t="s">
        <v>1071</v>
      </c>
      <c r="D52" s="6" t="s">
        <v>232</v>
      </c>
      <c r="E52" s="6" t="s">
        <v>233</v>
      </c>
      <c r="F52" s="6" t="s">
        <v>233</v>
      </c>
      <c r="G52" s="3" t="s">
        <v>1002</v>
      </c>
      <c r="H52" s="3">
        <v>3401</v>
      </c>
      <c r="I52" s="6" t="s">
        <v>1016</v>
      </c>
      <c r="L52" s="76" t="s">
        <v>1064</v>
      </c>
    </row>
    <row r="53" spans="1:12" ht="43.5" x14ac:dyDescent="0.35">
      <c r="A53" s="68">
        <v>639</v>
      </c>
      <c r="B53" s="22">
        <v>2078</v>
      </c>
      <c r="C53" s="22" t="s">
        <v>1071</v>
      </c>
      <c r="D53" s="6" t="s">
        <v>234</v>
      </c>
      <c r="E53" s="6" t="s">
        <v>235</v>
      </c>
      <c r="F53" s="6" t="s">
        <v>235</v>
      </c>
      <c r="G53" s="3" t="s">
        <v>1002</v>
      </c>
      <c r="H53" s="3">
        <v>3405</v>
      </c>
      <c r="I53" s="6" t="s">
        <v>1016</v>
      </c>
      <c r="J53" s="6" t="s">
        <v>205</v>
      </c>
      <c r="L53" s="76" t="s">
        <v>1065</v>
      </c>
    </row>
    <row r="54" spans="1:12" x14ac:dyDescent="0.35">
      <c r="A54" s="68">
        <v>640</v>
      </c>
      <c r="B54" s="22">
        <v>2079</v>
      </c>
      <c r="C54" s="22" t="s">
        <v>1072</v>
      </c>
      <c r="D54" s="6" t="s">
        <v>237</v>
      </c>
      <c r="E54" s="6" t="s">
        <v>238</v>
      </c>
      <c r="F54" s="6" t="s">
        <v>238</v>
      </c>
      <c r="G54" s="3" t="s">
        <v>1002</v>
      </c>
      <c r="H54" s="3">
        <v>3411</v>
      </c>
      <c r="I54" s="6" t="s">
        <v>1016</v>
      </c>
      <c r="L54" s="76" t="s">
        <v>1064</v>
      </c>
    </row>
    <row r="55" spans="1:12" ht="43.5" x14ac:dyDescent="0.35">
      <c r="A55" s="68">
        <v>641</v>
      </c>
      <c r="B55" s="22">
        <v>2080</v>
      </c>
      <c r="C55" s="22" t="s">
        <v>1072</v>
      </c>
      <c r="D55" s="6" t="s">
        <v>239</v>
      </c>
      <c r="E55" s="6" t="s">
        <v>240</v>
      </c>
      <c r="F55" s="6" t="s">
        <v>240</v>
      </c>
      <c r="G55" s="3" t="s">
        <v>1002</v>
      </c>
      <c r="H55" s="3">
        <v>3415</v>
      </c>
      <c r="I55" s="6" t="s">
        <v>1016</v>
      </c>
      <c r="J55" s="6" t="s">
        <v>205</v>
      </c>
      <c r="L55" s="76" t="s">
        <v>1065</v>
      </c>
    </row>
    <row r="56" spans="1:12" x14ac:dyDescent="0.35">
      <c r="A56" s="68">
        <v>642</v>
      </c>
      <c r="B56" s="22">
        <v>2081</v>
      </c>
      <c r="C56" s="22" t="s">
        <v>1073</v>
      </c>
      <c r="D56" s="6" t="s">
        <v>242</v>
      </c>
      <c r="E56" s="6" t="s">
        <v>243</v>
      </c>
      <c r="F56" s="6" t="s">
        <v>243</v>
      </c>
      <c r="G56" s="3" t="s">
        <v>1002</v>
      </c>
      <c r="H56" s="3">
        <v>3501</v>
      </c>
      <c r="I56" s="6" t="s">
        <v>1016</v>
      </c>
      <c r="L56" s="76" t="s">
        <v>1064</v>
      </c>
    </row>
    <row r="57" spans="1:12" ht="43.5" x14ac:dyDescent="0.35">
      <c r="A57" s="68">
        <v>643</v>
      </c>
      <c r="B57" s="22">
        <v>2082</v>
      </c>
      <c r="C57" s="22" t="s">
        <v>1073</v>
      </c>
      <c r="D57" s="6" t="s">
        <v>244</v>
      </c>
      <c r="E57" s="6" t="s">
        <v>245</v>
      </c>
      <c r="F57" s="6" t="s">
        <v>245</v>
      </c>
      <c r="G57" s="3" t="s">
        <v>1002</v>
      </c>
      <c r="H57" s="3">
        <v>3505</v>
      </c>
      <c r="I57" s="6" t="s">
        <v>1006</v>
      </c>
      <c r="J57" s="6" t="s">
        <v>205</v>
      </c>
      <c r="K57" s="76" t="s">
        <v>1074</v>
      </c>
      <c r="L57" s="76" t="s">
        <v>1075</v>
      </c>
    </row>
    <row r="58" spans="1:12" ht="43.5" x14ac:dyDescent="0.35">
      <c r="A58" s="68">
        <v>644</v>
      </c>
      <c r="B58" s="22">
        <v>2083</v>
      </c>
      <c r="C58" s="22" t="s">
        <v>1073</v>
      </c>
      <c r="D58" s="6" t="s">
        <v>246</v>
      </c>
      <c r="E58" s="6" t="s">
        <v>247</v>
      </c>
      <c r="F58" s="6" t="s">
        <v>247</v>
      </c>
      <c r="G58" s="3" t="s">
        <v>1002</v>
      </c>
      <c r="H58" s="3">
        <v>3506</v>
      </c>
      <c r="I58" s="6" t="s">
        <v>1006</v>
      </c>
      <c r="J58" s="6" t="s">
        <v>205</v>
      </c>
      <c r="K58" s="76" t="s">
        <v>1076</v>
      </c>
      <c r="L58" s="76" t="s">
        <v>1077</v>
      </c>
    </row>
    <row r="59" spans="1:12" x14ac:dyDescent="0.35">
      <c r="A59" s="68">
        <v>645</v>
      </c>
      <c r="B59" s="22">
        <v>2084</v>
      </c>
      <c r="C59" s="22" t="s">
        <v>1078</v>
      </c>
      <c r="D59" s="6" t="s">
        <v>249</v>
      </c>
      <c r="E59" s="6" t="s">
        <v>250</v>
      </c>
      <c r="F59" s="6" t="s">
        <v>250</v>
      </c>
      <c r="G59" s="3" t="s">
        <v>1002</v>
      </c>
      <c r="H59" s="3">
        <v>3511</v>
      </c>
      <c r="I59" s="6" t="s">
        <v>1016</v>
      </c>
      <c r="L59" s="76" t="s">
        <v>1064</v>
      </c>
    </row>
    <row r="60" spans="1:12" ht="43.5" x14ac:dyDescent="0.35">
      <c r="A60" s="68">
        <v>646</v>
      </c>
      <c r="B60" s="22">
        <v>2085</v>
      </c>
      <c r="C60" s="22" t="s">
        <v>1078</v>
      </c>
      <c r="D60" s="6" t="s">
        <v>251</v>
      </c>
      <c r="E60" s="6" t="s">
        <v>252</v>
      </c>
      <c r="F60" s="6" t="s">
        <v>252</v>
      </c>
      <c r="G60" s="3" t="s">
        <v>1002</v>
      </c>
      <c r="H60" s="3">
        <v>3515</v>
      </c>
      <c r="I60" s="6" t="s">
        <v>1006</v>
      </c>
      <c r="J60" s="6" t="s">
        <v>205</v>
      </c>
      <c r="K60" s="76" t="s">
        <v>1079</v>
      </c>
      <c r="L60" s="76" t="s">
        <v>1080</v>
      </c>
    </row>
    <row r="61" spans="1:12" ht="43.5" x14ac:dyDescent="0.35">
      <c r="A61" s="68">
        <v>647</v>
      </c>
      <c r="B61" s="22">
        <v>2086</v>
      </c>
      <c r="C61" s="22" t="s">
        <v>1078</v>
      </c>
      <c r="D61" s="6" t="s">
        <v>253</v>
      </c>
      <c r="E61" s="6" t="s">
        <v>254</v>
      </c>
      <c r="F61" s="6" t="s">
        <v>254</v>
      </c>
      <c r="G61" s="3" t="s">
        <v>1002</v>
      </c>
      <c r="H61" s="3">
        <v>3516</v>
      </c>
      <c r="I61" s="6" t="s">
        <v>1006</v>
      </c>
      <c r="J61" s="6" t="s">
        <v>205</v>
      </c>
      <c r="K61" s="76" t="s">
        <v>1081</v>
      </c>
      <c r="L61" s="76" t="s">
        <v>1082</v>
      </c>
    </row>
    <row r="62" spans="1:12" x14ac:dyDescent="0.35">
      <c r="A62" s="68">
        <v>648</v>
      </c>
      <c r="B62" s="22">
        <v>2087</v>
      </c>
      <c r="C62" s="22" t="s">
        <v>1083</v>
      </c>
      <c r="D62" s="6" t="s">
        <v>256</v>
      </c>
      <c r="E62" s="6" t="s">
        <v>257</v>
      </c>
      <c r="F62" s="6" t="s">
        <v>257</v>
      </c>
      <c r="G62" s="3" t="s">
        <v>1002</v>
      </c>
      <c r="H62" s="3">
        <v>3601</v>
      </c>
      <c r="I62" s="6" t="s">
        <v>1016</v>
      </c>
      <c r="L62" s="76" t="s">
        <v>1064</v>
      </c>
    </row>
    <row r="63" spans="1:12" ht="43.5" x14ac:dyDescent="0.35">
      <c r="A63" s="68">
        <v>649</v>
      </c>
      <c r="B63" s="22">
        <v>2088</v>
      </c>
      <c r="C63" s="22" t="s">
        <v>1083</v>
      </c>
      <c r="D63" s="6" t="s">
        <v>258</v>
      </c>
      <c r="E63" s="6" t="s">
        <v>259</v>
      </c>
      <c r="F63" s="6" t="s">
        <v>259</v>
      </c>
      <c r="G63" s="3" t="s">
        <v>1002</v>
      </c>
      <c r="H63" s="3">
        <v>3605</v>
      </c>
      <c r="I63" s="6" t="s">
        <v>1006</v>
      </c>
      <c r="J63" s="6" t="s">
        <v>205</v>
      </c>
      <c r="K63" s="76" t="s">
        <v>1084</v>
      </c>
      <c r="L63" s="76" t="s">
        <v>1085</v>
      </c>
    </row>
    <row r="64" spans="1:12" ht="43.5" x14ac:dyDescent="0.35">
      <c r="A64" s="68">
        <v>650</v>
      </c>
      <c r="B64" s="22">
        <v>2089</v>
      </c>
      <c r="C64" s="22" t="s">
        <v>1083</v>
      </c>
      <c r="D64" s="6" t="s">
        <v>260</v>
      </c>
      <c r="E64" s="6" t="s">
        <v>261</v>
      </c>
      <c r="F64" s="6" t="s">
        <v>261</v>
      </c>
      <c r="G64" s="3" t="s">
        <v>1002</v>
      </c>
      <c r="H64" s="3">
        <v>3606</v>
      </c>
      <c r="I64" s="6" t="s">
        <v>1006</v>
      </c>
      <c r="J64" s="6" t="s">
        <v>205</v>
      </c>
      <c r="K64" s="76" t="s">
        <v>1086</v>
      </c>
      <c r="L64" s="76" t="s">
        <v>1087</v>
      </c>
    </row>
    <row r="65" spans="1:12" x14ac:dyDescent="0.35">
      <c r="A65" s="68">
        <v>651</v>
      </c>
      <c r="B65" s="22">
        <v>2090</v>
      </c>
      <c r="C65" s="22" t="s">
        <v>1088</v>
      </c>
      <c r="D65" s="6" t="s">
        <v>263</v>
      </c>
      <c r="E65" s="6" t="s">
        <v>264</v>
      </c>
      <c r="F65" s="6" t="s">
        <v>264</v>
      </c>
      <c r="G65" s="3" t="s">
        <v>1002</v>
      </c>
      <c r="H65" s="3">
        <v>3611</v>
      </c>
      <c r="I65" s="6" t="s">
        <v>1016</v>
      </c>
      <c r="L65" s="76" t="s">
        <v>1064</v>
      </c>
    </row>
    <row r="66" spans="1:12" ht="43.5" x14ac:dyDescent="0.35">
      <c r="A66" s="68">
        <v>652</v>
      </c>
      <c r="B66" s="22">
        <v>2091</v>
      </c>
      <c r="C66" s="22" t="s">
        <v>1088</v>
      </c>
      <c r="D66" s="6" t="s">
        <v>265</v>
      </c>
      <c r="E66" s="6" t="s">
        <v>266</v>
      </c>
      <c r="F66" s="6" t="s">
        <v>266</v>
      </c>
      <c r="G66" s="3" t="s">
        <v>1002</v>
      </c>
      <c r="H66" s="3">
        <v>3615</v>
      </c>
      <c r="I66" s="6" t="s">
        <v>1006</v>
      </c>
      <c r="J66" s="6" t="s">
        <v>205</v>
      </c>
      <c r="K66" s="76" t="s">
        <v>1089</v>
      </c>
      <c r="L66" s="76" t="s">
        <v>1090</v>
      </c>
    </row>
    <row r="67" spans="1:12" ht="43.5" x14ac:dyDescent="0.35">
      <c r="A67" s="68">
        <v>653</v>
      </c>
      <c r="B67" s="22">
        <v>2092</v>
      </c>
      <c r="C67" s="22" t="s">
        <v>1088</v>
      </c>
      <c r="D67" s="6" t="s">
        <v>267</v>
      </c>
      <c r="E67" s="6" t="s">
        <v>268</v>
      </c>
      <c r="F67" s="6" t="s">
        <v>268</v>
      </c>
      <c r="G67" s="3" t="s">
        <v>1002</v>
      </c>
      <c r="H67" s="3">
        <v>3616</v>
      </c>
      <c r="I67" s="6" t="s">
        <v>1006</v>
      </c>
      <c r="J67" s="6" t="s">
        <v>205</v>
      </c>
      <c r="K67" s="76" t="s">
        <v>1091</v>
      </c>
      <c r="L67" s="76" t="s">
        <v>1092</v>
      </c>
    </row>
    <row r="68" spans="1:12" ht="275.5" x14ac:dyDescent="0.35">
      <c r="A68" s="68">
        <v>1016</v>
      </c>
      <c r="B68" s="22">
        <v>2095</v>
      </c>
      <c r="C68" s="22">
        <v>38</v>
      </c>
      <c r="D68" s="6" t="s">
        <v>275</v>
      </c>
      <c r="E68" s="6" t="s">
        <v>276</v>
      </c>
      <c r="F68" s="6" t="s">
        <v>277</v>
      </c>
      <c r="G68" s="3" t="s">
        <v>1002</v>
      </c>
      <c r="H68" s="3">
        <v>3801</v>
      </c>
      <c r="I68" s="6" t="s">
        <v>1003</v>
      </c>
      <c r="K68" s="76" t="s">
        <v>1093</v>
      </c>
      <c r="L68" s="76" t="s">
        <v>1094</v>
      </c>
    </row>
    <row r="69" spans="1:12" x14ac:dyDescent="0.35">
      <c r="A69" s="68">
        <v>662</v>
      </c>
      <c r="B69" s="22">
        <v>2105</v>
      </c>
      <c r="C69" s="22" t="s">
        <v>1095</v>
      </c>
      <c r="D69" s="6" t="s">
        <v>297</v>
      </c>
      <c r="E69" s="6" t="s">
        <v>298</v>
      </c>
      <c r="F69" s="6" t="s">
        <v>298</v>
      </c>
      <c r="G69" s="3" t="s">
        <v>1002</v>
      </c>
      <c r="H69" s="3">
        <v>3901</v>
      </c>
      <c r="I69" s="6" t="s">
        <v>1016</v>
      </c>
      <c r="L69" s="76" t="s">
        <v>1096</v>
      </c>
    </row>
    <row r="70" spans="1:12" x14ac:dyDescent="0.35">
      <c r="A70" s="129">
        <v>663</v>
      </c>
      <c r="B70" s="22">
        <v>2106</v>
      </c>
      <c r="C70" s="22" t="s">
        <v>1095</v>
      </c>
      <c r="D70" s="6" t="s">
        <v>299</v>
      </c>
      <c r="E70" s="6" t="s">
        <v>300</v>
      </c>
      <c r="F70" s="6" t="s">
        <v>300</v>
      </c>
      <c r="G70" s="3" t="s">
        <v>1002</v>
      </c>
      <c r="H70" s="3">
        <v>3905</v>
      </c>
      <c r="I70" s="6" t="s">
        <v>1097</v>
      </c>
      <c r="L70" s="76" t="s">
        <v>1098</v>
      </c>
    </row>
    <row r="71" spans="1:12" x14ac:dyDescent="0.35">
      <c r="A71" s="129">
        <v>664</v>
      </c>
      <c r="B71" s="22">
        <v>2107</v>
      </c>
      <c r="C71" s="22" t="s">
        <v>1099</v>
      </c>
      <c r="D71" s="6" t="s">
        <v>302</v>
      </c>
      <c r="E71" s="6" t="s">
        <v>303</v>
      </c>
      <c r="F71" s="6" t="s">
        <v>303</v>
      </c>
      <c r="G71" s="3" t="s">
        <v>1002</v>
      </c>
      <c r="H71" s="3">
        <v>3911</v>
      </c>
      <c r="I71" s="6" t="s">
        <v>1016</v>
      </c>
      <c r="L71" s="76" t="s">
        <v>1096</v>
      </c>
    </row>
    <row r="72" spans="1:12" x14ac:dyDescent="0.35">
      <c r="A72" s="129">
        <v>665</v>
      </c>
      <c r="B72" s="22">
        <v>2108</v>
      </c>
      <c r="C72" s="22" t="s">
        <v>1099</v>
      </c>
      <c r="D72" s="6" t="s">
        <v>304</v>
      </c>
      <c r="E72" s="6" t="s">
        <v>305</v>
      </c>
      <c r="F72" s="6" t="s">
        <v>305</v>
      </c>
      <c r="G72" s="3" t="s">
        <v>1002</v>
      </c>
      <c r="H72" s="3">
        <v>3915</v>
      </c>
      <c r="I72" s="6" t="s">
        <v>1097</v>
      </c>
      <c r="L72" s="76" t="s">
        <v>1098</v>
      </c>
    </row>
    <row r="73" spans="1:12" x14ac:dyDescent="0.35">
      <c r="A73" s="129">
        <v>666</v>
      </c>
      <c r="B73" s="22">
        <v>2109</v>
      </c>
      <c r="C73" s="22" t="s">
        <v>1100</v>
      </c>
      <c r="D73" s="6" t="s">
        <v>307</v>
      </c>
      <c r="E73" s="6" t="s">
        <v>308</v>
      </c>
      <c r="F73" s="6" t="s">
        <v>308</v>
      </c>
      <c r="G73" s="3" t="s">
        <v>1002</v>
      </c>
      <c r="H73" s="3">
        <v>3921</v>
      </c>
      <c r="I73" s="6" t="s">
        <v>1016</v>
      </c>
      <c r="L73" s="76" t="s">
        <v>1096</v>
      </c>
    </row>
    <row r="74" spans="1:12" x14ac:dyDescent="0.35">
      <c r="A74" s="129">
        <v>667</v>
      </c>
      <c r="B74" s="22">
        <v>2110</v>
      </c>
      <c r="C74" s="22" t="s">
        <v>1100</v>
      </c>
      <c r="D74" s="6" t="s">
        <v>309</v>
      </c>
      <c r="E74" s="6" t="s">
        <v>310</v>
      </c>
      <c r="F74" s="6" t="s">
        <v>310</v>
      </c>
      <c r="G74" s="3" t="s">
        <v>1002</v>
      </c>
      <c r="H74" s="3">
        <v>3925</v>
      </c>
      <c r="I74" s="6" t="s">
        <v>1097</v>
      </c>
      <c r="L74" s="76" t="s">
        <v>1098</v>
      </c>
    </row>
    <row r="75" spans="1:12" x14ac:dyDescent="0.35">
      <c r="A75" s="129">
        <v>668</v>
      </c>
      <c r="B75" s="22">
        <v>2111</v>
      </c>
      <c r="C75" s="22" t="s">
        <v>1101</v>
      </c>
      <c r="D75" s="6" t="s">
        <v>312</v>
      </c>
      <c r="E75" s="6" t="s">
        <v>313</v>
      </c>
      <c r="F75" s="6" t="s">
        <v>313</v>
      </c>
      <c r="G75" s="3" t="s">
        <v>1002</v>
      </c>
      <c r="H75" s="3">
        <v>3931</v>
      </c>
      <c r="I75" s="6" t="s">
        <v>1016</v>
      </c>
      <c r="L75" s="76" t="s">
        <v>1096</v>
      </c>
    </row>
    <row r="76" spans="1:12" x14ac:dyDescent="0.35">
      <c r="A76" s="129">
        <v>669</v>
      </c>
      <c r="B76" s="22">
        <v>2112</v>
      </c>
      <c r="C76" s="22" t="s">
        <v>1101</v>
      </c>
      <c r="D76" s="6" t="s">
        <v>314</v>
      </c>
      <c r="E76" s="6" t="s">
        <v>315</v>
      </c>
      <c r="F76" s="6" t="s">
        <v>315</v>
      </c>
      <c r="G76" s="3" t="s">
        <v>1002</v>
      </c>
      <c r="H76" s="3">
        <v>3935</v>
      </c>
      <c r="I76" s="6" t="s">
        <v>1097</v>
      </c>
      <c r="L76" s="76" t="s">
        <v>1098</v>
      </c>
    </row>
    <row r="77" spans="1:12" x14ac:dyDescent="0.35">
      <c r="A77" s="129">
        <v>670</v>
      </c>
      <c r="B77" s="22">
        <v>2113</v>
      </c>
      <c r="C77" s="22" t="s">
        <v>1102</v>
      </c>
      <c r="D77" s="6" t="s">
        <v>317</v>
      </c>
      <c r="E77" s="6" t="s">
        <v>318</v>
      </c>
      <c r="F77" s="6" t="s">
        <v>318</v>
      </c>
      <c r="G77" s="3" t="s">
        <v>1002</v>
      </c>
      <c r="H77" s="3">
        <v>4001</v>
      </c>
      <c r="I77" s="6" t="s">
        <v>1016</v>
      </c>
      <c r="L77" s="76" t="s">
        <v>1096</v>
      </c>
    </row>
    <row r="78" spans="1:12" x14ac:dyDescent="0.35">
      <c r="A78" s="129">
        <v>672</v>
      </c>
      <c r="B78" s="22">
        <v>2114</v>
      </c>
      <c r="C78" s="22" t="s">
        <v>1102</v>
      </c>
      <c r="D78" s="6" t="s">
        <v>319</v>
      </c>
      <c r="E78" s="6" t="s">
        <v>320</v>
      </c>
      <c r="F78" s="6" t="s">
        <v>320</v>
      </c>
      <c r="G78" s="3" t="s">
        <v>1002</v>
      </c>
      <c r="H78" s="3">
        <v>4005</v>
      </c>
      <c r="I78" s="6" t="s">
        <v>1097</v>
      </c>
      <c r="L78" s="76" t="s">
        <v>1098</v>
      </c>
    </row>
    <row r="79" spans="1:12" x14ac:dyDescent="0.35">
      <c r="A79" s="129">
        <v>676</v>
      </c>
      <c r="B79" s="22">
        <v>2115</v>
      </c>
      <c r="C79" s="22" t="s">
        <v>1103</v>
      </c>
      <c r="D79" s="6" t="s">
        <v>322</v>
      </c>
      <c r="E79" s="6" t="s">
        <v>323</v>
      </c>
      <c r="F79" s="6" t="s">
        <v>323</v>
      </c>
      <c r="G79" s="3" t="s">
        <v>1002</v>
      </c>
      <c r="H79" s="3">
        <v>4011</v>
      </c>
      <c r="I79" s="6" t="s">
        <v>1016</v>
      </c>
      <c r="L79" s="76" t="s">
        <v>1096</v>
      </c>
    </row>
    <row r="80" spans="1:12" x14ac:dyDescent="0.35">
      <c r="A80" s="129">
        <v>677</v>
      </c>
      <c r="B80" s="22">
        <v>2116</v>
      </c>
      <c r="C80" s="22" t="s">
        <v>1103</v>
      </c>
      <c r="D80" s="6" t="s">
        <v>324</v>
      </c>
      <c r="E80" s="6" t="s">
        <v>325</v>
      </c>
      <c r="F80" s="6" t="s">
        <v>325</v>
      </c>
      <c r="G80" s="3" t="s">
        <v>1002</v>
      </c>
      <c r="H80" s="3">
        <v>4015</v>
      </c>
      <c r="I80" s="6" t="s">
        <v>1097</v>
      </c>
      <c r="L80" s="76" t="s">
        <v>1098</v>
      </c>
    </row>
    <row r="81" spans="1:13" x14ac:dyDescent="0.35">
      <c r="A81" s="129">
        <v>678</v>
      </c>
      <c r="B81" s="22">
        <v>2117</v>
      </c>
      <c r="C81" s="22" t="s">
        <v>1104</v>
      </c>
      <c r="D81" s="6" t="s">
        <v>327</v>
      </c>
      <c r="E81" s="6" t="s">
        <v>328</v>
      </c>
      <c r="F81" s="6" t="s">
        <v>328</v>
      </c>
      <c r="G81" s="3" t="s">
        <v>1002</v>
      </c>
      <c r="H81" s="3">
        <v>4021</v>
      </c>
      <c r="I81" s="6" t="s">
        <v>1016</v>
      </c>
      <c r="L81" s="76" t="s">
        <v>1096</v>
      </c>
    </row>
    <row r="82" spans="1:13" x14ac:dyDescent="0.35">
      <c r="A82" s="129">
        <v>679</v>
      </c>
      <c r="B82" s="22">
        <v>2118</v>
      </c>
      <c r="C82" s="22" t="s">
        <v>1104</v>
      </c>
      <c r="D82" s="6" t="s">
        <v>329</v>
      </c>
      <c r="E82" s="6" t="s">
        <v>330</v>
      </c>
      <c r="F82" s="6" t="s">
        <v>330</v>
      </c>
      <c r="G82" s="3" t="s">
        <v>1002</v>
      </c>
      <c r="H82" s="3">
        <v>4025</v>
      </c>
      <c r="I82" s="6" t="s">
        <v>1097</v>
      </c>
      <c r="L82" s="76" t="s">
        <v>1098</v>
      </c>
    </row>
    <row r="83" spans="1:13" x14ac:dyDescent="0.35">
      <c r="A83" s="129">
        <v>680</v>
      </c>
      <c r="B83" s="22">
        <v>2119</v>
      </c>
      <c r="C83" s="22" t="s">
        <v>1105</v>
      </c>
      <c r="D83" s="6" t="s">
        <v>332</v>
      </c>
      <c r="E83" s="6" t="s">
        <v>333</v>
      </c>
      <c r="F83" s="6" t="s">
        <v>333</v>
      </c>
      <c r="G83" s="3" t="s">
        <v>1002</v>
      </c>
      <c r="H83" s="3">
        <v>4031</v>
      </c>
      <c r="I83" s="6" t="s">
        <v>1016</v>
      </c>
      <c r="L83" s="76" t="s">
        <v>1096</v>
      </c>
    </row>
    <row r="84" spans="1:13" x14ac:dyDescent="0.35">
      <c r="A84" s="129">
        <v>681</v>
      </c>
      <c r="B84" s="22">
        <v>2120</v>
      </c>
      <c r="C84" s="22" t="s">
        <v>1105</v>
      </c>
      <c r="D84" s="6" t="s">
        <v>334</v>
      </c>
      <c r="E84" s="6" t="s">
        <v>335</v>
      </c>
      <c r="F84" s="6" t="s">
        <v>335</v>
      </c>
      <c r="G84" s="3" t="s">
        <v>1002</v>
      </c>
      <c r="H84" s="3">
        <v>4035</v>
      </c>
      <c r="I84" s="6" t="s">
        <v>1097</v>
      </c>
      <c r="L84" s="76" t="s">
        <v>1098</v>
      </c>
    </row>
    <row r="85" spans="1:13" x14ac:dyDescent="0.35">
      <c r="A85" s="129">
        <v>682</v>
      </c>
      <c r="B85" s="22">
        <v>2121</v>
      </c>
      <c r="C85" s="22" t="s">
        <v>1106</v>
      </c>
      <c r="D85" s="6" t="s">
        <v>337</v>
      </c>
      <c r="E85" s="6" t="s">
        <v>338</v>
      </c>
      <c r="F85" s="6" t="s">
        <v>338</v>
      </c>
      <c r="G85" s="3" t="s">
        <v>1002</v>
      </c>
      <c r="H85" s="3">
        <v>4101</v>
      </c>
      <c r="I85" s="6" t="s">
        <v>1016</v>
      </c>
      <c r="L85" s="76" t="s">
        <v>1096</v>
      </c>
    </row>
    <row r="86" spans="1:13" x14ac:dyDescent="0.35">
      <c r="A86" s="129">
        <v>683</v>
      </c>
      <c r="B86" s="22">
        <v>2122</v>
      </c>
      <c r="C86" s="22" t="s">
        <v>1106</v>
      </c>
      <c r="D86" s="6" t="s">
        <v>339</v>
      </c>
      <c r="E86" s="6" t="s">
        <v>340</v>
      </c>
      <c r="F86" s="6" t="s">
        <v>340</v>
      </c>
      <c r="G86" s="3" t="s">
        <v>1002</v>
      </c>
      <c r="H86" s="3">
        <v>4105</v>
      </c>
      <c r="I86" s="6" t="s">
        <v>1097</v>
      </c>
      <c r="L86" s="76" t="s">
        <v>1098</v>
      </c>
    </row>
    <row r="87" spans="1:13" x14ac:dyDescent="0.35">
      <c r="A87" s="129">
        <v>684</v>
      </c>
      <c r="B87" s="22">
        <v>2123</v>
      </c>
      <c r="C87" s="22" t="s">
        <v>1107</v>
      </c>
      <c r="D87" s="6" t="s">
        <v>342</v>
      </c>
      <c r="E87" s="6" t="s">
        <v>343</v>
      </c>
      <c r="F87" s="6" t="s">
        <v>343</v>
      </c>
      <c r="G87" s="3" t="s">
        <v>1002</v>
      </c>
      <c r="H87" s="3">
        <v>4111</v>
      </c>
      <c r="I87" s="6" t="s">
        <v>1016</v>
      </c>
      <c r="L87" s="76" t="s">
        <v>1096</v>
      </c>
    </row>
    <row r="88" spans="1:13" x14ac:dyDescent="0.35">
      <c r="A88" s="129">
        <v>685</v>
      </c>
      <c r="B88" s="22">
        <v>2124</v>
      </c>
      <c r="C88" s="22" t="s">
        <v>1107</v>
      </c>
      <c r="D88" s="6" t="s">
        <v>344</v>
      </c>
      <c r="E88" s="6" t="s">
        <v>345</v>
      </c>
      <c r="F88" s="6" t="s">
        <v>345</v>
      </c>
      <c r="G88" s="3" t="s">
        <v>1002</v>
      </c>
      <c r="H88" s="3">
        <v>4115</v>
      </c>
      <c r="I88" s="6" t="s">
        <v>1097</v>
      </c>
      <c r="L88" s="76" t="s">
        <v>1098</v>
      </c>
    </row>
    <row r="89" spans="1:13" x14ac:dyDescent="0.35">
      <c r="A89" s="129">
        <v>686</v>
      </c>
      <c r="B89" s="22">
        <v>2125</v>
      </c>
      <c r="C89" s="22" t="s">
        <v>1108</v>
      </c>
      <c r="D89" s="6" t="s">
        <v>347</v>
      </c>
      <c r="E89" s="6" t="s">
        <v>348</v>
      </c>
      <c r="F89" s="6" t="s">
        <v>348</v>
      </c>
      <c r="G89" s="3" t="s">
        <v>1002</v>
      </c>
      <c r="H89" s="3">
        <v>4121</v>
      </c>
      <c r="I89" s="6" t="s">
        <v>1016</v>
      </c>
      <c r="L89" s="76" t="s">
        <v>1096</v>
      </c>
    </row>
    <row r="90" spans="1:13" x14ac:dyDescent="0.35">
      <c r="A90" s="129">
        <v>687</v>
      </c>
      <c r="B90" s="22">
        <v>2126</v>
      </c>
      <c r="C90" s="22" t="s">
        <v>1108</v>
      </c>
      <c r="D90" s="6" t="s">
        <v>349</v>
      </c>
      <c r="E90" s="6" t="s">
        <v>350</v>
      </c>
      <c r="F90" s="6" t="s">
        <v>350</v>
      </c>
      <c r="G90" s="3" t="s">
        <v>1002</v>
      </c>
      <c r="H90" s="3">
        <v>4125</v>
      </c>
      <c r="I90" s="6" t="s">
        <v>1097</v>
      </c>
      <c r="L90" s="76" t="s">
        <v>1098</v>
      </c>
    </row>
    <row r="91" spans="1:13" x14ac:dyDescent="0.35">
      <c r="A91" s="129">
        <v>688</v>
      </c>
      <c r="B91" s="22">
        <v>2127</v>
      </c>
      <c r="C91" s="22" t="s">
        <v>1109</v>
      </c>
      <c r="D91" s="6" t="s">
        <v>352</v>
      </c>
      <c r="E91" s="6" t="s">
        <v>353</v>
      </c>
      <c r="F91" s="6" t="s">
        <v>353</v>
      </c>
      <c r="G91" s="3" t="s">
        <v>1002</v>
      </c>
      <c r="H91" s="3">
        <v>4131</v>
      </c>
      <c r="I91" s="6" t="s">
        <v>1016</v>
      </c>
      <c r="L91" s="76" t="s">
        <v>1096</v>
      </c>
    </row>
    <row r="92" spans="1:13" x14ac:dyDescent="0.35">
      <c r="A92" s="129">
        <v>689</v>
      </c>
      <c r="B92" s="22">
        <v>2128</v>
      </c>
      <c r="C92" s="22" t="s">
        <v>1109</v>
      </c>
      <c r="D92" s="6" t="s">
        <v>354</v>
      </c>
      <c r="E92" s="6" t="s">
        <v>355</v>
      </c>
      <c r="F92" s="6" t="s">
        <v>355</v>
      </c>
      <c r="G92" s="3" t="s">
        <v>1002</v>
      </c>
      <c r="H92" s="3">
        <v>4135</v>
      </c>
      <c r="I92" s="6" t="s">
        <v>1097</v>
      </c>
      <c r="L92" s="76" t="s">
        <v>1098</v>
      </c>
    </row>
    <row r="93" spans="1:13" ht="2.15" customHeight="1" x14ac:dyDescent="0.35">
      <c r="A93" s="89"/>
      <c r="B93" s="88"/>
      <c r="C93" s="88"/>
      <c r="D93" s="87"/>
      <c r="E93" s="87"/>
      <c r="F93" s="87"/>
      <c r="G93" s="90"/>
      <c r="H93" s="90"/>
      <c r="I93" s="87"/>
      <c r="J93" s="87"/>
      <c r="K93" s="91"/>
      <c r="L93" s="91"/>
      <c r="M93" s="45"/>
    </row>
    <row r="94" spans="1:13" ht="29" x14ac:dyDescent="0.35">
      <c r="A94" s="168">
        <v>817</v>
      </c>
      <c r="B94" s="24">
        <v>2501</v>
      </c>
      <c r="C94" s="24">
        <v>42</v>
      </c>
      <c r="D94" s="48" t="s">
        <v>357</v>
      </c>
      <c r="E94" s="48" t="s">
        <v>358</v>
      </c>
      <c r="F94" s="48" t="s">
        <v>358</v>
      </c>
      <c r="G94" s="134" t="s">
        <v>1110</v>
      </c>
      <c r="H94" s="134">
        <v>4201</v>
      </c>
      <c r="I94" s="48" t="s">
        <v>1016</v>
      </c>
      <c r="J94" s="48"/>
      <c r="K94" s="169"/>
      <c r="L94" s="169" t="s">
        <v>1111</v>
      </c>
      <c r="M94" s="148"/>
    </row>
    <row r="95" spans="1:13" ht="87" x14ac:dyDescent="0.35">
      <c r="A95" s="168">
        <v>923</v>
      </c>
      <c r="B95" s="24">
        <v>2502</v>
      </c>
      <c r="C95" s="24">
        <v>43</v>
      </c>
      <c r="D95" s="48" t="s">
        <v>360</v>
      </c>
      <c r="E95" s="48" t="s">
        <v>361</v>
      </c>
      <c r="F95" s="48" t="s">
        <v>362</v>
      </c>
      <c r="G95" s="134" t="s">
        <v>1110</v>
      </c>
      <c r="H95" s="134">
        <v>4301</v>
      </c>
      <c r="I95" s="48" t="s">
        <v>1112</v>
      </c>
      <c r="J95" s="48"/>
      <c r="K95" s="169" t="s">
        <v>1113</v>
      </c>
      <c r="L95" s="169" t="s">
        <v>1114</v>
      </c>
      <c r="M95" s="148"/>
    </row>
    <row r="96" spans="1:13" ht="43.5" x14ac:dyDescent="0.35">
      <c r="A96" s="267">
        <v>1793</v>
      </c>
      <c r="B96" s="264">
        <v>2503</v>
      </c>
      <c r="C96" s="264">
        <v>44</v>
      </c>
      <c r="D96" s="265" t="s">
        <v>375</v>
      </c>
      <c r="E96" s="265" t="s">
        <v>376</v>
      </c>
      <c r="F96" s="265" t="s">
        <v>378</v>
      </c>
      <c r="G96" s="262" t="s">
        <v>1110</v>
      </c>
      <c r="H96" s="262">
        <v>4401</v>
      </c>
      <c r="I96" s="180" t="s">
        <v>1006</v>
      </c>
      <c r="J96" s="265"/>
      <c r="K96" s="266" t="s">
        <v>1115</v>
      </c>
      <c r="L96" s="266" t="s">
        <v>1116</v>
      </c>
      <c r="M96" s="170" t="s">
        <v>1117</v>
      </c>
    </row>
    <row r="97" spans="1:13" ht="43.5" x14ac:dyDescent="0.35">
      <c r="A97" s="263">
        <v>942</v>
      </c>
      <c r="B97" s="264">
        <v>2503</v>
      </c>
      <c r="C97" s="264">
        <v>44</v>
      </c>
      <c r="D97" s="265" t="s">
        <v>375</v>
      </c>
      <c r="E97" s="265" t="s">
        <v>376</v>
      </c>
      <c r="F97" s="265" t="s">
        <v>1118</v>
      </c>
      <c r="G97" s="262" t="s">
        <v>1110</v>
      </c>
      <c r="H97" s="269">
        <v>4411</v>
      </c>
      <c r="I97" s="265" t="s">
        <v>1044</v>
      </c>
      <c r="J97" s="265"/>
      <c r="K97" s="268" t="s">
        <v>1119</v>
      </c>
      <c r="L97" s="268" t="s">
        <v>1120</v>
      </c>
      <c r="M97" s="170" t="s">
        <v>1121</v>
      </c>
    </row>
    <row r="98" spans="1:13" ht="43.5" x14ac:dyDescent="0.35">
      <c r="A98" s="168">
        <v>818</v>
      </c>
      <c r="B98" s="24">
        <v>2504</v>
      </c>
      <c r="C98" s="24">
        <v>45</v>
      </c>
      <c r="D98" s="48" t="s">
        <v>389</v>
      </c>
      <c r="E98" s="48" t="s">
        <v>390</v>
      </c>
      <c r="F98" s="48" t="s">
        <v>390</v>
      </c>
      <c r="G98" s="134" t="s">
        <v>1110</v>
      </c>
      <c r="H98" s="134">
        <v>4501</v>
      </c>
      <c r="I98" s="48" t="s">
        <v>1016</v>
      </c>
      <c r="J98" s="48" t="s">
        <v>134</v>
      </c>
      <c r="K98" s="169"/>
      <c r="L98" s="169" t="s">
        <v>1122</v>
      </c>
      <c r="M98" s="148"/>
    </row>
    <row r="99" spans="1:13" ht="29" x14ac:dyDescent="0.35">
      <c r="A99" s="168">
        <v>819</v>
      </c>
      <c r="B99" s="24">
        <v>2505</v>
      </c>
      <c r="C99" s="24">
        <v>46</v>
      </c>
      <c r="D99" s="48" t="s">
        <v>392</v>
      </c>
      <c r="E99" s="48" t="s">
        <v>393</v>
      </c>
      <c r="F99" s="48" t="s">
        <v>393</v>
      </c>
      <c r="G99" s="134" t="s">
        <v>1110</v>
      </c>
      <c r="H99" s="134">
        <v>4601</v>
      </c>
      <c r="I99" s="48" t="s">
        <v>1016</v>
      </c>
      <c r="J99" s="48"/>
      <c r="K99" s="169"/>
      <c r="L99" s="169" t="s">
        <v>1123</v>
      </c>
      <c r="M99" s="148"/>
    </row>
    <row r="100" spans="1:13" ht="29" x14ac:dyDescent="0.35">
      <c r="A100" s="168">
        <v>820</v>
      </c>
      <c r="B100" s="24">
        <v>2506</v>
      </c>
      <c r="C100" s="24">
        <v>47</v>
      </c>
      <c r="D100" s="48" t="s">
        <v>396</v>
      </c>
      <c r="E100" s="48" t="s">
        <v>397</v>
      </c>
      <c r="F100" s="48" t="s">
        <v>397</v>
      </c>
      <c r="G100" s="134" t="s">
        <v>1110</v>
      </c>
      <c r="H100" s="134">
        <v>4701</v>
      </c>
      <c r="I100" s="48" t="s">
        <v>1097</v>
      </c>
      <c r="J100" s="48"/>
      <c r="K100" s="169"/>
      <c r="L100" s="169" t="s">
        <v>1124</v>
      </c>
      <c r="M100" s="148"/>
    </row>
    <row r="101" spans="1:13" ht="29" x14ac:dyDescent="0.35">
      <c r="A101" s="168">
        <v>821</v>
      </c>
      <c r="B101" s="24">
        <v>2507</v>
      </c>
      <c r="C101" s="24">
        <v>48</v>
      </c>
      <c r="D101" s="48" t="s">
        <v>400</v>
      </c>
      <c r="E101" s="48" t="s">
        <v>401</v>
      </c>
      <c r="F101" s="48" t="s">
        <v>401</v>
      </c>
      <c r="G101" s="134" t="s">
        <v>1110</v>
      </c>
      <c r="H101" s="134">
        <v>4801</v>
      </c>
      <c r="I101" s="48" t="s">
        <v>1097</v>
      </c>
      <c r="J101" s="48"/>
      <c r="K101" s="169"/>
      <c r="L101" s="169" t="s">
        <v>1125</v>
      </c>
      <c r="M101" s="148"/>
    </row>
    <row r="102" spans="1:13" ht="2.15" customHeight="1" x14ac:dyDescent="0.35">
      <c r="A102" s="89"/>
      <c r="B102" s="88"/>
      <c r="C102" s="88"/>
      <c r="D102" s="87"/>
      <c r="E102" s="87"/>
      <c r="F102" s="87"/>
      <c r="G102" s="90"/>
      <c r="H102" s="90"/>
      <c r="I102" s="87"/>
      <c r="J102" s="87"/>
      <c r="K102" s="91"/>
      <c r="L102" s="91"/>
      <c r="M102" s="45"/>
    </row>
    <row r="103" spans="1:13" ht="29" x14ac:dyDescent="0.35">
      <c r="A103" s="126">
        <v>690</v>
      </c>
      <c r="B103" s="73">
        <v>2133</v>
      </c>
      <c r="C103" s="73" t="s">
        <v>1126</v>
      </c>
      <c r="D103" s="75" t="s">
        <v>396</v>
      </c>
      <c r="E103" s="75" t="s">
        <v>413</v>
      </c>
      <c r="F103" s="75" t="s">
        <v>413</v>
      </c>
      <c r="G103" s="120" t="s">
        <v>1002</v>
      </c>
      <c r="H103" s="120">
        <v>4991</v>
      </c>
      <c r="I103" s="75" t="s">
        <v>1097</v>
      </c>
      <c r="J103" s="75"/>
      <c r="K103" s="92"/>
      <c r="L103" s="92" t="s">
        <v>1127</v>
      </c>
    </row>
    <row r="104" spans="1:13" ht="29" x14ac:dyDescent="0.35">
      <c r="A104" s="319">
        <v>86</v>
      </c>
      <c r="B104" s="313">
        <v>2133</v>
      </c>
      <c r="C104" s="313" t="s">
        <v>1126</v>
      </c>
      <c r="D104" s="314" t="s">
        <v>396</v>
      </c>
      <c r="E104" s="314" t="s">
        <v>413</v>
      </c>
      <c r="F104" s="314" t="s">
        <v>413</v>
      </c>
      <c r="G104" s="320" t="s">
        <v>1002</v>
      </c>
      <c r="H104" s="325" t="s">
        <v>1128</v>
      </c>
      <c r="I104" s="326" t="s">
        <v>1129</v>
      </c>
      <c r="J104" s="326"/>
      <c r="K104" s="326" t="s">
        <v>1130</v>
      </c>
      <c r="L104" s="326" t="s">
        <v>1131</v>
      </c>
      <c r="M104" s="327" t="s">
        <v>1132</v>
      </c>
    </row>
    <row r="105" spans="1:13" ht="29" x14ac:dyDescent="0.35">
      <c r="A105" s="126">
        <v>691</v>
      </c>
      <c r="B105" s="73">
        <v>2134</v>
      </c>
      <c r="C105" s="73" t="s">
        <v>1126</v>
      </c>
      <c r="D105" s="75" t="s">
        <v>414</v>
      </c>
      <c r="E105" s="75" t="s">
        <v>415</v>
      </c>
      <c r="F105" s="75" t="s">
        <v>415</v>
      </c>
      <c r="G105" s="120" t="s">
        <v>1002</v>
      </c>
      <c r="H105" s="120">
        <v>4995</v>
      </c>
      <c r="I105" s="75" t="s">
        <v>1097</v>
      </c>
      <c r="J105" s="75"/>
      <c r="K105" s="92"/>
      <c r="L105" s="92" t="s">
        <v>1133</v>
      </c>
    </row>
    <row r="106" spans="1:13" ht="43.5" x14ac:dyDescent="0.35">
      <c r="A106" s="126">
        <v>1278</v>
      </c>
      <c r="B106" s="73">
        <v>2305</v>
      </c>
      <c r="C106" s="73">
        <v>50</v>
      </c>
      <c r="D106" s="75" t="s">
        <v>428</v>
      </c>
      <c r="E106" s="75" t="s">
        <v>429</v>
      </c>
      <c r="F106" s="75" t="s">
        <v>429</v>
      </c>
      <c r="G106" s="120" t="s">
        <v>1002</v>
      </c>
      <c r="H106" s="120">
        <v>5001</v>
      </c>
      <c r="I106" s="75" t="s">
        <v>1134</v>
      </c>
      <c r="J106" s="75"/>
      <c r="K106" s="92" t="s">
        <v>1135</v>
      </c>
      <c r="L106" s="92" t="s">
        <v>1136</v>
      </c>
    </row>
    <row r="107" spans="1:13" x14ac:dyDescent="0.35">
      <c r="A107" s="126">
        <v>692</v>
      </c>
      <c r="B107" s="73">
        <v>2136</v>
      </c>
      <c r="C107" s="73" t="s">
        <v>1137</v>
      </c>
      <c r="D107" s="75" t="s">
        <v>418</v>
      </c>
      <c r="E107" s="75" t="s">
        <v>419</v>
      </c>
      <c r="F107" s="75" t="s">
        <v>419</v>
      </c>
      <c r="G107" s="120" t="s">
        <v>1002</v>
      </c>
      <c r="H107" s="120">
        <v>5011</v>
      </c>
      <c r="I107" s="75" t="s">
        <v>1016</v>
      </c>
      <c r="J107" s="75"/>
      <c r="K107" s="92"/>
      <c r="L107" s="92" t="s">
        <v>1138</v>
      </c>
    </row>
    <row r="108" spans="1:13" x14ac:dyDescent="0.35">
      <c r="A108" s="126">
        <v>693</v>
      </c>
      <c r="B108" s="73">
        <v>2137</v>
      </c>
      <c r="C108" s="73" t="s">
        <v>1139</v>
      </c>
      <c r="D108" s="75" t="s">
        <v>418</v>
      </c>
      <c r="E108" s="75" t="s">
        <v>423</v>
      </c>
      <c r="F108" s="75" t="s">
        <v>423</v>
      </c>
      <c r="G108" s="120" t="s">
        <v>1002</v>
      </c>
      <c r="H108" s="120">
        <v>5021</v>
      </c>
      <c r="I108" s="75" t="s">
        <v>1016</v>
      </c>
      <c r="J108" s="75"/>
      <c r="K108" s="92"/>
      <c r="L108" s="92" t="s">
        <v>1140</v>
      </c>
    </row>
    <row r="109" spans="1:13" x14ac:dyDescent="0.35">
      <c r="A109" s="126">
        <v>694</v>
      </c>
      <c r="B109" s="73">
        <v>2138</v>
      </c>
      <c r="C109" s="73" t="s">
        <v>1141</v>
      </c>
      <c r="D109" s="75" t="s">
        <v>425</v>
      </c>
      <c r="E109" s="75" t="s">
        <v>426</v>
      </c>
      <c r="F109" s="75" t="s">
        <v>426</v>
      </c>
      <c r="G109" s="120" t="s">
        <v>1002</v>
      </c>
      <c r="H109" s="120">
        <v>5031</v>
      </c>
      <c r="I109" s="75" t="s">
        <v>1016</v>
      </c>
      <c r="J109" s="75"/>
      <c r="K109" s="92"/>
      <c r="L109" s="92" t="s">
        <v>1142</v>
      </c>
    </row>
    <row r="110" spans="1:13" ht="29" x14ac:dyDescent="0.35">
      <c r="A110" s="126">
        <v>695</v>
      </c>
      <c r="B110" s="73">
        <v>2139</v>
      </c>
      <c r="C110" s="73" t="s">
        <v>1143</v>
      </c>
      <c r="D110" s="75" t="s">
        <v>433</v>
      </c>
      <c r="E110" s="75" t="s">
        <v>434</v>
      </c>
      <c r="F110" s="75" t="s">
        <v>434</v>
      </c>
      <c r="G110" s="120" t="s">
        <v>1002</v>
      </c>
      <c r="H110" s="120">
        <v>5101</v>
      </c>
      <c r="I110" s="75" t="s">
        <v>1016</v>
      </c>
      <c r="J110" s="75"/>
      <c r="K110" s="92"/>
      <c r="L110" s="92" t="s">
        <v>1144</v>
      </c>
    </row>
    <row r="111" spans="1:13" ht="29" x14ac:dyDescent="0.35">
      <c r="A111" s="126">
        <v>696</v>
      </c>
      <c r="B111" s="73">
        <v>2140</v>
      </c>
      <c r="C111" s="73" t="s">
        <v>1145</v>
      </c>
      <c r="D111" s="75" t="s">
        <v>436</v>
      </c>
      <c r="E111" s="75" t="s">
        <v>437</v>
      </c>
      <c r="F111" s="75" t="s">
        <v>437</v>
      </c>
      <c r="G111" s="120" t="s">
        <v>1002</v>
      </c>
      <c r="H111" s="120">
        <v>5111</v>
      </c>
      <c r="I111" s="75" t="s">
        <v>1016</v>
      </c>
      <c r="J111" s="75"/>
      <c r="K111" s="92"/>
      <c r="L111" s="92" t="s">
        <v>1146</v>
      </c>
    </row>
    <row r="112" spans="1:13" ht="29" x14ac:dyDescent="0.35">
      <c r="A112" s="126">
        <v>697</v>
      </c>
      <c r="B112" s="73">
        <v>2141</v>
      </c>
      <c r="C112" s="73" t="s">
        <v>1147</v>
      </c>
      <c r="D112" s="75" t="s">
        <v>439</v>
      </c>
      <c r="E112" s="75" t="s">
        <v>440</v>
      </c>
      <c r="F112" s="75" t="s">
        <v>440</v>
      </c>
      <c r="G112" s="120" t="s">
        <v>1002</v>
      </c>
      <c r="H112" s="120">
        <v>5121</v>
      </c>
      <c r="I112" s="75" t="s">
        <v>1016</v>
      </c>
      <c r="J112" s="75"/>
      <c r="K112" s="92"/>
      <c r="L112" s="92" t="s">
        <v>1148</v>
      </c>
    </row>
    <row r="113" spans="1:12" ht="29" x14ac:dyDescent="0.35">
      <c r="A113" s="126">
        <v>698</v>
      </c>
      <c r="B113" s="73">
        <v>2142</v>
      </c>
      <c r="C113" s="73" t="s">
        <v>1149</v>
      </c>
      <c r="D113" s="75" t="s">
        <v>442</v>
      </c>
      <c r="E113" s="75" t="s">
        <v>443</v>
      </c>
      <c r="F113" s="75" t="s">
        <v>443</v>
      </c>
      <c r="G113" s="120" t="s">
        <v>1002</v>
      </c>
      <c r="H113" s="120">
        <v>5201</v>
      </c>
      <c r="I113" s="75" t="s">
        <v>1016</v>
      </c>
      <c r="J113" s="75"/>
      <c r="K113" s="92"/>
      <c r="L113" s="92" t="s">
        <v>1150</v>
      </c>
    </row>
    <row r="114" spans="1:12" ht="29" x14ac:dyDescent="0.35">
      <c r="A114" s="126">
        <v>699</v>
      </c>
      <c r="B114" s="73">
        <v>2143</v>
      </c>
      <c r="C114" s="73" t="s">
        <v>1151</v>
      </c>
      <c r="D114" s="75" t="s">
        <v>445</v>
      </c>
      <c r="E114" s="75" t="s">
        <v>446</v>
      </c>
      <c r="F114" s="75" t="s">
        <v>446</v>
      </c>
      <c r="G114" s="120" t="s">
        <v>1002</v>
      </c>
      <c r="H114" s="120">
        <v>5211</v>
      </c>
      <c r="I114" s="75" t="s">
        <v>1016</v>
      </c>
      <c r="J114" s="75"/>
      <c r="K114" s="92"/>
      <c r="L114" s="92" t="s">
        <v>1152</v>
      </c>
    </row>
    <row r="115" spans="1:12" ht="29" x14ac:dyDescent="0.35">
      <c r="A115" s="126">
        <v>700</v>
      </c>
      <c r="B115" s="73">
        <v>2144</v>
      </c>
      <c r="C115" s="73" t="s">
        <v>1153</v>
      </c>
      <c r="D115" s="75" t="s">
        <v>448</v>
      </c>
      <c r="E115" s="75" t="s">
        <v>449</v>
      </c>
      <c r="F115" s="75" t="s">
        <v>449</v>
      </c>
      <c r="G115" s="120" t="s">
        <v>1002</v>
      </c>
      <c r="H115" s="120">
        <v>5221</v>
      </c>
      <c r="I115" s="75" t="s">
        <v>1016</v>
      </c>
      <c r="J115" s="75"/>
      <c r="K115" s="92"/>
      <c r="L115" s="92" t="s">
        <v>1154</v>
      </c>
    </row>
    <row r="116" spans="1:12" ht="29" x14ac:dyDescent="0.35">
      <c r="A116" s="126">
        <v>701</v>
      </c>
      <c r="B116" s="73">
        <v>2145</v>
      </c>
      <c r="C116" s="73" t="s">
        <v>1155</v>
      </c>
      <c r="D116" s="75" t="s">
        <v>451</v>
      </c>
      <c r="E116" s="75" t="s">
        <v>452</v>
      </c>
      <c r="F116" s="75" t="s">
        <v>452</v>
      </c>
      <c r="G116" s="120" t="s">
        <v>1002</v>
      </c>
      <c r="H116" s="120">
        <v>5301</v>
      </c>
      <c r="I116" s="75" t="s">
        <v>1016</v>
      </c>
      <c r="J116" s="75"/>
      <c r="K116" s="92"/>
      <c r="L116" s="92" t="s">
        <v>1156</v>
      </c>
    </row>
    <row r="117" spans="1:12" ht="29" x14ac:dyDescent="0.35">
      <c r="A117" s="126">
        <v>702</v>
      </c>
      <c r="B117" s="73">
        <v>2146</v>
      </c>
      <c r="C117" s="73" t="s">
        <v>1157</v>
      </c>
      <c r="D117" s="75" t="s">
        <v>454</v>
      </c>
      <c r="E117" s="75" t="s">
        <v>455</v>
      </c>
      <c r="F117" s="75" t="s">
        <v>455</v>
      </c>
      <c r="G117" s="120" t="s">
        <v>1002</v>
      </c>
      <c r="H117" s="120">
        <v>5311</v>
      </c>
      <c r="I117" s="75" t="s">
        <v>1016</v>
      </c>
      <c r="J117" s="75"/>
      <c r="K117" s="92"/>
      <c r="L117" s="92" t="s">
        <v>1158</v>
      </c>
    </row>
    <row r="118" spans="1:12" ht="29" x14ac:dyDescent="0.35">
      <c r="A118" s="126">
        <v>703</v>
      </c>
      <c r="B118" s="73">
        <v>2147</v>
      </c>
      <c r="C118" s="73" t="s">
        <v>1159</v>
      </c>
      <c r="D118" s="75" t="s">
        <v>457</v>
      </c>
      <c r="E118" s="75" t="s">
        <v>458</v>
      </c>
      <c r="F118" s="75" t="s">
        <v>458</v>
      </c>
      <c r="G118" s="120" t="s">
        <v>1002</v>
      </c>
      <c r="H118" s="120">
        <v>5321</v>
      </c>
      <c r="I118" s="75" t="s">
        <v>1016</v>
      </c>
      <c r="J118" s="75"/>
      <c r="K118" s="92"/>
      <c r="L118" s="92" t="s">
        <v>1160</v>
      </c>
    </row>
    <row r="119" spans="1:12" ht="29" x14ac:dyDescent="0.35">
      <c r="A119" s="126">
        <v>704</v>
      </c>
      <c r="B119" s="73">
        <v>2148</v>
      </c>
      <c r="C119" s="73" t="s">
        <v>1161</v>
      </c>
      <c r="D119" s="75" t="s">
        <v>460</v>
      </c>
      <c r="E119" s="75" t="s">
        <v>461</v>
      </c>
      <c r="F119" s="75" t="s">
        <v>461</v>
      </c>
      <c r="G119" s="120" t="s">
        <v>1002</v>
      </c>
      <c r="H119" s="120">
        <v>5401</v>
      </c>
      <c r="I119" s="75" t="s">
        <v>1097</v>
      </c>
      <c r="J119" s="75"/>
      <c r="K119" s="92"/>
      <c r="L119" s="92" t="s">
        <v>1162</v>
      </c>
    </row>
    <row r="120" spans="1:12" ht="29" x14ac:dyDescent="0.35">
      <c r="A120" s="126">
        <v>705</v>
      </c>
      <c r="B120" s="73">
        <v>2149</v>
      </c>
      <c r="C120" s="73" t="s">
        <v>1163</v>
      </c>
      <c r="D120" s="75" t="s">
        <v>463</v>
      </c>
      <c r="E120" s="75" t="s">
        <v>464</v>
      </c>
      <c r="F120" s="75" t="s">
        <v>464</v>
      </c>
      <c r="G120" s="120" t="s">
        <v>1002</v>
      </c>
      <c r="H120" s="120">
        <v>5411</v>
      </c>
      <c r="I120" s="75" t="s">
        <v>1097</v>
      </c>
      <c r="J120" s="75"/>
      <c r="K120" s="92"/>
      <c r="L120" s="92" t="s">
        <v>1164</v>
      </c>
    </row>
    <row r="121" spans="1:12" ht="29" x14ac:dyDescent="0.35">
      <c r="A121" s="126">
        <v>706</v>
      </c>
      <c r="B121" s="73">
        <v>2150</v>
      </c>
      <c r="C121" s="73" t="s">
        <v>1165</v>
      </c>
      <c r="D121" s="75" t="s">
        <v>466</v>
      </c>
      <c r="E121" s="75" t="s">
        <v>467</v>
      </c>
      <c r="F121" s="75" t="s">
        <v>467</v>
      </c>
      <c r="G121" s="120" t="s">
        <v>1002</v>
      </c>
      <c r="H121" s="120">
        <v>5421</v>
      </c>
      <c r="I121" s="75" t="s">
        <v>1097</v>
      </c>
      <c r="J121" s="75"/>
      <c r="K121" s="92"/>
      <c r="L121" s="92" t="s">
        <v>1166</v>
      </c>
    </row>
    <row r="122" spans="1:12" ht="29" x14ac:dyDescent="0.35">
      <c r="A122" s="126">
        <v>707</v>
      </c>
      <c r="B122" s="73">
        <v>2151</v>
      </c>
      <c r="C122" s="73" t="s">
        <v>1167</v>
      </c>
      <c r="D122" s="75" t="s">
        <v>469</v>
      </c>
      <c r="E122" s="75" t="s">
        <v>470</v>
      </c>
      <c r="F122" s="75" t="s">
        <v>470</v>
      </c>
      <c r="G122" s="120" t="s">
        <v>1002</v>
      </c>
      <c r="H122" s="120">
        <v>5501</v>
      </c>
      <c r="I122" s="75" t="s">
        <v>1097</v>
      </c>
      <c r="J122" s="75"/>
      <c r="K122" s="92"/>
      <c r="L122" s="92" t="s">
        <v>1168</v>
      </c>
    </row>
    <row r="123" spans="1:12" ht="29" x14ac:dyDescent="0.35">
      <c r="A123" s="126">
        <v>708</v>
      </c>
      <c r="B123" s="73">
        <v>2152</v>
      </c>
      <c r="C123" s="73" t="s">
        <v>1169</v>
      </c>
      <c r="D123" s="75" t="s">
        <v>472</v>
      </c>
      <c r="E123" s="75" t="s">
        <v>473</v>
      </c>
      <c r="F123" s="75" t="s">
        <v>473</v>
      </c>
      <c r="G123" s="120" t="s">
        <v>1002</v>
      </c>
      <c r="H123" s="120">
        <v>5511</v>
      </c>
      <c r="I123" s="75" t="s">
        <v>1097</v>
      </c>
      <c r="J123" s="75"/>
      <c r="K123" s="92"/>
      <c r="L123" s="92" t="s">
        <v>1170</v>
      </c>
    </row>
    <row r="124" spans="1:12" ht="29" x14ac:dyDescent="0.35">
      <c r="A124" s="126">
        <v>709</v>
      </c>
      <c r="B124" s="73">
        <v>2153</v>
      </c>
      <c r="C124" s="73" t="s">
        <v>1171</v>
      </c>
      <c r="D124" s="75" t="s">
        <v>475</v>
      </c>
      <c r="E124" s="75" t="s">
        <v>476</v>
      </c>
      <c r="F124" s="75" t="s">
        <v>476</v>
      </c>
      <c r="G124" s="120" t="s">
        <v>1002</v>
      </c>
      <c r="H124" s="120">
        <v>5521</v>
      </c>
      <c r="I124" s="75" t="s">
        <v>1097</v>
      </c>
      <c r="J124" s="75"/>
      <c r="K124" s="92"/>
      <c r="L124" s="92" t="s">
        <v>1172</v>
      </c>
    </row>
    <row r="125" spans="1:12" ht="29" x14ac:dyDescent="0.35">
      <c r="A125" s="126">
        <v>710</v>
      </c>
      <c r="B125" s="73">
        <v>2154</v>
      </c>
      <c r="C125" s="73">
        <v>56</v>
      </c>
      <c r="D125" s="75" t="s">
        <v>478</v>
      </c>
      <c r="E125" s="75" t="s">
        <v>479</v>
      </c>
      <c r="F125" s="75" t="s">
        <v>479</v>
      </c>
      <c r="G125" s="120" t="s">
        <v>1002</v>
      </c>
      <c r="H125" s="120">
        <v>5601</v>
      </c>
      <c r="I125" s="75" t="s">
        <v>1016</v>
      </c>
      <c r="J125" s="75"/>
      <c r="K125" s="92"/>
      <c r="L125" s="92" t="s">
        <v>1173</v>
      </c>
    </row>
    <row r="126" spans="1:12" ht="29" x14ac:dyDescent="0.35">
      <c r="A126" s="126">
        <v>1017</v>
      </c>
      <c r="B126" s="73">
        <v>2155</v>
      </c>
      <c r="C126" s="73" t="s">
        <v>1174</v>
      </c>
      <c r="D126" s="75" t="s">
        <v>481</v>
      </c>
      <c r="E126" s="75" t="s">
        <v>482</v>
      </c>
      <c r="F126" s="75" t="s">
        <v>482</v>
      </c>
      <c r="G126" s="120" t="s">
        <v>1002</v>
      </c>
      <c r="H126" s="120">
        <v>5701</v>
      </c>
      <c r="I126" s="75" t="s">
        <v>1016</v>
      </c>
      <c r="J126" s="75"/>
      <c r="K126" s="92"/>
      <c r="L126" s="92" t="s">
        <v>1175</v>
      </c>
    </row>
    <row r="127" spans="1:12" ht="29" x14ac:dyDescent="0.35">
      <c r="A127" s="126">
        <v>1018</v>
      </c>
      <c r="B127" s="73">
        <v>2156</v>
      </c>
      <c r="C127" s="73" t="s">
        <v>1176</v>
      </c>
      <c r="D127" s="75" t="s">
        <v>484</v>
      </c>
      <c r="E127" s="75" t="s">
        <v>485</v>
      </c>
      <c r="F127" s="75" t="s">
        <v>485</v>
      </c>
      <c r="G127" s="120" t="s">
        <v>1002</v>
      </c>
      <c r="H127" s="120">
        <v>5711</v>
      </c>
      <c r="I127" s="75" t="s">
        <v>1016</v>
      </c>
      <c r="J127" s="75"/>
      <c r="K127" s="92"/>
      <c r="L127" s="92" t="s">
        <v>1177</v>
      </c>
    </row>
    <row r="128" spans="1:12" ht="29" x14ac:dyDescent="0.35">
      <c r="A128" s="126">
        <v>1021</v>
      </c>
      <c r="B128" s="73">
        <v>2157</v>
      </c>
      <c r="C128" s="73" t="s">
        <v>1178</v>
      </c>
      <c r="D128" s="75" t="s">
        <v>487</v>
      </c>
      <c r="E128" s="75" t="s">
        <v>488</v>
      </c>
      <c r="F128" s="75" t="s">
        <v>488</v>
      </c>
      <c r="G128" s="120" t="s">
        <v>1002</v>
      </c>
      <c r="H128" s="120">
        <v>5721</v>
      </c>
      <c r="I128" s="75" t="s">
        <v>1016</v>
      </c>
      <c r="J128" s="75"/>
      <c r="K128" s="92"/>
      <c r="L128" s="92" t="s">
        <v>1179</v>
      </c>
    </row>
    <row r="129" spans="1:13" ht="275.5" x14ac:dyDescent="0.35">
      <c r="A129" s="126">
        <v>924</v>
      </c>
      <c r="B129" s="73">
        <v>2158</v>
      </c>
      <c r="C129" s="73" t="s">
        <v>1180</v>
      </c>
      <c r="D129" s="75" t="s">
        <v>490</v>
      </c>
      <c r="E129" s="75" t="s">
        <v>491</v>
      </c>
      <c r="F129" s="75" t="s">
        <v>493</v>
      </c>
      <c r="G129" s="120" t="s">
        <v>1002</v>
      </c>
      <c r="H129" s="120">
        <v>5801</v>
      </c>
      <c r="I129" s="75" t="s">
        <v>1030</v>
      </c>
      <c r="J129" s="75"/>
      <c r="K129" s="92" t="s">
        <v>1031</v>
      </c>
      <c r="L129" s="92" t="s">
        <v>1181</v>
      </c>
    </row>
    <row r="130" spans="1:13" ht="275.5" x14ac:dyDescent="0.35">
      <c r="A130" s="126">
        <v>925</v>
      </c>
      <c r="B130" s="73">
        <v>2159</v>
      </c>
      <c r="C130" s="73" t="s">
        <v>1182</v>
      </c>
      <c r="D130" s="75" t="s">
        <v>495</v>
      </c>
      <c r="E130" s="75" t="s">
        <v>496</v>
      </c>
      <c r="F130" s="75" t="s">
        <v>497</v>
      </c>
      <c r="G130" s="120" t="s">
        <v>1002</v>
      </c>
      <c r="H130" s="120">
        <v>5811</v>
      </c>
      <c r="I130" s="75" t="s">
        <v>1030</v>
      </c>
      <c r="J130" s="75"/>
      <c r="K130" s="92" t="s">
        <v>1031</v>
      </c>
      <c r="L130" s="92" t="s">
        <v>1183</v>
      </c>
    </row>
    <row r="131" spans="1:13" ht="275.5" x14ac:dyDescent="0.35">
      <c r="A131" s="126">
        <v>926</v>
      </c>
      <c r="B131" s="73">
        <v>2160</v>
      </c>
      <c r="C131" s="73" t="s">
        <v>1184</v>
      </c>
      <c r="D131" s="75" t="s">
        <v>499</v>
      </c>
      <c r="E131" s="75" t="s">
        <v>500</v>
      </c>
      <c r="F131" s="75" t="s">
        <v>501</v>
      </c>
      <c r="G131" s="120" t="s">
        <v>1002</v>
      </c>
      <c r="H131" s="120">
        <v>5821</v>
      </c>
      <c r="I131" s="75" t="s">
        <v>1030</v>
      </c>
      <c r="J131" s="75"/>
      <c r="K131" s="92" t="s">
        <v>1031</v>
      </c>
      <c r="L131" s="92" t="s">
        <v>1185</v>
      </c>
    </row>
    <row r="132" spans="1:13" ht="29" x14ac:dyDescent="0.35">
      <c r="A132" s="126">
        <v>711</v>
      </c>
      <c r="B132" s="73">
        <v>2161</v>
      </c>
      <c r="C132" s="73" t="s">
        <v>1186</v>
      </c>
      <c r="D132" s="75" t="s">
        <v>539</v>
      </c>
      <c r="E132" s="75" t="s">
        <v>540</v>
      </c>
      <c r="F132" s="75" t="s">
        <v>540</v>
      </c>
      <c r="G132" s="120" t="s">
        <v>1002</v>
      </c>
      <c r="H132" s="120">
        <v>5901</v>
      </c>
      <c r="I132" s="75" t="s">
        <v>1016</v>
      </c>
      <c r="J132" s="75"/>
      <c r="K132" s="92"/>
      <c r="L132" s="92" t="s">
        <v>1187</v>
      </c>
    </row>
    <row r="133" spans="1:13" ht="29" x14ac:dyDescent="0.35">
      <c r="A133" s="126">
        <v>712</v>
      </c>
      <c r="B133" s="73">
        <v>2162</v>
      </c>
      <c r="C133" s="73" t="s">
        <v>1188</v>
      </c>
      <c r="D133" s="75" t="s">
        <v>542</v>
      </c>
      <c r="E133" s="75" t="s">
        <v>543</v>
      </c>
      <c r="F133" s="75" t="s">
        <v>543</v>
      </c>
      <c r="G133" s="120" t="s">
        <v>1002</v>
      </c>
      <c r="H133" s="120">
        <v>5911</v>
      </c>
      <c r="I133" s="75" t="s">
        <v>1016</v>
      </c>
      <c r="J133" s="75"/>
      <c r="K133" s="92"/>
      <c r="L133" s="92" t="s">
        <v>1189</v>
      </c>
    </row>
    <row r="134" spans="1:13" ht="29" x14ac:dyDescent="0.35">
      <c r="A134" s="126">
        <v>713</v>
      </c>
      <c r="B134" s="73">
        <v>2163</v>
      </c>
      <c r="C134" s="73" t="s">
        <v>1190</v>
      </c>
      <c r="D134" s="75" t="s">
        <v>545</v>
      </c>
      <c r="E134" s="75" t="s">
        <v>546</v>
      </c>
      <c r="F134" s="75" t="s">
        <v>546</v>
      </c>
      <c r="G134" s="120" t="s">
        <v>1002</v>
      </c>
      <c r="H134" s="120">
        <v>5921</v>
      </c>
      <c r="I134" s="75" t="s">
        <v>1016</v>
      </c>
      <c r="J134" s="75"/>
      <c r="K134" s="92"/>
      <c r="L134" s="92" t="s">
        <v>1191</v>
      </c>
    </row>
    <row r="135" spans="1:13" ht="29" x14ac:dyDescent="0.35">
      <c r="A135" s="126">
        <v>714</v>
      </c>
      <c r="B135" s="73">
        <v>2164</v>
      </c>
      <c r="C135" s="73" t="s">
        <v>1192</v>
      </c>
      <c r="D135" s="75" t="s">
        <v>548</v>
      </c>
      <c r="E135" s="75" t="s">
        <v>549</v>
      </c>
      <c r="F135" s="75" t="s">
        <v>549</v>
      </c>
      <c r="G135" s="120" t="s">
        <v>1002</v>
      </c>
      <c r="H135" s="120">
        <v>6011</v>
      </c>
      <c r="I135" s="75" t="s">
        <v>1016</v>
      </c>
      <c r="J135" s="75"/>
      <c r="K135" s="92"/>
      <c r="L135" s="92" t="s">
        <v>1193</v>
      </c>
    </row>
    <row r="136" spans="1:13" ht="29" x14ac:dyDescent="0.35">
      <c r="A136" s="126">
        <v>715</v>
      </c>
      <c r="B136" s="73">
        <v>2165</v>
      </c>
      <c r="C136" s="73" t="s">
        <v>1194</v>
      </c>
      <c r="D136" s="75" t="s">
        <v>551</v>
      </c>
      <c r="E136" s="75" t="s">
        <v>552</v>
      </c>
      <c r="F136" s="75" t="s">
        <v>552</v>
      </c>
      <c r="G136" s="120" t="s">
        <v>1002</v>
      </c>
      <c r="H136" s="120">
        <v>6021</v>
      </c>
      <c r="I136" s="75" t="s">
        <v>1016</v>
      </c>
      <c r="J136" s="75"/>
      <c r="K136" s="92"/>
      <c r="L136" s="92" t="s">
        <v>1195</v>
      </c>
    </row>
    <row r="137" spans="1:13" ht="29" x14ac:dyDescent="0.35">
      <c r="A137" s="126">
        <v>716</v>
      </c>
      <c r="B137" s="73">
        <v>2166</v>
      </c>
      <c r="C137" s="73" t="s">
        <v>1196</v>
      </c>
      <c r="D137" s="75" t="s">
        <v>554</v>
      </c>
      <c r="E137" s="75" t="s">
        <v>555</v>
      </c>
      <c r="F137" s="75" t="s">
        <v>555</v>
      </c>
      <c r="G137" s="120" t="s">
        <v>1002</v>
      </c>
      <c r="H137" s="120">
        <v>6031</v>
      </c>
      <c r="I137" s="75" t="s">
        <v>1016</v>
      </c>
      <c r="J137" s="75"/>
      <c r="K137" s="92"/>
      <c r="L137" s="92" t="s">
        <v>1197</v>
      </c>
    </row>
    <row r="138" spans="1:13" ht="58" x14ac:dyDescent="0.35">
      <c r="A138" s="225">
        <v>1445</v>
      </c>
      <c r="B138" s="226">
        <v>2307</v>
      </c>
      <c r="C138" s="226">
        <v>60</v>
      </c>
      <c r="D138" s="227" t="s">
        <v>557</v>
      </c>
      <c r="E138" s="227" t="s">
        <v>558</v>
      </c>
      <c r="F138" s="227" t="s">
        <v>558</v>
      </c>
      <c r="G138" s="228" t="s">
        <v>1002</v>
      </c>
      <c r="H138" s="229">
        <v>6050</v>
      </c>
      <c r="I138" s="227" t="s">
        <v>1198</v>
      </c>
      <c r="J138" s="227"/>
      <c r="K138" s="230" t="s">
        <v>1199</v>
      </c>
      <c r="L138" s="230" t="s">
        <v>1200</v>
      </c>
      <c r="M138" s="100" t="s">
        <v>1201</v>
      </c>
    </row>
    <row r="139" spans="1:13" ht="29" x14ac:dyDescent="0.35">
      <c r="A139" s="126">
        <v>717</v>
      </c>
      <c r="B139" s="73">
        <v>2167</v>
      </c>
      <c r="C139" s="73" t="s">
        <v>1202</v>
      </c>
      <c r="D139" s="75" t="s">
        <v>562</v>
      </c>
      <c r="E139" s="75" t="s">
        <v>563</v>
      </c>
      <c r="F139" s="75" t="s">
        <v>563</v>
      </c>
      <c r="G139" s="120" t="s">
        <v>1002</v>
      </c>
      <c r="H139" s="120">
        <v>6101</v>
      </c>
      <c r="I139" s="75" t="s">
        <v>1016</v>
      </c>
      <c r="J139" s="75"/>
      <c r="K139" s="92" t="s">
        <v>1203</v>
      </c>
      <c r="L139" s="92" t="s">
        <v>1204</v>
      </c>
    </row>
    <row r="140" spans="1:13" ht="29" x14ac:dyDescent="0.35">
      <c r="A140" s="126">
        <v>718</v>
      </c>
      <c r="B140" s="73">
        <v>2168</v>
      </c>
      <c r="C140" s="73" t="s">
        <v>1205</v>
      </c>
      <c r="D140" s="75" t="s">
        <v>566</v>
      </c>
      <c r="E140" s="75" t="s">
        <v>567</v>
      </c>
      <c r="F140" s="75" t="s">
        <v>567</v>
      </c>
      <c r="G140" s="120" t="s">
        <v>1002</v>
      </c>
      <c r="H140" s="120">
        <v>6111</v>
      </c>
      <c r="I140" s="75" t="s">
        <v>1016</v>
      </c>
      <c r="J140" s="75"/>
      <c r="K140" s="92" t="s">
        <v>1206</v>
      </c>
      <c r="L140" s="92" t="s">
        <v>1207</v>
      </c>
    </row>
    <row r="141" spans="1:13" ht="29" x14ac:dyDescent="0.35">
      <c r="A141" s="126">
        <v>719</v>
      </c>
      <c r="B141" s="73">
        <v>2169</v>
      </c>
      <c r="C141" s="73" t="s">
        <v>1208</v>
      </c>
      <c r="D141" s="75" t="s">
        <v>569</v>
      </c>
      <c r="E141" s="75" t="s">
        <v>570</v>
      </c>
      <c r="F141" s="75" t="s">
        <v>570</v>
      </c>
      <c r="G141" s="120" t="s">
        <v>1002</v>
      </c>
      <c r="H141" s="120">
        <v>6121</v>
      </c>
      <c r="I141" s="75" t="s">
        <v>1016</v>
      </c>
      <c r="J141" s="75"/>
      <c r="K141" s="92" t="s">
        <v>1209</v>
      </c>
      <c r="L141" s="92" t="s">
        <v>1210</v>
      </c>
    </row>
    <row r="142" spans="1:13" ht="29" x14ac:dyDescent="0.35">
      <c r="A142" s="126">
        <v>720</v>
      </c>
      <c r="B142" s="73">
        <v>2170</v>
      </c>
      <c r="C142" s="73" t="s">
        <v>1211</v>
      </c>
      <c r="D142" s="75" t="s">
        <v>572</v>
      </c>
      <c r="E142" s="75" t="s">
        <v>573</v>
      </c>
      <c r="F142" s="75" t="s">
        <v>573</v>
      </c>
      <c r="G142" s="120" t="s">
        <v>1002</v>
      </c>
      <c r="H142" s="120">
        <v>6201</v>
      </c>
      <c r="I142" s="75" t="s">
        <v>1016</v>
      </c>
      <c r="J142" s="75"/>
      <c r="K142" s="92"/>
      <c r="L142" s="92" t="s">
        <v>1212</v>
      </c>
    </row>
    <row r="143" spans="1:13" ht="29" x14ac:dyDescent="0.35">
      <c r="A143" s="126">
        <v>721</v>
      </c>
      <c r="B143" s="73">
        <v>2171</v>
      </c>
      <c r="C143" s="73" t="s">
        <v>1213</v>
      </c>
      <c r="D143" s="75" t="s">
        <v>575</v>
      </c>
      <c r="E143" s="75" t="s">
        <v>576</v>
      </c>
      <c r="F143" s="75" t="s">
        <v>576</v>
      </c>
      <c r="G143" s="120" t="s">
        <v>1002</v>
      </c>
      <c r="H143" s="120">
        <v>6211</v>
      </c>
      <c r="I143" s="75" t="s">
        <v>1016</v>
      </c>
      <c r="J143" s="75"/>
      <c r="K143" s="92"/>
      <c r="L143" s="92" t="s">
        <v>1214</v>
      </c>
    </row>
    <row r="144" spans="1:13" ht="29" x14ac:dyDescent="0.35">
      <c r="A144" s="126">
        <v>722</v>
      </c>
      <c r="B144" s="73">
        <v>2172</v>
      </c>
      <c r="C144" s="73" t="s">
        <v>1215</v>
      </c>
      <c r="D144" s="75" t="s">
        <v>578</v>
      </c>
      <c r="E144" s="75" t="s">
        <v>579</v>
      </c>
      <c r="F144" s="75" t="s">
        <v>579</v>
      </c>
      <c r="G144" s="120" t="s">
        <v>1002</v>
      </c>
      <c r="H144" s="120">
        <v>6221</v>
      </c>
      <c r="I144" s="75" t="s">
        <v>1016</v>
      </c>
      <c r="J144" s="75"/>
      <c r="K144" s="92"/>
      <c r="L144" s="92" t="s">
        <v>1216</v>
      </c>
    </row>
    <row r="145" spans="1:13" ht="72.5" x14ac:dyDescent="0.35">
      <c r="A145" s="127">
        <v>961</v>
      </c>
      <c r="B145" s="73">
        <v>2173</v>
      </c>
      <c r="C145" s="73" t="s">
        <v>1217</v>
      </c>
      <c r="D145" s="75" t="s">
        <v>581</v>
      </c>
      <c r="E145" s="75" t="s">
        <v>582</v>
      </c>
      <c r="F145" s="75" t="s">
        <v>582</v>
      </c>
      <c r="G145" s="120" t="s">
        <v>1002</v>
      </c>
      <c r="H145" s="120">
        <v>6301</v>
      </c>
      <c r="I145" s="75" t="s">
        <v>1218</v>
      </c>
      <c r="J145" s="75"/>
      <c r="K145" s="92"/>
      <c r="L145" s="92" t="s">
        <v>1219</v>
      </c>
      <c r="M145" s="276" t="s">
        <v>1220</v>
      </c>
    </row>
    <row r="146" spans="1:13" ht="72.5" x14ac:dyDescent="0.35">
      <c r="A146" s="127">
        <v>962</v>
      </c>
      <c r="B146" s="73">
        <v>2174</v>
      </c>
      <c r="C146" s="73" t="s">
        <v>1221</v>
      </c>
      <c r="D146" s="75" t="s">
        <v>584</v>
      </c>
      <c r="E146" s="75" t="s">
        <v>585</v>
      </c>
      <c r="F146" s="75" t="s">
        <v>585</v>
      </c>
      <c r="G146" s="120" t="s">
        <v>1002</v>
      </c>
      <c r="H146" s="120">
        <v>6311</v>
      </c>
      <c r="I146" s="75" t="s">
        <v>1218</v>
      </c>
      <c r="J146" s="75"/>
      <c r="K146" s="92"/>
      <c r="L146" s="92" t="s">
        <v>1222</v>
      </c>
    </row>
    <row r="147" spans="1:13" ht="72.5" x14ac:dyDescent="0.35">
      <c r="A147" s="127">
        <v>963</v>
      </c>
      <c r="B147" s="73">
        <v>2175</v>
      </c>
      <c r="C147" s="73" t="s">
        <v>1223</v>
      </c>
      <c r="D147" s="75" t="s">
        <v>587</v>
      </c>
      <c r="E147" s="75" t="s">
        <v>588</v>
      </c>
      <c r="F147" s="75" t="s">
        <v>588</v>
      </c>
      <c r="G147" s="120" t="s">
        <v>1002</v>
      </c>
      <c r="H147" s="120">
        <v>6321</v>
      </c>
      <c r="I147" s="75" t="s">
        <v>1218</v>
      </c>
      <c r="J147" s="75"/>
      <c r="K147" s="92"/>
      <c r="L147" s="92" t="s">
        <v>1224</v>
      </c>
    </row>
    <row r="148" spans="1:13" ht="72.5" x14ac:dyDescent="0.35">
      <c r="A148" s="126">
        <v>964</v>
      </c>
      <c r="B148" s="73">
        <v>2176</v>
      </c>
      <c r="C148" s="73" t="s">
        <v>1225</v>
      </c>
      <c r="D148" s="75" t="s">
        <v>590</v>
      </c>
      <c r="E148" s="75" t="s">
        <v>591</v>
      </c>
      <c r="F148" s="75" t="s">
        <v>591</v>
      </c>
      <c r="G148" s="120" t="s">
        <v>1002</v>
      </c>
      <c r="H148" s="120">
        <v>6401</v>
      </c>
      <c r="I148" s="75" t="s">
        <v>1218</v>
      </c>
      <c r="J148" s="75"/>
      <c r="K148" s="92"/>
      <c r="L148" s="92" t="s">
        <v>1226</v>
      </c>
    </row>
    <row r="149" spans="1:13" ht="72.5" x14ac:dyDescent="0.35">
      <c r="A149" s="126">
        <v>965</v>
      </c>
      <c r="B149" s="73">
        <v>2177</v>
      </c>
      <c r="C149" s="73" t="s">
        <v>1227</v>
      </c>
      <c r="D149" s="75" t="s">
        <v>593</v>
      </c>
      <c r="E149" s="75" t="s">
        <v>594</v>
      </c>
      <c r="F149" s="75" t="s">
        <v>594</v>
      </c>
      <c r="G149" s="120" t="s">
        <v>1002</v>
      </c>
      <c r="H149" s="120">
        <v>6411</v>
      </c>
      <c r="I149" s="75" t="s">
        <v>1218</v>
      </c>
      <c r="J149" s="75"/>
      <c r="K149" s="92"/>
      <c r="L149" s="92" t="s">
        <v>1228</v>
      </c>
    </row>
    <row r="150" spans="1:13" ht="72.5" x14ac:dyDescent="0.35">
      <c r="A150" s="126">
        <v>966</v>
      </c>
      <c r="B150" s="73">
        <v>2178</v>
      </c>
      <c r="C150" s="73" t="s">
        <v>1229</v>
      </c>
      <c r="D150" s="75" t="s">
        <v>596</v>
      </c>
      <c r="E150" s="75" t="s">
        <v>597</v>
      </c>
      <c r="F150" s="75" t="s">
        <v>597</v>
      </c>
      <c r="G150" s="120" t="s">
        <v>1002</v>
      </c>
      <c r="H150" s="120">
        <v>6421</v>
      </c>
      <c r="I150" s="75" t="s">
        <v>1218</v>
      </c>
      <c r="J150" s="75"/>
      <c r="K150" s="92"/>
      <c r="L150" s="92" t="s">
        <v>1228</v>
      </c>
    </row>
    <row r="151" spans="1:13" ht="43.5" x14ac:dyDescent="0.35">
      <c r="A151" s="126">
        <v>967</v>
      </c>
      <c r="B151" s="73">
        <v>2179</v>
      </c>
      <c r="C151" s="73" t="s">
        <v>1230</v>
      </c>
      <c r="D151" s="75" t="s">
        <v>599</v>
      </c>
      <c r="E151" s="75" t="s">
        <v>600</v>
      </c>
      <c r="F151" s="75" t="s">
        <v>600</v>
      </c>
      <c r="G151" s="120" t="s">
        <v>1002</v>
      </c>
      <c r="H151" s="120">
        <v>6501</v>
      </c>
      <c r="I151" s="75" t="s">
        <v>1016</v>
      </c>
      <c r="J151" s="75" t="s">
        <v>601</v>
      </c>
      <c r="K151" s="92"/>
      <c r="L151" s="92" t="s">
        <v>1231</v>
      </c>
    </row>
    <row r="152" spans="1:13" ht="43.5" x14ac:dyDescent="0.35">
      <c r="A152" s="126">
        <v>968</v>
      </c>
      <c r="B152" s="73">
        <v>2180</v>
      </c>
      <c r="C152" s="73" t="s">
        <v>1232</v>
      </c>
      <c r="D152" s="75" t="s">
        <v>603</v>
      </c>
      <c r="E152" s="75" t="s">
        <v>604</v>
      </c>
      <c r="F152" s="75" t="s">
        <v>604</v>
      </c>
      <c r="G152" s="120" t="s">
        <v>1002</v>
      </c>
      <c r="H152" s="120">
        <v>6511</v>
      </c>
      <c r="I152" s="75" t="s">
        <v>1016</v>
      </c>
      <c r="J152" s="75" t="s">
        <v>601</v>
      </c>
      <c r="K152" s="92"/>
      <c r="L152" s="92" t="s">
        <v>1233</v>
      </c>
    </row>
    <row r="153" spans="1:13" ht="43.5" x14ac:dyDescent="0.35">
      <c r="A153" s="126">
        <v>969</v>
      </c>
      <c r="B153" s="73">
        <v>2181</v>
      </c>
      <c r="C153" s="73" t="s">
        <v>1234</v>
      </c>
      <c r="D153" s="75" t="s">
        <v>606</v>
      </c>
      <c r="E153" s="75" t="s">
        <v>607</v>
      </c>
      <c r="F153" s="75" t="s">
        <v>607</v>
      </c>
      <c r="G153" s="120" t="s">
        <v>1002</v>
      </c>
      <c r="H153" s="120">
        <v>6521</v>
      </c>
      <c r="I153" s="75" t="s">
        <v>1016</v>
      </c>
      <c r="J153" s="75" t="s">
        <v>601</v>
      </c>
      <c r="K153" s="92"/>
      <c r="L153" s="92" t="s">
        <v>1235</v>
      </c>
    </row>
    <row r="154" spans="1:13" ht="29" x14ac:dyDescent="0.35">
      <c r="A154" s="126">
        <v>723</v>
      </c>
      <c r="B154" s="73">
        <v>2182</v>
      </c>
      <c r="C154" s="73">
        <v>66</v>
      </c>
      <c r="D154" s="75" t="s">
        <v>609</v>
      </c>
      <c r="E154" s="75" t="s">
        <v>610</v>
      </c>
      <c r="F154" s="75" t="s">
        <v>610</v>
      </c>
      <c r="G154" s="120" t="s">
        <v>1002</v>
      </c>
      <c r="H154" s="120">
        <v>6601</v>
      </c>
      <c r="I154" s="75" t="s">
        <v>1006</v>
      </c>
      <c r="J154" s="75"/>
      <c r="K154" s="92" t="s">
        <v>1236</v>
      </c>
      <c r="L154" s="92" t="s">
        <v>1237</v>
      </c>
    </row>
    <row r="155" spans="1:13" ht="319" x14ac:dyDescent="0.35">
      <c r="A155" s="319">
        <v>724</v>
      </c>
      <c r="B155" s="313">
        <v>2310</v>
      </c>
      <c r="C155" s="320" t="s">
        <v>1238</v>
      </c>
      <c r="D155" s="314" t="s">
        <v>1239</v>
      </c>
      <c r="E155" s="314" t="s">
        <v>891</v>
      </c>
      <c r="F155" s="314" t="s">
        <v>891</v>
      </c>
      <c r="G155" s="320" t="s">
        <v>1002</v>
      </c>
      <c r="H155" s="320">
        <v>6701</v>
      </c>
      <c r="I155" s="278" t="s">
        <v>1240</v>
      </c>
      <c r="J155" s="278"/>
      <c r="K155" s="278" t="s">
        <v>1241</v>
      </c>
      <c r="L155" s="278" t="s">
        <v>1242</v>
      </c>
      <c r="M155" s="321" t="s">
        <v>1243</v>
      </c>
    </row>
    <row r="156" spans="1:13" ht="29" x14ac:dyDescent="0.35">
      <c r="A156" s="322">
        <v>725</v>
      </c>
      <c r="B156" s="122">
        <v>2184</v>
      </c>
      <c r="C156" s="122">
        <v>67</v>
      </c>
      <c r="D156" s="123" t="s">
        <v>616</v>
      </c>
      <c r="E156" s="123" t="s">
        <v>617</v>
      </c>
      <c r="F156" s="123" t="s">
        <v>617</v>
      </c>
      <c r="G156" s="323" t="s">
        <v>1002</v>
      </c>
      <c r="H156" s="323">
        <v>6702</v>
      </c>
      <c r="I156" s="123" t="s">
        <v>1016</v>
      </c>
      <c r="J156" s="123"/>
      <c r="K156" s="324"/>
      <c r="L156" s="324" t="s">
        <v>1244</v>
      </c>
      <c r="M156" s="321" t="s">
        <v>1243</v>
      </c>
    </row>
    <row r="157" spans="1:13" ht="29" x14ac:dyDescent="0.35">
      <c r="A157" s="322">
        <v>726</v>
      </c>
      <c r="B157" s="122">
        <v>2185</v>
      </c>
      <c r="C157" s="122" t="s">
        <v>1245</v>
      </c>
      <c r="D157" s="123" t="s">
        <v>620</v>
      </c>
      <c r="E157" s="123" t="s">
        <v>621</v>
      </c>
      <c r="F157" s="123" t="s">
        <v>621</v>
      </c>
      <c r="G157" s="323" t="s">
        <v>1002</v>
      </c>
      <c r="H157" s="323">
        <v>6711</v>
      </c>
      <c r="I157" s="123" t="s">
        <v>1016</v>
      </c>
      <c r="J157" s="123"/>
      <c r="K157" s="324"/>
      <c r="L157" s="324" t="s">
        <v>1246</v>
      </c>
      <c r="M157" s="321" t="s">
        <v>1243</v>
      </c>
    </row>
    <row r="158" spans="1:13" ht="29" x14ac:dyDescent="0.35">
      <c r="A158" s="322">
        <v>727</v>
      </c>
      <c r="B158" s="122">
        <v>2186</v>
      </c>
      <c r="C158" s="122" t="s">
        <v>1245</v>
      </c>
      <c r="D158" s="123" t="s">
        <v>622</v>
      </c>
      <c r="E158" s="123" t="s">
        <v>623</v>
      </c>
      <c r="F158" s="123" t="s">
        <v>623</v>
      </c>
      <c r="G158" s="323" t="s">
        <v>1002</v>
      </c>
      <c r="H158" s="323">
        <v>6712</v>
      </c>
      <c r="I158" s="123" t="s">
        <v>1016</v>
      </c>
      <c r="J158" s="123"/>
      <c r="K158" s="324"/>
      <c r="L158" s="324" t="s">
        <v>1247</v>
      </c>
      <c r="M158" s="321" t="s">
        <v>1243</v>
      </c>
    </row>
    <row r="159" spans="1:13" ht="29" x14ac:dyDescent="0.35">
      <c r="A159" s="322">
        <v>728</v>
      </c>
      <c r="B159" s="122">
        <v>2187</v>
      </c>
      <c r="C159" s="122" t="s">
        <v>1248</v>
      </c>
      <c r="D159" s="123" t="s">
        <v>625</v>
      </c>
      <c r="E159" s="123" t="s">
        <v>626</v>
      </c>
      <c r="F159" s="123" t="s">
        <v>626</v>
      </c>
      <c r="G159" s="323" t="s">
        <v>1002</v>
      </c>
      <c r="H159" s="323">
        <v>6715</v>
      </c>
      <c r="I159" s="123" t="s">
        <v>1016</v>
      </c>
      <c r="J159" s="123"/>
      <c r="K159" s="324"/>
      <c r="L159" s="324" t="s">
        <v>1249</v>
      </c>
      <c r="M159" s="321" t="s">
        <v>1243</v>
      </c>
    </row>
    <row r="160" spans="1:13" ht="29" x14ac:dyDescent="0.35">
      <c r="A160" s="322">
        <v>729</v>
      </c>
      <c r="B160" s="122">
        <v>2188</v>
      </c>
      <c r="C160" s="122" t="s">
        <v>1248</v>
      </c>
      <c r="D160" s="123" t="s">
        <v>627</v>
      </c>
      <c r="E160" s="123" t="s">
        <v>628</v>
      </c>
      <c r="F160" s="123" t="s">
        <v>628</v>
      </c>
      <c r="G160" s="323" t="s">
        <v>1002</v>
      </c>
      <c r="H160" s="323">
        <v>6716</v>
      </c>
      <c r="I160" s="123" t="s">
        <v>1016</v>
      </c>
      <c r="J160" s="123"/>
      <c r="K160" s="324"/>
      <c r="L160" s="324" t="s">
        <v>1250</v>
      </c>
      <c r="M160" s="321" t="s">
        <v>1243</v>
      </c>
    </row>
    <row r="161" spans="1:13" ht="29" x14ac:dyDescent="0.35">
      <c r="A161" s="322">
        <v>730</v>
      </c>
      <c r="B161" s="122">
        <v>2189</v>
      </c>
      <c r="C161" s="122" t="s">
        <v>1251</v>
      </c>
      <c r="D161" s="123" t="s">
        <v>630</v>
      </c>
      <c r="E161" s="123" t="s">
        <v>631</v>
      </c>
      <c r="F161" s="123" t="s">
        <v>631</v>
      </c>
      <c r="G161" s="323" t="s">
        <v>1002</v>
      </c>
      <c r="H161" s="323">
        <v>6721</v>
      </c>
      <c r="I161" s="123" t="s">
        <v>1016</v>
      </c>
      <c r="J161" s="123"/>
      <c r="K161" s="324"/>
      <c r="L161" s="324" t="s">
        <v>1252</v>
      </c>
      <c r="M161" s="321" t="s">
        <v>1243</v>
      </c>
    </row>
    <row r="162" spans="1:13" ht="29" x14ac:dyDescent="0.35">
      <c r="A162" s="322">
        <v>731</v>
      </c>
      <c r="B162" s="122">
        <v>2190</v>
      </c>
      <c r="C162" s="122" t="s">
        <v>1251</v>
      </c>
      <c r="D162" s="123" t="s">
        <v>632</v>
      </c>
      <c r="E162" s="123" t="s">
        <v>633</v>
      </c>
      <c r="F162" s="123" t="s">
        <v>633</v>
      </c>
      <c r="G162" s="323" t="s">
        <v>1002</v>
      </c>
      <c r="H162" s="323">
        <v>6722</v>
      </c>
      <c r="I162" s="123" t="s">
        <v>1016</v>
      </c>
      <c r="J162" s="123"/>
      <c r="K162" s="324"/>
      <c r="L162" s="324" t="s">
        <v>1253</v>
      </c>
      <c r="M162" s="321" t="s">
        <v>1243</v>
      </c>
    </row>
    <row r="163" spans="1:13" ht="29" x14ac:dyDescent="0.35">
      <c r="A163" s="322">
        <v>732</v>
      </c>
      <c r="B163" s="122">
        <v>2191</v>
      </c>
      <c r="C163" s="122" t="s">
        <v>1254</v>
      </c>
      <c r="D163" s="123" t="s">
        <v>635</v>
      </c>
      <c r="E163" s="123" t="s">
        <v>636</v>
      </c>
      <c r="F163" s="123" t="s">
        <v>636</v>
      </c>
      <c r="G163" s="323" t="s">
        <v>1002</v>
      </c>
      <c r="H163" s="323">
        <v>6725</v>
      </c>
      <c r="I163" s="123" t="s">
        <v>1016</v>
      </c>
      <c r="J163" s="123"/>
      <c r="K163" s="324"/>
      <c r="L163" s="324" t="s">
        <v>1255</v>
      </c>
      <c r="M163" s="321" t="s">
        <v>1243</v>
      </c>
    </row>
    <row r="164" spans="1:13" ht="29" x14ac:dyDescent="0.35">
      <c r="A164" s="322">
        <v>733</v>
      </c>
      <c r="B164" s="122">
        <v>2192</v>
      </c>
      <c r="C164" s="122" t="s">
        <v>1254</v>
      </c>
      <c r="D164" s="123" t="s">
        <v>637</v>
      </c>
      <c r="E164" s="123" t="s">
        <v>638</v>
      </c>
      <c r="F164" s="123" t="s">
        <v>638</v>
      </c>
      <c r="G164" s="323" t="s">
        <v>1002</v>
      </c>
      <c r="H164" s="323">
        <v>6726</v>
      </c>
      <c r="I164" s="123" t="s">
        <v>1016</v>
      </c>
      <c r="J164" s="123"/>
      <c r="K164" s="324"/>
      <c r="L164" s="324" t="s">
        <v>1256</v>
      </c>
      <c r="M164" s="321" t="s">
        <v>1243</v>
      </c>
    </row>
    <row r="165" spans="1:13" ht="29" x14ac:dyDescent="0.35">
      <c r="A165" s="322">
        <v>734</v>
      </c>
      <c r="B165" s="122">
        <v>2193</v>
      </c>
      <c r="C165" s="122" t="s">
        <v>1257</v>
      </c>
      <c r="D165" s="123" t="s">
        <v>640</v>
      </c>
      <c r="E165" s="123" t="s">
        <v>641</v>
      </c>
      <c r="F165" s="123" t="s">
        <v>641</v>
      </c>
      <c r="G165" s="323" t="s">
        <v>1002</v>
      </c>
      <c r="H165" s="323">
        <v>6731</v>
      </c>
      <c r="I165" s="123" t="s">
        <v>1016</v>
      </c>
      <c r="J165" s="123"/>
      <c r="K165" s="324"/>
      <c r="L165" s="324" t="s">
        <v>1258</v>
      </c>
      <c r="M165" s="321" t="s">
        <v>1243</v>
      </c>
    </row>
    <row r="166" spans="1:13" ht="29" x14ac:dyDescent="0.35">
      <c r="A166" s="322">
        <v>735</v>
      </c>
      <c r="B166" s="122">
        <v>2194</v>
      </c>
      <c r="C166" s="122" t="s">
        <v>1257</v>
      </c>
      <c r="D166" s="123" t="s">
        <v>642</v>
      </c>
      <c r="E166" s="123" t="s">
        <v>643</v>
      </c>
      <c r="F166" s="123" t="s">
        <v>643</v>
      </c>
      <c r="G166" s="323" t="s">
        <v>1002</v>
      </c>
      <c r="H166" s="323">
        <v>6732</v>
      </c>
      <c r="I166" s="123" t="s">
        <v>1016</v>
      </c>
      <c r="J166" s="123"/>
      <c r="K166" s="324"/>
      <c r="L166" s="324" t="s">
        <v>1259</v>
      </c>
      <c r="M166" s="321" t="s">
        <v>1243</v>
      </c>
    </row>
    <row r="167" spans="1:13" ht="29" x14ac:dyDescent="0.35">
      <c r="A167" s="322">
        <v>736</v>
      </c>
      <c r="B167" s="122">
        <v>2195</v>
      </c>
      <c r="C167" s="122" t="s">
        <v>1260</v>
      </c>
      <c r="D167" s="123" t="s">
        <v>645</v>
      </c>
      <c r="E167" s="123" t="s">
        <v>646</v>
      </c>
      <c r="F167" s="123" t="s">
        <v>646</v>
      </c>
      <c r="G167" s="323" t="s">
        <v>1002</v>
      </c>
      <c r="H167" s="323">
        <v>6735</v>
      </c>
      <c r="I167" s="123" t="s">
        <v>1016</v>
      </c>
      <c r="J167" s="123"/>
      <c r="K167" s="324"/>
      <c r="L167" s="324" t="s">
        <v>1261</v>
      </c>
      <c r="M167" s="321" t="s">
        <v>1243</v>
      </c>
    </row>
    <row r="168" spans="1:13" ht="29" x14ac:dyDescent="0.35">
      <c r="A168" s="322">
        <v>737</v>
      </c>
      <c r="B168" s="122">
        <v>2196</v>
      </c>
      <c r="C168" s="122" t="s">
        <v>1260</v>
      </c>
      <c r="D168" s="123" t="s">
        <v>647</v>
      </c>
      <c r="E168" s="123" t="s">
        <v>648</v>
      </c>
      <c r="F168" s="123" t="s">
        <v>648</v>
      </c>
      <c r="G168" s="323" t="s">
        <v>1002</v>
      </c>
      <c r="H168" s="323">
        <v>6736</v>
      </c>
      <c r="I168" s="123" t="s">
        <v>1016</v>
      </c>
      <c r="J168" s="123"/>
      <c r="K168" s="324"/>
      <c r="L168" s="324" t="s">
        <v>1262</v>
      </c>
      <c r="M168" s="321" t="s">
        <v>1243</v>
      </c>
    </row>
    <row r="169" spans="1:13" ht="29" x14ac:dyDescent="0.35">
      <c r="A169" s="322">
        <v>738</v>
      </c>
      <c r="B169" s="122">
        <v>2197</v>
      </c>
      <c r="C169" s="122" t="s">
        <v>1263</v>
      </c>
      <c r="D169" s="123" t="s">
        <v>650</v>
      </c>
      <c r="E169" s="123" t="s">
        <v>651</v>
      </c>
      <c r="F169" s="123" t="s">
        <v>651</v>
      </c>
      <c r="G169" s="323" t="s">
        <v>1002</v>
      </c>
      <c r="H169" s="323">
        <v>6741</v>
      </c>
      <c r="I169" s="123" t="s">
        <v>1016</v>
      </c>
      <c r="J169" s="123"/>
      <c r="K169" s="324"/>
      <c r="L169" s="324" t="s">
        <v>1264</v>
      </c>
      <c r="M169" s="321" t="s">
        <v>1243</v>
      </c>
    </row>
    <row r="170" spans="1:13" ht="29" x14ac:dyDescent="0.35">
      <c r="A170" s="322">
        <v>739</v>
      </c>
      <c r="B170" s="122">
        <v>2198</v>
      </c>
      <c r="C170" s="122" t="s">
        <v>1263</v>
      </c>
      <c r="D170" s="123" t="s">
        <v>652</v>
      </c>
      <c r="E170" s="123" t="s">
        <v>653</v>
      </c>
      <c r="F170" s="123" t="s">
        <v>653</v>
      </c>
      <c r="G170" s="323" t="s">
        <v>1002</v>
      </c>
      <c r="H170" s="323">
        <v>6742</v>
      </c>
      <c r="I170" s="123" t="s">
        <v>1016</v>
      </c>
      <c r="J170" s="123"/>
      <c r="K170" s="324"/>
      <c r="L170" s="324" t="s">
        <v>1265</v>
      </c>
      <c r="M170" s="321" t="s">
        <v>1243</v>
      </c>
    </row>
    <row r="171" spans="1:13" ht="29" x14ac:dyDescent="0.35">
      <c r="A171" s="322">
        <v>740</v>
      </c>
      <c r="B171" s="122">
        <v>2199</v>
      </c>
      <c r="C171" s="122" t="s">
        <v>1266</v>
      </c>
      <c r="D171" s="123" t="s">
        <v>655</v>
      </c>
      <c r="E171" s="123" t="s">
        <v>656</v>
      </c>
      <c r="F171" s="123" t="s">
        <v>656</v>
      </c>
      <c r="G171" s="323" t="s">
        <v>1002</v>
      </c>
      <c r="H171" s="323">
        <v>6745</v>
      </c>
      <c r="I171" s="123" t="s">
        <v>1016</v>
      </c>
      <c r="J171" s="123"/>
      <c r="K171" s="324"/>
      <c r="L171" s="324" t="s">
        <v>1267</v>
      </c>
      <c r="M171" s="321" t="s">
        <v>1243</v>
      </c>
    </row>
    <row r="172" spans="1:13" ht="29" x14ac:dyDescent="0.35">
      <c r="A172" s="322">
        <v>741</v>
      </c>
      <c r="B172" s="122">
        <v>2200</v>
      </c>
      <c r="C172" s="122" t="s">
        <v>1266</v>
      </c>
      <c r="D172" s="123" t="s">
        <v>657</v>
      </c>
      <c r="E172" s="123" t="s">
        <v>658</v>
      </c>
      <c r="F172" s="123" t="s">
        <v>658</v>
      </c>
      <c r="G172" s="323" t="s">
        <v>1002</v>
      </c>
      <c r="H172" s="323">
        <v>6756</v>
      </c>
      <c r="I172" s="123" t="s">
        <v>1016</v>
      </c>
      <c r="J172" s="123"/>
      <c r="K172" s="324"/>
      <c r="L172" s="324" t="s">
        <v>1268</v>
      </c>
      <c r="M172" s="321" t="s">
        <v>1243</v>
      </c>
    </row>
    <row r="173" spans="1:13" ht="29" x14ac:dyDescent="0.35">
      <c r="A173" s="322">
        <v>742</v>
      </c>
      <c r="B173" s="122">
        <v>2201</v>
      </c>
      <c r="C173" s="122" t="s">
        <v>1269</v>
      </c>
      <c r="D173" s="123" t="s">
        <v>660</v>
      </c>
      <c r="E173" s="123" t="s">
        <v>661</v>
      </c>
      <c r="F173" s="123" t="s">
        <v>661</v>
      </c>
      <c r="G173" s="323" t="s">
        <v>1002</v>
      </c>
      <c r="H173" s="323">
        <v>6751</v>
      </c>
      <c r="I173" s="123" t="s">
        <v>1016</v>
      </c>
      <c r="J173" s="123"/>
      <c r="K173" s="324"/>
      <c r="L173" s="324" t="s">
        <v>1270</v>
      </c>
      <c r="M173" s="321" t="s">
        <v>1243</v>
      </c>
    </row>
    <row r="174" spans="1:13" ht="29" x14ac:dyDescent="0.35">
      <c r="A174" s="322">
        <v>743</v>
      </c>
      <c r="B174" s="122">
        <v>2202</v>
      </c>
      <c r="C174" s="122" t="s">
        <v>1269</v>
      </c>
      <c r="D174" s="123" t="s">
        <v>663</v>
      </c>
      <c r="E174" s="123" t="s">
        <v>664</v>
      </c>
      <c r="F174" s="123" t="s">
        <v>664</v>
      </c>
      <c r="G174" s="323" t="s">
        <v>1002</v>
      </c>
      <c r="H174" s="323">
        <v>6752</v>
      </c>
      <c r="I174" s="123" t="s">
        <v>1016</v>
      </c>
      <c r="J174" s="123"/>
      <c r="K174" s="324"/>
      <c r="L174" s="324" t="s">
        <v>1271</v>
      </c>
      <c r="M174" s="321" t="s">
        <v>1243</v>
      </c>
    </row>
    <row r="175" spans="1:13" ht="29" x14ac:dyDescent="0.35">
      <c r="A175" s="322">
        <v>744</v>
      </c>
      <c r="B175" s="122">
        <v>2203</v>
      </c>
      <c r="C175" s="122" t="s">
        <v>1272</v>
      </c>
      <c r="D175" s="123" t="s">
        <v>667</v>
      </c>
      <c r="E175" s="123" t="s">
        <v>668</v>
      </c>
      <c r="F175" s="123" t="s">
        <v>668</v>
      </c>
      <c r="G175" s="323" t="s">
        <v>1002</v>
      </c>
      <c r="H175" s="323">
        <v>6755</v>
      </c>
      <c r="I175" s="123" t="s">
        <v>1016</v>
      </c>
      <c r="J175" s="123"/>
      <c r="K175" s="324"/>
      <c r="L175" s="324" t="s">
        <v>1273</v>
      </c>
      <c r="M175" s="321" t="s">
        <v>1243</v>
      </c>
    </row>
    <row r="176" spans="1:13" ht="29" x14ac:dyDescent="0.35">
      <c r="A176" s="322">
        <v>745</v>
      </c>
      <c r="B176" s="122">
        <v>2204</v>
      </c>
      <c r="C176" s="122" t="s">
        <v>1272</v>
      </c>
      <c r="D176" s="123" t="s">
        <v>670</v>
      </c>
      <c r="E176" s="123" t="s">
        <v>671</v>
      </c>
      <c r="F176" s="123" t="s">
        <v>671</v>
      </c>
      <c r="G176" s="323" t="s">
        <v>1002</v>
      </c>
      <c r="H176" s="323">
        <v>6756</v>
      </c>
      <c r="I176" s="123" t="s">
        <v>1016</v>
      </c>
      <c r="J176" s="123"/>
      <c r="K176" s="324"/>
      <c r="L176" s="324" t="s">
        <v>1274</v>
      </c>
      <c r="M176" s="321" t="s">
        <v>1243</v>
      </c>
    </row>
    <row r="177" spans="1:13" ht="29" x14ac:dyDescent="0.35">
      <c r="A177" s="322">
        <v>746</v>
      </c>
      <c r="B177" s="122">
        <v>2205</v>
      </c>
      <c r="C177" s="122" t="s">
        <v>1275</v>
      </c>
      <c r="D177" s="123" t="s">
        <v>674</v>
      </c>
      <c r="E177" s="123" t="s">
        <v>675</v>
      </c>
      <c r="F177" s="123" t="s">
        <v>675</v>
      </c>
      <c r="G177" s="323" t="s">
        <v>1002</v>
      </c>
      <c r="H177" s="323">
        <v>6761</v>
      </c>
      <c r="I177" s="123" t="s">
        <v>1016</v>
      </c>
      <c r="J177" s="123"/>
      <c r="K177" s="324"/>
      <c r="L177" s="324" t="s">
        <v>1276</v>
      </c>
      <c r="M177" s="321" t="s">
        <v>1243</v>
      </c>
    </row>
    <row r="178" spans="1:13" ht="29" x14ac:dyDescent="0.35">
      <c r="A178" s="322">
        <v>747</v>
      </c>
      <c r="B178" s="122">
        <v>2206</v>
      </c>
      <c r="C178" s="122" t="s">
        <v>1275</v>
      </c>
      <c r="D178" s="123" t="s">
        <v>677</v>
      </c>
      <c r="E178" s="123" t="s">
        <v>678</v>
      </c>
      <c r="F178" s="123" t="s">
        <v>678</v>
      </c>
      <c r="G178" s="323" t="s">
        <v>1002</v>
      </c>
      <c r="H178" s="323">
        <v>6762</v>
      </c>
      <c r="I178" s="123" t="s">
        <v>1016</v>
      </c>
      <c r="J178" s="123"/>
      <c r="K178" s="324"/>
      <c r="L178" s="324" t="s">
        <v>1277</v>
      </c>
      <c r="M178" s="321" t="s">
        <v>1243</v>
      </c>
    </row>
    <row r="179" spans="1:13" ht="29" x14ac:dyDescent="0.35">
      <c r="A179" s="322">
        <v>748</v>
      </c>
      <c r="B179" s="122">
        <v>2207</v>
      </c>
      <c r="C179" s="122" t="s">
        <v>1278</v>
      </c>
      <c r="D179" s="123" t="s">
        <v>681</v>
      </c>
      <c r="E179" s="123" t="s">
        <v>682</v>
      </c>
      <c r="F179" s="123" t="s">
        <v>682</v>
      </c>
      <c r="G179" s="323" t="s">
        <v>1002</v>
      </c>
      <c r="H179" s="323">
        <v>6765</v>
      </c>
      <c r="I179" s="123" t="s">
        <v>1016</v>
      </c>
      <c r="J179" s="123"/>
      <c r="K179" s="324"/>
      <c r="L179" s="324" t="s">
        <v>1279</v>
      </c>
      <c r="M179" s="321" t="s">
        <v>1243</v>
      </c>
    </row>
    <row r="180" spans="1:13" ht="29" x14ac:dyDescent="0.35">
      <c r="A180" s="322">
        <v>749</v>
      </c>
      <c r="B180" s="122">
        <v>2208</v>
      </c>
      <c r="C180" s="122" t="s">
        <v>1278</v>
      </c>
      <c r="D180" s="123" t="s">
        <v>684</v>
      </c>
      <c r="E180" s="123" t="s">
        <v>685</v>
      </c>
      <c r="F180" s="123" t="s">
        <v>685</v>
      </c>
      <c r="G180" s="323" t="s">
        <v>1002</v>
      </c>
      <c r="H180" s="323">
        <v>6766</v>
      </c>
      <c r="I180" s="123" t="s">
        <v>1016</v>
      </c>
      <c r="J180" s="123"/>
      <c r="K180" s="324"/>
      <c r="L180" s="324" t="s">
        <v>1280</v>
      </c>
      <c r="M180" s="321" t="s">
        <v>1243</v>
      </c>
    </row>
    <row r="181" spans="1:13" ht="29" x14ac:dyDescent="0.35">
      <c r="A181" s="322">
        <v>750</v>
      </c>
      <c r="B181" s="122">
        <v>2209</v>
      </c>
      <c r="C181" s="122" t="s">
        <v>1281</v>
      </c>
      <c r="D181" s="123" t="s">
        <v>688</v>
      </c>
      <c r="E181" s="123" t="s">
        <v>689</v>
      </c>
      <c r="F181" s="123" t="s">
        <v>689</v>
      </c>
      <c r="G181" s="323" t="s">
        <v>1002</v>
      </c>
      <c r="H181" s="323">
        <v>6771</v>
      </c>
      <c r="I181" s="123" t="s">
        <v>1016</v>
      </c>
      <c r="J181" s="123"/>
      <c r="K181" s="324"/>
      <c r="L181" s="324" t="s">
        <v>1282</v>
      </c>
      <c r="M181" s="321" t="s">
        <v>1243</v>
      </c>
    </row>
    <row r="182" spans="1:13" ht="29" x14ac:dyDescent="0.35">
      <c r="A182" s="322">
        <v>751</v>
      </c>
      <c r="B182" s="122">
        <v>2210</v>
      </c>
      <c r="C182" s="122" t="s">
        <v>1281</v>
      </c>
      <c r="D182" s="123" t="s">
        <v>684</v>
      </c>
      <c r="E182" s="123" t="s">
        <v>691</v>
      </c>
      <c r="F182" s="123" t="s">
        <v>691</v>
      </c>
      <c r="G182" s="323" t="s">
        <v>1002</v>
      </c>
      <c r="H182" s="323">
        <v>6772</v>
      </c>
      <c r="I182" s="123" t="s">
        <v>1016</v>
      </c>
      <c r="J182" s="123"/>
      <c r="K182" s="324"/>
      <c r="L182" s="324" t="s">
        <v>1283</v>
      </c>
      <c r="M182" s="321" t="s">
        <v>1243</v>
      </c>
    </row>
    <row r="183" spans="1:13" ht="29" x14ac:dyDescent="0.35">
      <c r="A183" s="322">
        <v>752</v>
      </c>
      <c r="B183" s="122">
        <v>2211</v>
      </c>
      <c r="C183" s="122" t="s">
        <v>1284</v>
      </c>
      <c r="D183" s="123" t="s">
        <v>694</v>
      </c>
      <c r="E183" s="123" t="s">
        <v>695</v>
      </c>
      <c r="F183" s="123" t="s">
        <v>695</v>
      </c>
      <c r="G183" s="323" t="s">
        <v>1002</v>
      </c>
      <c r="H183" s="323">
        <v>6775</v>
      </c>
      <c r="I183" s="123" t="s">
        <v>1016</v>
      </c>
      <c r="J183" s="123"/>
      <c r="K183" s="324"/>
      <c r="L183" s="324" t="s">
        <v>1285</v>
      </c>
      <c r="M183" s="321" t="s">
        <v>1243</v>
      </c>
    </row>
    <row r="184" spans="1:13" ht="29" x14ac:dyDescent="0.35">
      <c r="A184" s="322">
        <v>753</v>
      </c>
      <c r="B184" s="122">
        <v>2212</v>
      </c>
      <c r="C184" s="122" t="s">
        <v>1284</v>
      </c>
      <c r="D184" s="123" t="s">
        <v>697</v>
      </c>
      <c r="E184" s="123" t="s">
        <v>698</v>
      </c>
      <c r="F184" s="123" t="s">
        <v>698</v>
      </c>
      <c r="G184" s="323" t="s">
        <v>1002</v>
      </c>
      <c r="H184" s="323">
        <v>6776</v>
      </c>
      <c r="I184" s="123" t="s">
        <v>1016</v>
      </c>
      <c r="J184" s="123"/>
      <c r="K184" s="324"/>
      <c r="L184" s="324" t="s">
        <v>1286</v>
      </c>
      <c r="M184" s="321" t="s">
        <v>1243</v>
      </c>
    </row>
    <row r="185" spans="1:13" ht="29" x14ac:dyDescent="0.35">
      <c r="A185" s="322">
        <v>754</v>
      </c>
      <c r="B185" s="122">
        <v>2213</v>
      </c>
      <c r="C185" s="122" t="s">
        <v>1287</v>
      </c>
      <c r="D185" s="123" t="s">
        <v>701</v>
      </c>
      <c r="E185" s="123" t="s">
        <v>702</v>
      </c>
      <c r="F185" s="123" t="s">
        <v>702</v>
      </c>
      <c r="G185" s="323" t="s">
        <v>1002</v>
      </c>
      <c r="H185" s="323">
        <v>6781</v>
      </c>
      <c r="I185" s="123" t="s">
        <v>1016</v>
      </c>
      <c r="J185" s="123"/>
      <c r="K185" s="324"/>
      <c r="L185" s="324" t="s">
        <v>1288</v>
      </c>
      <c r="M185" s="321" t="s">
        <v>1243</v>
      </c>
    </row>
    <row r="186" spans="1:13" ht="29" x14ac:dyDescent="0.35">
      <c r="A186" s="322">
        <v>755</v>
      </c>
      <c r="B186" s="122">
        <v>2214</v>
      </c>
      <c r="C186" s="122" t="s">
        <v>1287</v>
      </c>
      <c r="D186" s="123" t="s">
        <v>704</v>
      </c>
      <c r="E186" s="123" t="s">
        <v>705</v>
      </c>
      <c r="F186" s="123" t="s">
        <v>705</v>
      </c>
      <c r="G186" s="323" t="s">
        <v>1002</v>
      </c>
      <c r="H186" s="323">
        <v>6782</v>
      </c>
      <c r="I186" s="123" t="s">
        <v>1016</v>
      </c>
      <c r="J186" s="123"/>
      <c r="K186" s="324"/>
      <c r="L186" s="324" t="s">
        <v>1289</v>
      </c>
      <c r="M186" s="321" t="s">
        <v>1243</v>
      </c>
    </row>
    <row r="187" spans="1:13" ht="29" x14ac:dyDescent="0.35">
      <c r="A187" s="322">
        <v>756</v>
      </c>
      <c r="B187" s="122">
        <v>2215</v>
      </c>
      <c r="C187" s="122" t="s">
        <v>1290</v>
      </c>
      <c r="D187" s="123" t="s">
        <v>708</v>
      </c>
      <c r="E187" s="123" t="s">
        <v>709</v>
      </c>
      <c r="F187" s="123" t="s">
        <v>709</v>
      </c>
      <c r="G187" s="323" t="s">
        <v>1002</v>
      </c>
      <c r="H187" s="323">
        <v>6785</v>
      </c>
      <c r="I187" s="123" t="s">
        <v>1016</v>
      </c>
      <c r="J187" s="123"/>
      <c r="K187" s="324"/>
      <c r="L187" s="324" t="s">
        <v>1291</v>
      </c>
      <c r="M187" s="321" t="s">
        <v>1243</v>
      </c>
    </row>
    <row r="188" spans="1:13" ht="29" x14ac:dyDescent="0.35">
      <c r="A188" s="322">
        <v>757</v>
      </c>
      <c r="B188" s="122">
        <v>2216</v>
      </c>
      <c r="C188" s="122" t="s">
        <v>1290</v>
      </c>
      <c r="D188" s="123" t="s">
        <v>711</v>
      </c>
      <c r="E188" s="123" t="s">
        <v>712</v>
      </c>
      <c r="F188" s="123" t="s">
        <v>712</v>
      </c>
      <c r="G188" s="323" t="s">
        <v>1002</v>
      </c>
      <c r="H188" s="323">
        <v>6786</v>
      </c>
      <c r="I188" s="123" t="s">
        <v>1016</v>
      </c>
      <c r="J188" s="123"/>
      <c r="K188" s="324"/>
      <c r="L188" s="324" t="s">
        <v>1292</v>
      </c>
      <c r="M188" s="321" t="s">
        <v>1243</v>
      </c>
    </row>
    <row r="189" spans="1:13" ht="29" x14ac:dyDescent="0.35">
      <c r="A189" s="322">
        <v>758</v>
      </c>
      <c r="B189" s="122">
        <v>2217</v>
      </c>
      <c r="C189" s="122" t="s">
        <v>1293</v>
      </c>
      <c r="D189" s="123" t="s">
        <v>715</v>
      </c>
      <c r="E189" s="123" t="s">
        <v>716</v>
      </c>
      <c r="F189" s="123" t="s">
        <v>716</v>
      </c>
      <c r="G189" s="323" t="s">
        <v>1002</v>
      </c>
      <c r="H189" s="323">
        <v>6791</v>
      </c>
      <c r="I189" s="123" t="s">
        <v>1016</v>
      </c>
      <c r="J189" s="123"/>
      <c r="K189" s="324"/>
      <c r="L189" s="324" t="s">
        <v>1294</v>
      </c>
      <c r="M189" s="321" t="s">
        <v>1243</v>
      </c>
    </row>
    <row r="190" spans="1:13" ht="29" x14ac:dyDescent="0.35">
      <c r="A190" s="322">
        <v>759</v>
      </c>
      <c r="B190" s="122">
        <v>2218</v>
      </c>
      <c r="C190" s="122" t="s">
        <v>1293</v>
      </c>
      <c r="D190" s="123" t="s">
        <v>718</v>
      </c>
      <c r="E190" s="123" t="s">
        <v>719</v>
      </c>
      <c r="F190" s="123" t="s">
        <v>719</v>
      </c>
      <c r="G190" s="323" t="s">
        <v>1002</v>
      </c>
      <c r="H190" s="323">
        <v>6792</v>
      </c>
      <c r="I190" s="123" t="s">
        <v>1016</v>
      </c>
      <c r="J190" s="123"/>
      <c r="K190" s="324"/>
      <c r="L190" s="324" t="s">
        <v>1295</v>
      </c>
      <c r="M190" s="321" t="s">
        <v>1243</v>
      </c>
    </row>
    <row r="191" spans="1:13" ht="29" x14ac:dyDescent="0.35">
      <c r="A191" s="126">
        <v>761</v>
      </c>
      <c r="B191" s="73">
        <v>2221</v>
      </c>
      <c r="C191" s="73">
        <v>69</v>
      </c>
      <c r="D191" s="75" t="s">
        <v>728</v>
      </c>
      <c r="E191" s="75" t="s">
        <v>729</v>
      </c>
      <c r="F191" s="75" t="s">
        <v>729</v>
      </c>
      <c r="G191" s="120" t="s">
        <v>1002</v>
      </c>
      <c r="H191" s="120">
        <v>6901</v>
      </c>
      <c r="I191" s="75" t="s">
        <v>1016</v>
      </c>
      <c r="J191" s="75"/>
      <c r="K191" s="92"/>
      <c r="L191" s="92" t="s">
        <v>1296</v>
      </c>
    </row>
    <row r="192" spans="1:13" ht="29" x14ac:dyDescent="0.35">
      <c r="A192" s="126">
        <v>762</v>
      </c>
      <c r="B192" s="73">
        <v>2222</v>
      </c>
      <c r="C192" s="73" t="s">
        <v>1297</v>
      </c>
      <c r="D192" s="75" t="s">
        <v>731</v>
      </c>
      <c r="E192" s="75" t="s">
        <v>732</v>
      </c>
      <c r="F192" s="75" t="s">
        <v>732</v>
      </c>
      <c r="G192" s="120" t="s">
        <v>1002</v>
      </c>
      <c r="H192" s="120">
        <v>7001</v>
      </c>
      <c r="I192" s="75" t="s">
        <v>1016</v>
      </c>
      <c r="J192" s="75"/>
      <c r="K192" s="92"/>
      <c r="L192" s="92" t="s">
        <v>1298</v>
      </c>
    </row>
    <row r="193" spans="1:13" ht="29" x14ac:dyDescent="0.35">
      <c r="A193" s="126">
        <v>763</v>
      </c>
      <c r="B193" s="73">
        <v>2223</v>
      </c>
      <c r="C193" s="73" t="s">
        <v>1299</v>
      </c>
      <c r="D193" s="75" t="s">
        <v>734</v>
      </c>
      <c r="E193" s="75" t="s">
        <v>735</v>
      </c>
      <c r="F193" s="75" t="s">
        <v>735</v>
      </c>
      <c r="G193" s="120" t="s">
        <v>1002</v>
      </c>
      <c r="H193" s="120">
        <v>7011</v>
      </c>
      <c r="I193" s="75" t="s">
        <v>1016</v>
      </c>
      <c r="J193" s="75"/>
      <c r="K193" s="92"/>
      <c r="L193" s="92" t="s">
        <v>1300</v>
      </c>
    </row>
    <row r="194" spans="1:13" ht="29" x14ac:dyDescent="0.35">
      <c r="A194" s="126">
        <v>764</v>
      </c>
      <c r="B194" s="73">
        <v>2224</v>
      </c>
      <c r="C194" s="73" t="s">
        <v>1301</v>
      </c>
      <c r="D194" s="75" t="s">
        <v>737</v>
      </c>
      <c r="E194" s="75" t="s">
        <v>738</v>
      </c>
      <c r="F194" s="75" t="s">
        <v>738</v>
      </c>
      <c r="G194" s="120" t="s">
        <v>1002</v>
      </c>
      <c r="H194" s="120">
        <v>7021</v>
      </c>
      <c r="I194" s="75" t="s">
        <v>1016</v>
      </c>
      <c r="J194" s="75"/>
      <c r="K194" s="92"/>
      <c r="L194" s="92" t="s">
        <v>1302</v>
      </c>
    </row>
    <row r="195" spans="1:13" ht="29" x14ac:dyDescent="0.35">
      <c r="A195" s="126">
        <v>765</v>
      </c>
      <c r="B195" s="73">
        <v>2225</v>
      </c>
      <c r="C195" s="73">
        <v>71</v>
      </c>
      <c r="D195" s="75" t="s">
        <v>740</v>
      </c>
      <c r="E195" s="75" t="s">
        <v>741</v>
      </c>
      <c r="F195" s="75" t="s">
        <v>741</v>
      </c>
      <c r="G195" s="120" t="s">
        <v>1002</v>
      </c>
      <c r="H195" s="120">
        <v>7101</v>
      </c>
      <c r="I195" s="75" t="s">
        <v>1016</v>
      </c>
      <c r="J195" s="75"/>
      <c r="K195" s="92" t="s">
        <v>1303</v>
      </c>
      <c r="L195" s="92" t="s">
        <v>1304</v>
      </c>
    </row>
    <row r="196" spans="1:13" ht="29" x14ac:dyDescent="0.35">
      <c r="A196" s="126">
        <v>768</v>
      </c>
      <c r="B196" s="73">
        <v>2226</v>
      </c>
      <c r="C196" s="73" t="s">
        <v>1305</v>
      </c>
      <c r="D196" s="75" t="s">
        <v>743</v>
      </c>
      <c r="E196" s="75" t="s">
        <v>744</v>
      </c>
      <c r="F196" s="75" t="s">
        <v>744</v>
      </c>
      <c r="G196" s="120" t="s">
        <v>1002</v>
      </c>
      <c r="H196" s="120">
        <v>7201</v>
      </c>
      <c r="I196" s="75" t="s">
        <v>1016</v>
      </c>
      <c r="J196" s="75"/>
      <c r="K196" s="92"/>
      <c r="L196" s="92" t="s">
        <v>1306</v>
      </c>
    </row>
    <row r="197" spans="1:13" ht="29" x14ac:dyDescent="0.35">
      <c r="A197" s="126">
        <v>769</v>
      </c>
      <c r="B197" s="73">
        <v>2227</v>
      </c>
      <c r="C197" s="73" t="s">
        <v>1305</v>
      </c>
      <c r="D197" s="75" t="s">
        <v>745</v>
      </c>
      <c r="E197" s="75" t="s">
        <v>746</v>
      </c>
      <c r="F197" s="75" t="s">
        <v>746</v>
      </c>
      <c r="G197" s="120" t="s">
        <v>1002</v>
      </c>
      <c r="H197" s="120">
        <v>7205</v>
      </c>
      <c r="I197" s="75" t="s">
        <v>1016</v>
      </c>
      <c r="J197" s="75"/>
      <c r="K197" s="92"/>
      <c r="L197" s="92" t="s">
        <v>1307</v>
      </c>
    </row>
    <row r="198" spans="1:13" ht="29" x14ac:dyDescent="0.35">
      <c r="A198" s="126">
        <v>770</v>
      </c>
      <c r="B198" s="73">
        <v>2228</v>
      </c>
      <c r="C198" s="73" t="s">
        <v>1308</v>
      </c>
      <c r="D198" s="75" t="s">
        <v>748</v>
      </c>
      <c r="E198" s="75" t="s">
        <v>749</v>
      </c>
      <c r="F198" s="75" t="s">
        <v>749</v>
      </c>
      <c r="G198" s="120" t="s">
        <v>1002</v>
      </c>
      <c r="H198" s="120">
        <v>7211</v>
      </c>
      <c r="I198" s="75" t="s">
        <v>1016</v>
      </c>
      <c r="J198" s="75"/>
      <c r="K198" s="92"/>
      <c r="L198" s="92" t="s">
        <v>1309</v>
      </c>
    </row>
    <row r="199" spans="1:13" ht="29" x14ac:dyDescent="0.35">
      <c r="A199" s="126">
        <v>771</v>
      </c>
      <c r="B199" s="73">
        <v>2229</v>
      </c>
      <c r="C199" s="73" t="s">
        <v>1308</v>
      </c>
      <c r="D199" s="75" t="s">
        <v>750</v>
      </c>
      <c r="E199" s="75" t="s">
        <v>751</v>
      </c>
      <c r="F199" s="75" t="s">
        <v>751</v>
      </c>
      <c r="G199" s="120" t="s">
        <v>1002</v>
      </c>
      <c r="H199" s="120">
        <v>7215</v>
      </c>
      <c r="I199" s="75" t="s">
        <v>1016</v>
      </c>
      <c r="J199" s="75"/>
      <c r="K199" s="92"/>
      <c r="L199" s="92" t="s">
        <v>1310</v>
      </c>
    </row>
    <row r="200" spans="1:13" ht="29" x14ac:dyDescent="0.35">
      <c r="A200" s="126">
        <v>772</v>
      </c>
      <c r="B200" s="73">
        <v>2230</v>
      </c>
      <c r="C200" s="73" t="s">
        <v>1311</v>
      </c>
      <c r="D200" s="75" t="s">
        <v>753</v>
      </c>
      <c r="E200" s="75" t="s">
        <v>754</v>
      </c>
      <c r="F200" s="75" t="s">
        <v>754</v>
      </c>
      <c r="G200" s="120" t="s">
        <v>1002</v>
      </c>
      <c r="H200" s="120">
        <v>7221</v>
      </c>
      <c r="I200" s="75" t="s">
        <v>1016</v>
      </c>
      <c r="J200" s="75"/>
      <c r="K200" s="92"/>
      <c r="L200" s="92" t="s">
        <v>1312</v>
      </c>
    </row>
    <row r="201" spans="1:13" ht="29" x14ac:dyDescent="0.35">
      <c r="A201" s="126">
        <v>773</v>
      </c>
      <c r="B201" s="73">
        <v>2231</v>
      </c>
      <c r="C201" s="73" t="s">
        <v>1311</v>
      </c>
      <c r="D201" s="75" t="s">
        <v>755</v>
      </c>
      <c r="E201" s="75" t="s">
        <v>756</v>
      </c>
      <c r="F201" s="75" t="s">
        <v>756</v>
      </c>
      <c r="G201" s="120" t="s">
        <v>1002</v>
      </c>
      <c r="H201" s="120">
        <v>7225</v>
      </c>
      <c r="I201" s="75" t="s">
        <v>1016</v>
      </c>
      <c r="J201" s="75"/>
      <c r="K201" s="92"/>
      <c r="L201" s="92" t="s">
        <v>1313</v>
      </c>
    </row>
    <row r="202" spans="1:13" ht="29" x14ac:dyDescent="0.35">
      <c r="A202" s="322">
        <v>775</v>
      </c>
      <c r="B202" s="122">
        <v>2233</v>
      </c>
      <c r="C202" s="122">
        <v>74</v>
      </c>
      <c r="D202" s="123" t="s">
        <v>761</v>
      </c>
      <c r="E202" s="123" t="s">
        <v>762</v>
      </c>
      <c r="F202" s="123" t="s">
        <v>762</v>
      </c>
      <c r="G202" s="323" t="s">
        <v>1002</v>
      </c>
      <c r="H202" s="323">
        <v>7401</v>
      </c>
      <c r="I202" s="123" t="s">
        <v>1016</v>
      </c>
      <c r="J202" s="123"/>
      <c r="K202" s="324"/>
      <c r="L202" s="324" t="s">
        <v>1314</v>
      </c>
      <c r="M202" s="321" t="s">
        <v>1243</v>
      </c>
    </row>
    <row r="203" spans="1:13" ht="43.5" x14ac:dyDescent="0.35">
      <c r="A203" s="319">
        <v>776</v>
      </c>
      <c r="B203" s="313">
        <v>2638</v>
      </c>
      <c r="C203" s="313">
        <v>74</v>
      </c>
      <c r="D203" s="314" t="s">
        <v>763</v>
      </c>
      <c r="E203" s="314" t="s">
        <v>968</v>
      </c>
      <c r="F203" s="314" t="s">
        <v>968</v>
      </c>
      <c r="G203" s="320" t="s">
        <v>1315</v>
      </c>
      <c r="H203" s="320">
        <v>7405</v>
      </c>
      <c r="I203" s="314" t="s">
        <v>1016</v>
      </c>
      <c r="J203" s="314" t="s">
        <v>205</v>
      </c>
      <c r="K203" s="276"/>
      <c r="L203" s="276" t="s">
        <v>1316</v>
      </c>
      <c r="M203" s="360" t="s">
        <v>1243</v>
      </c>
    </row>
    <row r="204" spans="1:13" ht="29" x14ac:dyDescent="0.35">
      <c r="A204" s="322">
        <v>777</v>
      </c>
      <c r="B204" s="122">
        <v>2235</v>
      </c>
      <c r="C204" s="122" t="s">
        <v>1317</v>
      </c>
      <c r="D204" s="123" t="s">
        <v>766</v>
      </c>
      <c r="E204" s="123" t="s">
        <v>767</v>
      </c>
      <c r="F204" s="123" t="s">
        <v>767</v>
      </c>
      <c r="G204" s="323" t="s">
        <v>1002</v>
      </c>
      <c r="H204" s="323">
        <v>7411</v>
      </c>
      <c r="I204" s="123" t="s">
        <v>1016</v>
      </c>
      <c r="J204" s="123"/>
      <c r="K204" s="324"/>
      <c r="L204" s="324" t="s">
        <v>1318</v>
      </c>
      <c r="M204" s="321" t="s">
        <v>1243</v>
      </c>
    </row>
    <row r="205" spans="1:13" ht="43.5" x14ac:dyDescent="0.35">
      <c r="A205" s="319">
        <v>778</v>
      </c>
      <c r="B205" s="313">
        <v>2640</v>
      </c>
      <c r="C205" s="313" t="s">
        <v>1317</v>
      </c>
      <c r="D205" s="314" t="s">
        <v>768</v>
      </c>
      <c r="E205" s="315" t="s">
        <v>971</v>
      </c>
      <c r="F205" s="315" t="s">
        <v>971</v>
      </c>
      <c r="G205" s="320" t="s">
        <v>1315</v>
      </c>
      <c r="H205" s="320">
        <v>7415</v>
      </c>
      <c r="I205" s="314" t="s">
        <v>1016</v>
      </c>
      <c r="J205" s="314" t="s">
        <v>205</v>
      </c>
      <c r="K205" s="276"/>
      <c r="L205" s="276" t="s">
        <v>1319</v>
      </c>
      <c r="M205" s="360" t="s">
        <v>1243</v>
      </c>
    </row>
    <row r="206" spans="1:13" ht="29" x14ac:dyDescent="0.35">
      <c r="A206" s="322">
        <v>779</v>
      </c>
      <c r="B206" s="122">
        <v>2237</v>
      </c>
      <c r="C206" s="122" t="s">
        <v>1320</v>
      </c>
      <c r="D206" s="123" t="s">
        <v>771</v>
      </c>
      <c r="E206" s="123" t="s">
        <v>772</v>
      </c>
      <c r="F206" s="123" t="s">
        <v>772</v>
      </c>
      <c r="G206" s="323" t="s">
        <v>1002</v>
      </c>
      <c r="H206" s="323">
        <v>7421</v>
      </c>
      <c r="I206" s="123" t="s">
        <v>1016</v>
      </c>
      <c r="J206" s="123"/>
      <c r="K206" s="324"/>
      <c r="L206" s="324" t="s">
        <v>1321</v>
      </c>
      <c r="M206" s="321" t="s">
        <v>1243</v>
      </c>
    </row>
    <row r="207" spans="1:13" ht="43.5" x14ac:dyDescent="0.35">
      <c r="A207" s="319">
        <v>780</v>
      </c>
      <c r="B207" s="313">
        <v>2642</v>
      </c>
      <c r="C207" s="313" t="s">
        <v>1320</v>
      </c>
      <c r="D207" s="314" t="s">
        <v>773</v>
      </c>
      <c r="E207" s="315" t="s">
        <v>974</v>
      </c>
      <c r="F207" s="315" t="s">
        <v>974</v>
      </c>
      <c r="G207" s="320" t="s">
        <v>1315</v>
      </c>
      <c r="H207" s="320">
        <v>7425</v>
      </c>
      <c r="I207" s="314" t="s">
        <v>1016</v>
      </c>
      <c r="J207" s="314" t="s">
        <v>205</v>
      </c>
      <c r="K207" s="276"/>
      <c r="L207" s="276" t="s">
        <v>1322</v>
      </c>
      <c r="M207" s="360" t="s">
        <v>1243</v>
      </c>
    </row>
    <row r="208" spans="1:13" ht="29" x14ac:dyDescent="0.35">
      <c r="A208" s="322">
        <v>781</v>
      </c>
      <c r="B208" s="122">
        <v>2239</v>
      </c>
      <c r="C208" s="122" t="s">
        <v>1323</v>
      </c>
      <c r="D208" s="123" t="s">
        <v>776</v>
      </c>
      <c r="E208" s="123" t="s">
        <v>777</v>
      </c>
      <c r="F208" s="123" t="s">
        <v>777</v>
      </c>
      <c r="G208" s="323" t="s">
        <v>1002</v>
      </c>
      <c r="H208" s="323">
        <v>7431</v>
      </c>
      <c r="I208" s="123" t="s">
        <v>1016</v>
      </c>
      <c r="J208" s="123"/>
      <c r="K208" s="324"/>
      <c r="L208" s="324" t="s">
        <v>1324</v>
      </c>
      <c r="M208" s="321" t="s">
        <v>1243</v>
      </c>
    </row>
    <row r="209" spans="1:13" ht="43.5" x14ac:dyDescent="0.35">
      <c r="A209" s="319">
        <v>782</v>
      </c>
      <c r="B209" s="313">
        <v>2644</v>
      </c>
      <c r="C209" s="313" t="s">
        <v>1323</v>
      </c>
      <c r="D209" s="314" t="s">
        <v>778</v>
      </c>
      <c r="E209" s="315" t="s">
        <v>977</v>
      </c>
      <c r="F209" s="315" t="s">
        <v>977</v>
      </c>
      <c r="G209" s="320" t="s">
        <v>1315</v>
      </c>
      <c r="H209" s="320">
        <v>7435</v>
      </c>
      <c r="I209" s="314" t="s">
        <v>1016</v>
      </c>
      <c r="J209" s="314" t="s">
        <v>205</v>
      </c>
      <c r="K209" s="276"/>
      <c r="L209" s="276" t="s">
        <v>1325</v>
      </c>
      <c r="M209" s="360" t="s">
        <v>1243</v>
      </c>
    </row>
    <row r="210" spans="1:13" ht="29" x14ac:dyDescent="0.35">
      <c r="A210" s="322">
        <v>783</v>
      </c>
      <c r="B210" s="122">
        <v>2241</v>
      </c>
      <c r="C210" s="122" t="s">
        <v>1326</v>
      </c>
      <c r="D210" s="123" t="s">
        <v>781</v>
      </c>
      <c r="E210" s="123" t="s">
        <v>782</v>
      </c>
      <c r="F210" s="123" t="s">
        <v>782</v>
      </c>
      <c r="G210" s="323" t="s">
        <v>1002</v>
      </c>
      <c r="H210" s="323">
        <v>7441</v>
      </c>
      <c r="I210" s="123" t="s">
        <v>1016</v>
      </c>
      <c r="J210" s="123"/>
      <c r="K210" s="324"/>
      <c r="L210" s="324" t="s">
        <v>1327</v>
      </c>
      <c r="M210" s="321" t="s">
        <v>1243</v>
      </c>
    </row>
    <row r="211" spans="1:13" ht="43.5" x14ac:dyDescent="0.35">
      <c r="A211" s="319">
        <v>784</v>
      </c>
      <c r="B211" s="313">
        <v>2646</v>
      </c>
      <c r="C211" s="313" t="s">
        <v>1326</v>
      </c>
      <c r="D211" s="314" t="s">
        <v>783</v>
      </c>
      <c r="E211" s="315" t="s">
        <v>980</v>
      </c>
      <c r="F211" s="315" t="s">
        <v>980</v>
      </c>
      <c r="G211" s="320" t="s">
        <v>1315</v>
      </c>
      <c r="H211" s="320">
        <v>7445</v>
      </c>
      <c r="I211" s="314" t="s">
        <v>1016</v>
      </c>
      <c r="J211" s="314" t="s">
        <v>205</v>
      </c>
      <c r="K211" s="276"/>
      <c r="L211" s="276" t="s">
        <v>1328</v>
      </c>
      <c r="M211" s="360" t="s">
        <v>1243</v>
      </c>
    </row>
    <row r="212" spans="1:13" ht="29" x14ac:dyDescent="0.35">
      <c r="A212" s="322">
        <v>785</v>
      </c>
      <c r="B212" s="122">
        <v>2243</v>
      </c>
      <c r="C212" s="122" t="s">
        <v>1329</v>
      </c>
      <c r="D212" s="123" t="s">
        <v>786</v>
      </c>
      <c r="E212" s="123" t="s">
        <v>787</v>
      </c>
      <c r="F212" s="123" t="s">
        <v>787</v>
      </c>
      <c r="G212" s="323" t="s">
        <v>1002</v>
      </c>
      <c r="H212" s="323">
        <v>7451</v>
      </c>
      <c r="I212" s="123" t="s">
        <v>1016</v>
      </c>
      <c r="J212" s="123"/>
      <c r="K212" s="324"/>
      <c r="L212" s="324" t="s">
        <v>1330</v>
      </c>
      <c r="M212" s="321" t="s">
        <v>1243</v>
      </c>
    </row>
    <row r="213" spans="1:13" ht="43.5" x14ac:dyDescent="0.35">
      <c r="A213" s="319">
        <v>786</v>
      </c>
      <c r="B213" s="313">
        <v>2648</v>
      </c>
      <c r="C213" s="313" t="s">
        <v>1329</v>
      </c>
      <c r="D213" s="314" t="s">
        <v>788</v>
      </c>
      <c r="E213" s="315" t="s">
        <v>983</v>
      </c>
      <c r="F213" s="315" t="s">
        <v>983</v>
      </c>
      <c r="G213" s="320" t="s">
        <v>1315</v>
      </c>
      <c r="H213" s="320">
        <v>7455</v>
      </c>
      <c r="I213" s="314" t="s">
        <v>1016</v>
      </c>
      <c r="J213" s="314" t="s">
        <v>205</v>
      </c>
      <c r="K213" s="276"/>
      <c r="L213" s="276" t="s">
        <v>1331</v>
      </c>
      <c r="M213" s="360" t="s">
        <v>1243</v>
      </c>
    </row>
    <row r="214" spans="1:13" ht="29" x14ac:dyDescent="0.35">
      <c r="A214" s="126">
        <v>791</v>
      </c>
      <c r="B214" s="73">
        <v>2249</v>
      </c>
      <c r="C214" s="73">
        <v>76</v>
      </c>
      <c r="D214" s="75" t="s">
        <v>800</v>
      </c>
      <c r="E214" s="75" t="s">
        <v>801</v>
      </c>
      <c r="F214" s="75" t="s">
        <v>801</v>
      </c>
      <c r="G214" s="120" t="s">
        <v>1002</v>
      </c>
      <c r="H214" s="120">
        <v>7601</v>
      </c>
      <c r="I214" s="75" t="s">
        <v>1016</v>
      </c>
      <c r="J214" s="75"/>
      <c r="K214" s="92"/>
      <c r="L214" s="92" t="s">
        <v>1332</v>
      </c>
    </row>
    <row r="215" spans="1:13" ht="43.5" x14ac:dyDescent="0.35">
      <c r="A215" s="126">
        <v>862</v>
      </c>
      <c r="B215" s="73">
        <v>2252</v>
      </c>
      <c r="C215" s="73">
        <v>76</v>
      </c>
      <c r="D215" s="75" t="s">
        <v>806</v>
      </c>
      <c r="E215" s="75" t="s">
        <v>807</v>
      </c>
      <c r="F215" s="75" t="s">
        <v>807</v>
      </c>
      <c r="G215" s="120" t="s">
        <v>1002</v>
      </c>
      <c r="H215" s="120">
        <v>7611</v>
      </c>
      <c r="I215" s="75" t="s">
        <v>1333</v>
      </c>
      <c r="J215" s="75"/>
      <c r="K215" s="92" t="s">
        <v>1334</v>
      </c>
      <c r="L215" s="92" t="s">
        <v>1335</v>
      </c>
    </row>
    <row r="216" spans="1:13" ht="43.5" x14ac:dyDescent="0.35">
      <c r="A216" s="126">
        <v>863</v>
      </c>
      <c r="B216" s="73">
        <v>2253</v>
      </c>
      <c r="C216" s="73">
        <v>76</v>
      </c>
      <c r="D216" s="75" t="s">
        <v>808</v>
      </c>
      <c r="E216" s="75" t="s">
        <v>809</v>
      </c>
      <c r="F216" s="75" t="s">
        <v>809</v>
      </c>
      <c r="G216" s="120" t="s">
        <v>1002</v>
      </c>
      <c r="H216" s="120">
        <v>7621</v>
      </c>
      <c r="I216" s="75" t="s">
        <v>1333</v>
      </c>
      <c r="J216" s="75"/>
      <c r="K216" s="92" t="s">
        <v>1334</v>
      </c>
      <c r="L216" s="92" t="s">
        <v>1336</v>
      </c>
    </row>
    <row r="217" spans="1:13" ht="43.5" x14ac:dyDescent="0.35">
      <c r="A217" s="126">
        <v>864</v>
      </c>
      <c r="B217" s="73">
        <v>2257</v>
      </c>
      <c r="C217" s="73">
        <v>77</v>
      </c>
      <c r="D217" s="75" t="s">
        <v>817</v>
      </c>
      <c r="E217" s="75" t="s">
        <v>818</v>
      </c>
      <c r="F217" s="75" t="s">
        <v>818</v>
      </c>
      <c r="G217" s="120" t="s">
        <v>1002</v>
      </c>
      <c r="H217" s="120">
        <v>7701</v>
      </c>
      <c r="I217" s="75" t="s">
        <v>1333</v>
      </c>
      <c r="J217" s="75"/>
      <c r="K217" s="92" t="s">
        <v>1334</v>
      </c>
      <c r="L217" s="92" t="s">
        <v>1337</v>
      </c>
    </row>
    <row r="218" spans="1:13" ht="43.5" x14ac:dyDescent="0.35">
      <c r="A218" s="126">
        <v>865</v>
      </c>
      <c r="B218" s="73">
        <v>2258</v>
      </c>
      <c r="C218" s="73">
        <v>77</v>
      </c>
      <c r="D218" s="75" t="s">
        <v>819</v>
      </c>
      <c r="E218" s="75" t="s">
        <v>820</v>
      </c>
      <c r="F218" s="75" t="s">
        <v>820</v>
      </c>
      <c r="G218" s="120" t="s">
        <v>1002</v>
      </c>
      <c r="H218" s="120">
        <v>7711</v>
      </c>
      <c r="I218" s="75" t="s">
        <v>1333</v>
      </c>
      <c r="J218" s="75"/>
      <c r="K218" s="92" t="s">
        <v>1334</v>
      </c>
      <c r="L218" s="92" t="s">
        <v>1338</v>
      </c>
    </row>
    <row r="219" spans="1:13" ht="29" x14ac:dyDescent="0.35">
      <c r="A219" s="126">
        <v>792</v>
      </c>
      <c r="B219" s="73">
        <v>2254</v>
      </c>
      <c r="C219" s="73">
        <v>77</v>
      </c>
      <c r="D219" s="75" t="s">
        <v>811</v>
      </c>
      <c r="E219" s="75" t="s">
        <v>812</v>
      </c>
      <c r="F219" s="75" t="s">
        <v>812</v>
      </c>
      <c r="G219" s="120" t="s">
        <v>1002</v>
      </c>
      <c r="H219" s="120">
        <v>7731</v>
      </c>
      <c r="I219" s="75" t="s">
        <v>1016</v>
      </c>
      <c r="J219" s="75"/>
      <c r="K219" s="92"/>
      <c r="L219" s="92" t="s">
        <v>1339</v>
      </c>
    </row>
    <row r="220" spans="1:13" ht="29" x14ac:dyDescent="0.35">
      <c r="A220" s="126">
        <v>793</v>
      </c>
      <c r="B220" s="73">
        <v>2255</v>
      </c>
      <c r="C220" s="73">
        <v>77</v>
      </c>
      <c r="D220" s="75" t="s">
        <v>813</v>
      </c>
      <c r="E220" s="75" t="s">
        <v>814</v>
      </c>
      <c r="F220" s="75" t="s">
        <v>814</v>
      </c>
      <c r="G220" s="120" t="s">
        <v>1002</v>
      </c>
      <c r="H220" s="120">
        <v>7741</v>
      </c>
      <c r="I220" s="75" t="s">
        <v>1016</v>
      </c>
      <c r="J220" s="75"/>
      <c r="K220" s="92"/>
      <c r="L220" s="92" t="s">
        <v>1340</v>
      </c>
    </row>
    <row r="221" spans="1:13" ht="29" x14ac:dyDescent="0.35">
      <c r="A221" s="126">
        <v>794</v>
      </c>
      <c r="B221" s="73">
        <v>2256</v>
      </c>
      <c r="C221" s="73">
        <v>77</v>
      </c>
      <c r="D221" s="75" t="s">
        <v>815</v>
      </c>
      <c r="E221" s="75" t="s">
        <v>816</v>
      </c>
      <c r="F221" s="75" t="s">
        <v>816</v>
      </c>
      <c r="G221" s="120" t="s">
        <v>1002</v>
      </c>
      <c r="H221" s="120">
        <v>7751</v>
      </c>
      <c r="I221" s="75" t="s">
        <v>1016</v>
      </c>
      <c r="J221" s="75"/>
      <c r="K221" s="92"/>
      <c r="L221" s="92" t="s">
        <v>1341</v>
      </c>
    </row>
    <row r="222" spans="1:13" ht="29" x14ac:dyDescent="0.35">
      <c r="A222" s="126">
        <v>795</v>
      </c>
      <c r="B222" s="73">
        <v>2260</v>
      </c>
      <c r="C222" s="73">
        <v>78</v>
      </c>
      <c r="D222" s="75" t="s">
        <v>824</v>
      </c>
      <c r="E222" s="75" t="s">
        <v>825</v>
      </c>
      <c r="F222" s="75" t="s">
        <v>825</v>
      </c>
      <c r="G222" s="120" t="s">
        <v>1002</v>
      </c>
      <c r="H222" s="120">
        <v>7801</v>
      </c>
      <c r="I222" s="75" t="s">
        <v>1016</v>
      </c>
      <c r="J222" s="75"/>
      <c r="K222" s="92"/>
      <c r="L222" s="92" t="s">
        <v>1342</v>
      </c>
    </row>
    <row r="223" spans="1:13" ht="29" x14ac:dyDescent="0.35">
      <c r="A223" s="126">
        <v>796</v>
      </c>
      <c r="B223" s="73">
        <v>2261</v>
      </c>
      <c r="C223" s="73">
        <v>78</v>
      </c>
      <c r="D223" s="75" t="s">
        <v>826</v>
      </c>
      <c r="E223" s="75" t="s">
        <v>827</v>
      </c>
      <c r="F223" s="75" t="s">
        <v>827</v>
      </c>
      <c r="G223" s="120" t="s">
        <v>1002</v>
      </c>
      <c r="H223" s="120">
        <v>7811</v>
      </c>
      <c r="I223" s="75" t="s">
        <v>1016</v>
      </c>
      <c r="J223" s="75"/>
      <c r="K223" s="92"/>
      <c r="L223" s="92" t="s">
        <v>1343</v>
      </c>
    </row>
    <row r="224" spans="1:13" ht="29" x14ac:dyDescent="0.35">
      <c r="A224" s="126">
        <v>797</v>
      </c>
      <c r="B224" s="73">
        <v>2262</v>
      </c>
      <c r="C224" s="73">
        <v>78</v>
      </c>
      <c r="D224" s="75" t="s">
        <v>828</v>
      </c>
      <c r="E224" s="75" t="s">
        <v>829</v>
      </c>
      <c r="F224" s="75" t="s">
        <v>829</v>
      </c>
      <c r="G224" s="120" t="s">
        <v>1002</v>
      </c>
      <c r="H224" s="120">
        <v>7821</v>
      </c>
      <c r="I224" s="75" t="s">
        <v>1016</v>
      </c>
      <c r="J224" s="75"/>
      <c r="K224" s="92"/>
      <c r="L224" s="92" t="s">
        <v>1344</v>
      </c>
    </row>
    <row r="225" spans="1:12" ht="29" x14ac:dyDescent="0.35">
      <c r="A225" s="126">
        <v>866</v>
      </c>
      <c r="B225" s="73">
        <v>2263</v>
      </c>
      <c r="C225" s="73">
        <v>78</v>
      </c>
      <c r="D225" s="75" t="s">
        <v>830</v>
      </c>
      <c r="E225" s="75" t="s">
        <v>831</v>
      </c>
      <c r="F225" s="75" t="s">
        <v>831</v>
      </c>
      <c r="G225" s="120" t="s">
        <v>1002</v>
      </c>
      <c r="H225" s="120">
        <v>7831</v>
      </c>
      <c r="I225" s="75" t="s">
        <v>1333</v>
      </c>
      <c r="J225" s="75"/>
      <c r="K225" s="92" t="s">
        <v>1334</v>
      </c>
      <c r="L225" s="92" t="s">
        <v>1345</v>
      </c>
    </row>
    <row r="226" spans="1:12" ht="29" x14ac:dyDescent="0.35">
      <c r="A226" s="126">
        <v>867</v>
      </c>
      <c r="B226" s="73">
        <v>2264</v>
      </c>
      <c r="C226" s="73">
        <v>78</v>
      </c>
      <c r="D226" s="75" t="s">
        <v>832</v>
      </c>
      <c r="E226" s="75" t="s">
        <v>833</v>
      </c>
      <c r="F226" s="75" t="s">
        <v>833</v>
      </c>
      <c r="G226" s="120" t="s">
        <v>1002</v>
      </c>
      <c r="H226" s="120">
        <v>7841</v>
      </c>
      <c r="I226" s="75" t="s">
        <v>1333</v>
      </c>
      <c r="J226" s="75"/>
      <c r="K226" s="92" t="s">
        <v>1334</v>
      </c>
      <c r="L226" s="92" t="s">
        <v>1346</v>
      </c>
    </row>
    <row r="227" spans="1:12" ht="29" x14ac:dyDescent="0.35">
      <c r="A227" s="126">
        <v>868</v>
      </c>
      <c r="B227" s="73">
        <v>2269</v>
      </c>
      <c r="C227" s="73">
        <v>79</v>
      </c>
      <c r="D227" s="75" t="s">
        <v>844</v>
      </c>
      <c r="E227" s="75" t="s">
        <v>845</v>
      </c>
      <c r="F227" s="75" t="s">
        <v>845</v>
      </c>
      <c r="G227" s="120" t="s">
        <v>1002</v>
      </c>
      <c r="H227" s="120">
        <v>7901</v>
      </c>
      <c r="I227" s="75" t="s">
        <v>1333</v>
      </c>
      <c r="J227" s="75"/>
      <c r="K227" s="92" t="s">
        <v>1334</v>
      </c>
      <c r="L227" s="92" t="s">
        <v>1347</v>
      </c>
    </row>
    <row r="228" spans="1:12" ht="29" x14ac:dyDescent="0.35">
      <c r="A228" s="126">
        <v>869</v>
      </c>
      <c r="B228" s="73">
        <v>2270</v>
      </c>
      <c r="C228" s="73">
        <v>79</v>
      </c>
      <c r="D228" s="75" t="s">
        <v>846</v>
      </c>
      <c r="E228" s="75" t="s">
        <v>847</v>
      </c>
      <c r="F228" s="75" t="s">
        <v>847</v>
      </c>
      <c r="G228" s="120" t="s">
        <v>1002</v>
      </c>
      <c r="H228" s="120">
        <v>7911</v>
      </c>
      <c r="I228" s="75" t="s">
        <v>1333</v>
      </c>
      <c r="J228" s="75"/>
      <c r="K228" s="92" t="s">
        <v>1334</v>
      </c>
      <c r="L228" s="92" t="s">
        <v>1348</v>
      </c>
    </row>
    <row r="229" spans="1:12" ht="29" x14ac:dyDescent="0.35">
      <c r="A229" s="126">
        <v>816</v>
      </c>
      <c r="B229" s="73">
        <v>2266</v>
      </c>
      <c r="C229" s="73">
        <v>79</v>
      </c>
      <c r="D229" s="75" t="s">
        <v>837</v>
      </c>
      <c r="E229" s="75" t="s">
        <v>838</v>
      </c>
      <c r="F229" s="75" t="s">
        <v>838</v>
      </c>
      <c r="G229" s="120" t="s">
        <v>1002</v>
      </c>
      <c r="H229" s="120">
        <v>7921</v>
      </c>
      <c r="I229" s="75" t="s">
        <v>1016</v>
      </c>
      <c r="J229" s="75"/>
      <c r="K229" s="92"/>
      <c r="L229" s="92" t="s">
        <v>1349</v>
      </c>
    </row>
    <row r="230" spans="1:12" ht="29" x14ac:dyDescent="0.35">
      <c r="A230" s="126">
        <v>798</v>
      </c>
      <c r="B230" s="73">
        <v>2267</v>
      </c>
      <c r="C230" s="73">
        <v>79</v>
      </c>
      <c r="D230" s="75" t="s">
        <v>839</v>
      </c>
      <c r="E230" s="75" t="s">
        <v>840</v>
      </c>
      <c r="F230" s="75" t="s">
        <v>840</v>
      </c>
      <c r="G230" s="120" t="s">
        <v>1002</v>
      </c>
      <c r="H230" s="120">
        <v>7931</v>
      </c>
      <c r="I230" s="75" t="s">
        <v>1016</v>
      </c>
      <c r="J230" s="75"/>
      <c r="K230" s="92"/>
      <c r="L230" s="92" t="s">
        <v>1350</v>
      </c>
    </row>
    <row r="231" spans="1:12" ht="29" x14ac:dyDescent="0.35">
      <c r="A231" s="126">
        <v>799</v>
      </c>
      <c r="B231" s="73">
        <v>2268</v>
      </c>
      <c r="C231" s="73">
        <v>79</v>
      </c>
      <c r="D231" s="75" t="s">
        <v>842</v>
      </c>
      <c r="E231" s="75" t="s">
        <v>843</v>
      </c>
      <c r="F231" s="75" t="s">
        <v>843</v>
      </c>
      <c r="G231" s="120" t="s">
        <v>1002</v>
      </c>
      <c r="H231" s="120">
        <v>7941</v>
      </c>
      <c r="I231" s="75" t="s">
        <v>1016</v>
      </c>
      <c r="J231" s="75"/>
      <c r="K231" s="92"/>
      <c r="L231" s="92" t="s">
        <v>1351</v>
      </c>
    </row>
    <row r="232" spans="1:12" ht="29" x14ac:dyDescent="0.35">
      <c r="A232" s="126">
        <v>800</v>
      </c>
      <c r="B232" s="73">
        <v>2271</v>
      </c>
      <c r="C232" s="73">
        <v>80</v>
      </c>
      <c r="D232" s="75" t="s">
        <v>849</v>
      </c>
      <c r="E232" s="75" t="s">
        <v>850</v>
      </c>
      <c r="F232" s="75" t="s">
        <v>850</v>
      </c>
      <c r="G232" s="120" t="s">
        <v>1002</v>
      </c>
      <c r="H232" s="120">
        <v>8001</v>
      </c>
      <c r="I232" s="75" t="s">
        <v>1016</v>
      </c>
      <c r="J232" s="75"/>
      <c r="K232" s="92"/>
      <c r="L232" s="92" t="s">
        <v>1352</v>
      </c>
    </row>
    <row r="233" spans="1:12" ht="29" x14ac:dyDescent="0.35">
      <c r="A233" s="126">
        <v>801</v>
      </c>
      <c r="B233" s="73">
        <v>2272</v>
      </c>
      <c r="C233" s="73">
        <v>80</v>
      </c>
      <c r="D233" s="75" t="s">
        <v>851</v>
      </c>
      <c r="E233" s="75" t="s">
        <v>852</v>
      </c>
      <c r="F233" s="75" t="s">
        <v>852</v>
      </c>
      <c r="G233" s="120" t="s">
        <v>1002</v>
      </c>
      <c r="H233" s="120">
        <v>8002</v>
      </c>
      <c r="I233" s="75" t="s">
        <v>1016</v>
      </c>
      <c r="J233" s="75"/>
      <c r="K233" s="92"/>
      <c r="L233" s="92" t="s">
        <v>1353</v>
      </c>
    </row>
    <row r="234" spans="1:12" ht="29" x14ac:dyDescent="0.35">
      <c r="A234" s="126">
        <v>802</v>
      </c>
      <c r="B234" s="73">
        <v>2273</v>
      </c>
      <c r="C234" s="73">
        <v>80</v>
      </c>
      <c r="D234" s="75" t="s">
        <v>853</v>
      </c>
      <c r="E234" s="75" t="s">
        <v>854</v>
      </c>
      <c r="F234" s="75" t="s">
        <v>854</v>
      </c>
      <c r="G234" s="120" t="s">
        <v>1002</v>
      </c>
      <c r="H234" s="120">
        <v>8003</v>
      </c>
      <c r="I234" s="75" t="s">
        <v>1016</v>
      </c>
      <c r="J234" s="75"/>
      <c r="K234" s="92"/>
      <c r="L234" s="92" t="s">
        <v>1354</v>
      </c>
    </row>
    <row r="235" spans="1:12" ht="29" x14ac:dyDescent="0.35">
      <c r="A235" s="126">
        <v>803</v>
      </c>
      <c r="B235" s="73">
        <v>2274</v>
      </c>
      <c r="C235" s="73">
        <v>80</v>
      </c>
      <c r="D235" s="75" t="s">
        <v>855</v>
      </c>
      <c r="E235" s="75" t="s">
        <v>856</v>
      </c>
      <c r="F235" s="75" t="s">
        <v>856</v>
      </c>
      <c r="G235" s="120" t="s">
        <v>1002</v>
      </c>
      <c r="H235" s="120">
        <v>8004</v>
      </c>
      <c r="I235" s="75" t="s">
        <v>1016</v>
      </c>
      <c r="J235" s="75"/>
      <c r="K235" s="92"/>
      <c r="L235" s="92" t="s">
        <v>1355</v>
      </c>
    </row>
    <row r="236" spans="1:12" ht="29" x14ac:dyDescent="0.35">
      <c r="A236" s="126">
        <v>804</v>
      </c>
      <c r="B236" s="73">
        <v>2275</v>
      </c>
      <c r="C236" s="73" t="s">
        <v>1356</v>
      </c>
      <c r="D236" s="75" t="s">
        <v>858</v>
      </c>
      <c r="E236" s="75" t="s">
        <v>859</v>
      </c>
      <c r="F236" s="75" t="s">
        <v>859</v>
      </c>
      <c r="G236" s="120" t="s">
        <v>1002</v>
      </c>
      <c r="H236" s="120">
        <v>8101</v>
      </c>
      <c r="I236" s="75" t="s">
        <v>1016</v>
      </c>
      <c r="J236" s="75"/>
      <c r="K236" s="92"/>
      <c r="L236" s="92" t="s">
        <v>1357</v>
      </c>
    </row>
    <row r="237" spans="1:12" ht="29" x14ac:dyDescent="0.35">
      <c r="A237" s="126">
        <v>805</v>
      </c>
      <c r="B237" s="73">
        <v>2276</v>
      </c>
      <c r="C237" s="73" t="s">
        <v>1356</v>
      </c>
      <c r="D237" s="75" t="s">
        <v>861</v>
      </c>
      <c r="E237" s="75" t="s">
        <v>862</v>
      </c>
      <c r="F237" s="75" t="s">
        <v>862</v>
      </c>
      <c r="G237" s="120" t="s">
        <v>1002</v>
      </c>
      <c r="H237" s="120">
        <v>8104</v>
      </c>
      <c r="I237" s="75" t="s">
        <v>1016</v>
      </c>
      <c r="J237" s="75"/>
      <c r="K237" s="92"/>
      <c r="L237" s="92" t="s">
        <v>1358</v>
      </c>
    </row>
    <row r="238" spans="1:12" ht="29" x14ac:dyDescent="0.35">
      <c r="A238" s="126">
        <v>806</v>
      </c>
      <c r="B238" s="73">
        <v>2277</v>
      </c>
      <c r="C238" s="73" t="s">
        <v>1356</v>
      </c>
      <c r="D238" s="75" t="s">
        <v>863</v>
      </c>
      <c r="E238" s="75" t="s">
        <v>864</v>
      </c>
      <c r="F238" s="75" t="s">
        <v>864</v>
      </c>
      <c r="G238" s="120" t="s">
        <v>1002</v>
      </c>
      <c r="H238" s="120">
        <v>8107</v>
      </c>
      <c r="I238" s="75" t="s">
        <v>1016</v>
      </c>
      <c r="J238" s="75"/>
      <c r="K238" s="92"/>
      <c r="L238" s="92" t="s">
        <v>1359</v>
      </c>
    </row>
    <row r="239" spans="1:12" ht="29" x14ac:dyDescent="0.35">
      <c r="A239" s="126">
        <v>807</v>
      </c>
      <c r="B239" s="73">
        <v>2278</v>
      </c>
      <c r="C239" s="73" t="s">
        <v>1360</v>
      </c>
      <c r="D239" s="75" t="s">
        <v>866</v>
      </c>
      <c r="E239" s="75" t="s">
        <v>867</v>
      </c>
      <c r="F239" s="75" t="s">
        <v>867</v>
      </c>
      <c r="G239" s="120" t="s">
        <v>1002</v>
      </c>
      <c r="H239" s="120">
        <v>8111</v>
      </c>
      <c r="I239" s="75" t="s">
        <v>1016</v>
      </c>
      <c r="J239" s="75"/>
      <c r="K239" s="92"/>
      <c r="L239" s="92" t="s">
        <v>1361</v>
      </c>
    </row>
    <row r="240" spans="1:12" ht="29" x14ac:dyDescent="0.35">
      <c r="A240" s="126">
        <v>808</v>
      </c>
      <c r="B240" s="73">
        <v>2279</v>
      </c>
      <c r="C240" s="73" t="s">
        <v>1360</v>
      </c>
      <c r="D240" s="75" t="s">
        <v>868</v>
      </c>
      <c r="E240" s="75" t="s">
        <v>869</v>
      </c>
      <c r="F240" s="75" t="s">
        <v>869</v>
      </c>
      <c r="G240" s="120" t="s">
        <v>1002</v>
      </c>
      <c r="H240" s="120">
        <v>8114</v>
      </c>
      <c r="I240" s="75" t="s">
        <v>1016</v>
      </c>
      <c r="J240" s="75"/>
      <c r="K240" s="92"/>
      <c r="L240" s="92" t="s">
        <v>1362</v>
      </c>
    </row>
    <row r="241" spans="1:12" ht="29" x14ac:dyDescent="0.35">
      <c r="A241" s="126">
        <v>809</v>
      </c>
      <c r="B241" s="73">
        <v>2280</v>
      </c>
      <c r="C241" s="73" t="s">
        <v>1360</v>
      </c>
      <c r="D241" s="75" t="s">
        <v>870</v>
      </c>
      <c r="E241" s="75" t="s">
        <v>871</v>
      </c>
      <c r="F241" s="75" t="s">
        <v>871</v>
      </c>
      <c r="G241" s="120" t="s">
        <v>1002</v>
      </c>
      <c r="H241" s="120">
        <v>8117</v>
      </c>
      <c r="I241" s="75" t="s">
        <v>1016</v>
      </c>
      <c r="J241" s="75"/>
      <c r="K241" s="92"/>
      <c r="L241" s="92" t="s">
        <v>1363</v>
      </c>
    </row>
    <row r="242" spans="1:12" ht="29" x14ac:dyDescent="0.35">
      <c r="A242" s="126">
        <v>810</v>
      </c>
      <c r="B242" s="73">
        <v>2281</v>
      </c>
      <c r="C242" s="73" t="s">
        <v>1364</v>
      </c>
      <c r="D242" s="75" t="s">
        <v>873</v>
      </c>
      <c r="E242" s="75" t="s">
        <v>874</v>
      </c>
      <c r="F242" s="75" t="s">
        <v>874</v>
      </c>
      <c r="G242" s="120" t="s">
        <v>1002</v>
      </c>
      <c r="H242" s="120">
        <v>8121</v>
      </c>
      <c r="I242" s="75" t="s">
        <v>1016</v>
      </c>
      <c r="J242" s="75"/>
      <c r="K242" s="92"/>
      <c r="L242" s="92" t="s">
        <v>1365</v>
      </c>
    </row>
    <row r="243" spans="1:12" ht="29" x14ac:dyDescent="0.35">
      <c r="A243" s="126">
        <v>811</v>
      </c>
      <c r="B243" s="73">
        <v>2282</v>
      </c>
      <c r="C243" s="73" t="s">
        <v>1364</v>
      </c>
      <c r="D243" s="75" t="s">
        <v>875</v>
      </c>
      <c r="E243" s="75" t="s">
        <v>876</v>
      </c>
      <c r="F243" s="75" t="s">
        <v>876</v>
      </c>
      <c r="G243" s="120" t="s">
        <v>1002</v>
      </c>
      <c r="H243" s="120">
        <v>8124</v>
      </c>
      <c r="I243" s="75" t="s">
        <v>1016</v>
      </c>
      <c r="J243" s="75"/>
      <c r="K243" s="92"/>
      <c r="L243" s="92" t="s">
        <v>1366</v>
      </c>
    </row>
    <row r="244" spans="1:12" ht="29" x14ac:dyDescent="0.35">
      <c r="A244" s="126">
        <v>812</v>
      </c>
      <c r="B244" s="73">
        <v>2283</v>
      </c>
      <c r="C244" s="73" t="s">
        <v>1364</v>
      </c>
      <c r="D244" s="75" t="s">
        <v>877</v>
      </c>
      <c r="E244" s="75" t="s">
        <v>878</v>
      </c>
      <c r="F244" s="75" t="s">
        <v>878</v>
      </c>
      <c r="G244" s="120" t="s">
        <v>1002</v>
      </c>
      <c r="H244" s="120">
        <v>8127</v>
      </c>
      <c r="I244" s="75" t="s">
        <v>1016</v>
      </c>
      <c r="J244" s="75"/>
      <c r="K244" s="92"/>
      <c r="L244" s="92" t="s">
        <v>1367</v>
      </c>
    </row>
    <row r="245" spans="1:12" ht="29" x14ac:dyDescent="0.35">
      <c r="A245" s="126">
        <v>813</v>
      </c>
      <c r="B245" s="73">
        <v>2284</v>
      </c>
      <c r="C245" s="73" t="s">
        <v>1368</v>
      </c>
      <c r="D245" s="75" t="s">
        <v>880</v>
      </c>
      <c r="E245" s="75" t="s">
        <v>881</v>
      </c>
      <c r="F245" s="75" t="s">
        <v>881</v>
      </c>
      <c r="G245" s="120" t="s">
        <v>1002</v>
      </c>
      <c r="H245" s="120">
        <v>8131</v>
      </c>
      <c r="I245" s="75" t="s">
        <v>1016</v>
      </c>
      <c r="J245" s="75"/>
      <c r="K245" s="92"/>
      <c r="L245" s="92" t="s">
        <v>1369</v>
      </c>
    </row>
    <row r="246" spans="1:12" ht="29" x14ac:dyDescent="0.35">
      <c r="A246" s="126">
        <v>814</v>
      </c>
      <c r="B246" s="73">
        <v>2285</v>
      </c>
      <c r="C246" s="73" t="s">
        <v>1368</v>
      </c>
      <c r="D246" s="75" t="s">
        <v>882</v>
      </c>
      <c r="E246" s="75" t="s">
        <v>883</v>
      </c>
      <c r="F246" s="75" t="s">
        <v>883</v>
      </c>
      <c r="G246" s="120" t="s">
        <v>1002</v>
      </c>
      <c r="H246" s="120">
        <v>8134</v>
      </c>
      <c r="I246" s="75" t="s">
        <v>1016</v>
      </c>
      <c r="J246" s="75"/>
      <c r="K246" s="92"/>
      <c r="L246" s="92" t="s">
        <v>1370</v>
      </c>
    </row>
    <row r="247" spans="1:12" ht="29" x14ac:dyDescent="0.35">
      <c r="A247" s="126">
        <v>815</v>
      </c>
      <c r="B247" s="73">
        <v>2286</v>
      </c>
      <c r="C247" s="73" t="s">
        <v>1368</v>
      </c>
      <c r="D247" s="75" t="s">
        <v>884</v>
      </c>
      <c r="E247" s="75" t="s">
        <v>885</v>
      </c>
      <c r="F247" s="75" t="s">
        <v>885</v>
      </c>
      <c r="G247" s="120" t="s">
        <v>1002</v>
      </c>
      <c r="H247" s="120">
        <v>8137</v>
      </c>
      <c r="I247" s="75" t="s">
        <v>1016</v>
      </c>
      <c r="J247" s="75"/>
      <c r="K247" s="92"/>
      <c r="L247" s="92" t="s">
        <v>1371</v>
      </c>
    </row>
  </sheetData>
  <autoFilter ref="A1:M92" xr:uid="{F03758FD-6F84-410E-BF87-C1A1C4D1808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96"/>
  <sheetViews>
    <sheetView workbookViewId="0">
      <pane ySplit="1" topLeftCell="A295" activePane="bottomLeft" state="frozen"/>
      <selection pane="bottomLeft" activeCell="C306" sqref="C306"/>
    </sheetView>
  </sheetViews>
  <sheetFormatPr defaultRowHeight="14.5" x14ac:dyDescent="0.35"/>
  <cols>
    <col min="1" max="1" width="6.54296875" customWidth="1"/>
    <col min="2" max="2" width="19.453125" customWidth="1"/>
    <col min="3" max="3" width="33.1796875" customWidth="1"/>
    <col min="4" max="4" width="31.453125" customWidth="1"/>
    <col min="7" max="7" width="5.54296875" customWidth="1"/>
    <col min="8" max="8" width="6.1796875" customWidth="1"/>
    <col min="9" max="9" width="7.453125" customWidth="1"/>
    <col min="10" max="10" width="8.7265625" customWidth="1"/>
    <col min="14" max="14" width="33.81640625" customWidth="1"/>
    <col min="15" max="15" width="16.54296875" customWidth="1"/>
    <col min="16" max="16" width="10.81640625" customWidth="1"/>
    <col min="17" max="17" width="59" customWidth="1"/>
    <col min="18" max="18" width="67.7265625" customWidth="1"/>
    <col min="30" max="30" width="37.54296875" customWidth="1"/>
  </cols>
  <sheetData>
    <row r="1" spans="1:18" s="6" customFormat="1" ht="29" x14ac:dyDescent="0.35">
      <c r="A1" s="7" t="s">
        <v>0</v>
      </c>
      <c r="B1" s="29" t="s">
        <v>1</v>
      </c>
      <c r="C1" s="29" t="s">
        <v>2</v>
      </c>
      <c r="D1" s="29" t="s">
        <v>3</v>
      </c>
      <c r="E1" s="29" t="s">
        <v>1372</v>
      </c>
      <c r="F1" s="29" t="s">
        <v>1373</v>
      </c>
      <c r="G1" s="29" t="s">
        <v>4</v>
      </c>
      <c r="H1" s="29" t="s">
        <v>5</v>
      </c>
      <c r="I1" s="29" t="s">
        <v>1374</v>
      </c>
      <c r="J1" s="29" t="s">
        <v>7</v>
      </c>
      <c r="K1" s="29" t="s">
        <v>8</v>
      </c>
      <c r="L1" s="29" t="s">
        <v>9</v>
      </c>
      <c r="M1" s="29" t="s">
        <v>1375</v>
      </c>
      <c r="N1" s="29" t="s">
        <v>10</v>
      </c>
      <c r="O1" s="29" t="s">
        <v>11</v>
      </c>
      <c r="P1" s="29" t="s">
        <v>12</v>
      </c>
      <c r="Q1" s="29" t="s">
        <v>13</v>
      </c>
      <c r="R1" s="30" t="s">
        <v>14</v>
      </c>
    </row>
    <row r="2" spans="1:18" x14ac:dyDescent="0.35">
      <c r="A2" s="8"/>
      <c r="B2" s="8" t="s">
        <v>1376</v>
      </c>
      <c r="C2" s="8" t="s">
        <v>16</v>
      </c>
      <c r="D2" s="8" t="s">
        <v>17</v>
      </c>
      <c r="E2" s="8" t="s">
        <v>1377</v>
      </c>
      <c r="F2" s="8" t="s">
        <v>1377</v>
      </c>
      <c r="G2" s="8">
        <v>0</v>
      </c>
      <c r="H2" s="8">
        <v>60</v>
      </c>
      <c r="I2" s="8">
        <v>0</v>
      </c>
      <c r="J2" s="8" t="s">
        <v>1377</v>
      </c>
      <c r="K2" s="8" t="s">
        <v>1377</v>
      </c>
      <c r="L2" s="8" t="s">
        <v>1377</v>
      </c>
      <c r="M2" s="15" t="s">
        <v>1377</v>
      </c>
      <c r="N2" s="17"/>
      <c r="O2" s="16" t="s">
        <v>1377</v>
      </c>
      <c r="P2" s="10" t="s">
        <v>1377</v>
      </c>
      <c r="R2" t="str">
        <f>CONCATENATE("INSERT INTO TransformationEngine_Field (FieldName, FieldDescription, SourceFieldName, DetailField, Length, Required, OutputFieldName, AllowedChars) VALUES ('", B2, "', '", C2, "', '", D2, "',", G2, ", ", H2, ", ", I2, ", '", N2, "', '", K2,"')")</f>
        <v>INSERT INTO TransformationEngine_Field (FieldName, FieldDescription, SourceFieldName, DetailField, Length, Required, OutputFieldName, AllowedChars) VALUES ('Output UB Box 1', 'Billing Provider Line 1', 'OCRProvInfo_1',0, 60, 0, '', 'NULL')</v>
      </c>
    </row>
    <row r="3" spans="1:18" x14ac:dyDescent="0.35">
      <c r="A3" s="8"/>
      <c r="B3" s="8" t="s">
        <v>1376</v>
      </c>
      <c r="C3" s="8" t="s">
        <v>20</v>
      </c>
      <c r="D3" s="8" t="s">
        <v>21</v>
      </c>
      <c r="E3" s="8" t="s">
        <v>1377</v>
      </c>
      <c r="F3" s="8" t="s">
        <v>1377</v>
      </c>
      <c r="G3" s="8">
        <v>0</v>
      </c>
      <c r="H3" s="8">
        <v>60</v>
      </c>
      <c r="I3" s="8">
        <v>0</v>
      </c>
      <c r="J3" s="8" t="s">
        <v>1377</v>
      </c>
      <c r="K3" s="8" t="s">
        <v>1377</v>
      </c>
      <c r="L3" s="8" t="s">
        <v>1377</v>
      </c>
      <c r="M3" s="15" t="s">
        <v>1377</v>
      </c>
      <c r="N3" s="17"/>
      <c r="O3" s="16" t="s">
        <v>1377</v>
      </c>
      <c r="P3" s="10" t="s">
        <v>1377</v>
      </c>
      <c r="R3" t="str">
        <f t="shared" ref="R3:R67" si="0">CONCATENATE("INSERT INTO TransformationEngine_Field (FieldName, FieldDescription, SourceFieldName, DetailField, Length, Required, OutputFieldName, AllowedChars) VALUES ('", B3, "', '", C3, "', '", D3, "',", G3, ", ", H3, ", ", I3, ", '", N3, "', '", K3,"')")</f>
        <v>INSERT INTO TransformationEngine_Field (FieldName, FieldDescription, SourceFieldName, DetailField, Length, Required, OutputFieldName, AllowedChars) VALUES ('Output UB Box 1', 'Billing Provider Line 2', 'OCRProvInfo_2',0, 60, 0, '', 'NULL')</v>
      </c>
    </row>
    <row r="4" spans="1:18" x14ac:dyDescent="0.35">
      <c r="A4" s="8"/>
      <c r="B4" s="8" t="s">
        <v>1376</v>
      </c>
      <c r="C4" s="8" t="s">
        <v>23</v>
      </c>
      <c r="D4" s="8" t="s">
        <v>24</v>
      </c>
      <c r="E4" s="8" t="s">
        <v>1377</v>
      </c>
      <c r="F4" s="8" t="s">
        <v>1377</v>
      </c>
      <c r="G4" s="8">
        <v>0</v>
      </c>
      <c r="H4" s="8">
        <v>60</v>
      </c>
      <c r="I4" s="8">
        <v>0</v>
      </c>
      <c r="J4" s="8" t="s">
        <v>1377</v>
      </c>
      <c r="K4" s="8" t="s">
        <v>1377</v>
      </c>
      <c r="L4" s="8" t="s">
        <v>1377</v>
      </c>
      <c r="M4" s="15" t="s">
        <v>1377</v>
      </c>
      <c r="N4" s="17"/>
      <c r="O4" s="16" t="s">
        <v>1377</v>
      </c>
      <c r="P4" s="10" t="s">
        <v>1377</v>
      </c>
      <c r="R4" t="str">
        <f t="shared" si="0"/>
        <v>INSERT INTO TransformationEngine_Field (FieldName, FieldDescription, SourceFieldName, DetailField, Length, Required, OutputFieldName, AllowedChars) VALUES ('Output UB Box 1', 'Billing Provider Line 3', 'OCRProvInfo_3',0, 60, 0, '', 'NULL')</v>
      </c>
    </row>
    <row r="5" spans="1:18" x14ac:dyDescent="0.35">
      <c r="A5" s="8"/>
      <c r="B5" s="8" t="s">
        <v>1376</v>
      </c>
      <c r="C5" s="8" t="s">
        <v>25</v>
      </c>
      <c r="D5" s="8" t="s">
        <v>26</v>
      </c>
      <c r="E5" s="8" t="s">
        <v>1377</v>
      </c>
      <c r="F5" s="8" t="s">
        <v>1377</v>
      </c>
      <c r="G5" s="8">
        <v>0</v>
      </c>
      <c r="H5" s="8">
        <v>60</v>
      </c>
      <c r="I5" s="8">
        <v>0</v>
      </c>
      <c r="J5" s="8" t="s">
        <v>1377</v>
      </c>
      <c r="K5" s="8" t="s">
        <v>1377</v>
      </c>
      <c r="L5" s="8" t="s">
        <v>1377</v>
      </c>
      <c r="M5" s="15" t="s">
        <v>1377</v>
      </c>
      <c r="N5" s="17"/>
      <c r="O5" s="16" t="s">
        <v>1377</v>
      </c>
      <c r="P5" s="10" t="s">
        <v>1377</v>
      </c>
      <c r="R5" t="str">
        <f t="shared" si="0"/>
        <v>INSERT INTO TransformationEngine_Field (FieldName, FieldDescription, SourceFieldName, DetailField, Length, Required, OutputFieldName, AllowedChars) VALUES ('Output UB Box 1', 'Billing Provider Line 4', 'OCRProvInfo_4',0, 60, 0, '', 'NULL')</v>
      </c>
    </row>
    <row r="6" spans="1:18" x14ac:dyDescent="0.35">
      <c r="A6" s="8"/>
      <c r="B6" s="8" t="s">
        <v>1376</v>
      </c>
      <c r="C6" s="8" t="s">
        <v>29</v>
      </c>
      <c r="D6" s="11" t="s">
        <v>285</v>
      </c>
      <c r="E6" s="9" t="s">
        <v>1377</v>
      </c>
      <c r="F6" s="9" t="s">
        <v>1377</v>
      </c>
      <c r="G6" s="9">
        <v>0</v>
      </c>
      <c r="H6" s="9">
        <v>60</v>
      </c>
      <c r="I6" s="9">
        <v>0</v>
      </c>
      <c r="J6" s="9" t="s">
        <v>1377</v>
      </c>
      <c r="K6" s="9" t="s">
        <v>56</v>
      </c>
      <c r="L6" s="9" t="s">
        <v>1377</v>
      </c>
      <c r="M6" s="18" t="s">
        <v>1377</v>
      </c>
      <c r="N6" s="17" t="s">
        <v>1378</v>
      </c>
      <c r="O6" s="16" t="s">
        <v>1377</v>
      </c>
      <c r="P6" s="10" t="s">
        <v>1377</v>
      </c>
      <c r="R6" t="str">
        <f t="shared" si="0"/>
        <v>INSERT INTO TransformationEngine_Field (FieldName, FieldDescription, SourceFieldName, DetailField, Length, Required, OutputFieldName, AllowedChars) VALUES ('Output UB Box 1', 'Billing Provider - Name', 'ResponsibleParty_Name',0, 60, 0, 'CLM-SERV-PROV-NAME-GROUP', 'A-Z, ,',-,.,')</v>
      </c>
    </row>
    <row r="7" spans="1:18" x14ac:dyDescent="0.35">
      <c r="A7" s="8"/>
      <c r="B7" s="8" t="s">
        <v>1376</v>
      </c>
      <c r="C7" s="8" t="s">
        <v>32</v>
      </c>
      <c r="D7" s="11" t="s">
        <v>287</v>
      </c>
      <c r="E7" s="9" t="s">
        <v>1377</v>
      </c>
      <c r="F7" s="9" t="s">
        <v>1377</v>
      </c>
      <c r="G7" s="9">
        <v>0</v>
      </c>
      <c r="H7" s="9">
        <v>30</v>
      </c>
      <c r="I7" s="9">
        <v>0</v>
      </c>
      <c r="J7" s="9" t="s">
        <v>1377</v>
      </c>
      <c r="K7" s="9" t="s">
        <v>31</v>
      </c>
      <c r="L7" s="9" t="s">
        <v>1377</v>
      </c>
      <c r="M7" s="18" t="s">
        <v>1377</v>
      </c>
      <c r="N7" s="17" t="s">
        <v>1379</v>
      </c>
      <c r="O7" s="16" t="s">
        <v>1377</v>
      </c>
      <c r="P7" s="10" t="s">
        <v>1377</v>
      </c>
      <c r="R7" t="str">
        <f t="shared" si="0"/>
        <v>INSERT INTO TransformationEngine_Field (FieldName, FieldDescription, SourceFieldName, DetailField, Length, Required, OutputFieldName, AllowedChars) VALUES ('Output UB Box 1', 'Billing Provider - Street Address', 'ResponsibleParty_Addr_Street',0, 30, 0, 'CLM- SERV-PROV-ADDR-STREET', '0-9,A-Z, ,-,.,/,',&amp;,#')</v>
      </c>
    </row>
    <row r="8" spans="1:18" x14ac:dyDescent="0.35">
      <c r="A8" s="8"/>
      <c r="B8" s="8" t="s">
        <v>1376</v>
      </c>
      <c r="C8" s="8" t="s">
        <v>33</v>
      </c>
      <c r="D8" s="11" t="s">
        <v>289</v>
      </c>
      <c r="E8" s="9" t="s">
        <v>1377</v>
      </c>
      <c r="F8" s="9" t="s">
        <v>1377</v>
      </c>
      <c r="G8" s="9">
        <v>0</v>
      </c>
      <c r="H8" s="9">
        <v>20</v>
      </c>
      <c r="I8" s="9">
        <v>0</v>
      </c>
      <c r="J8" s="9" t="s">
        <v>1377</v>
      </c>
      <c r="K8" s="9" t="s">
        <v>61</v>
      </c>
      <c r="L8" s="9" t="s">
        <v>1377</v>
      </c>
      <c r="M8" s="18" t="s">
        <v>1377</v>
      </c>
      <c r="N8" s="17" t="s">
        <v>1380</v>
      </c>
      <c r="O8" s="16" t="s">
        <v>1377</v>
      </c>
      <c r="P8" s="10" t="s">
        <v>1377</v>
      </c>
      <c r="R8" t="str">
        <f t="shared" si="0"/>
        <v>INSERT INTO TransformationEngine_Field (FieldName, FieldDescription, SourceFieldName, DetailField, Length, Required, OutputFieldName, AllowedChars) VALUES ('Output UB Box 1', 'Billing Provider - City', 'ResponsibleParty_Addr_City',0, 20, 0, 'CLM- SERV-PROV-ADDR-CITY', ' ,A-Z')</v>
      </c>
    </row>
    <row r="9" spans="1:18" x14ac:dyDescent="0.35">
      <c r="A9" s="8"/>
      <c r="B9" s="8" t="s">
        <v>1376</v>
      </c>
      <c r="C9" s="8" t="s">
        <v>36</v>
      </c>
      <c r="D9" s="11" t="s">
        <v>291</v>
      </c>
      <c r="E9" s="9" t="s">
        <v>1377</v>
      </c>
      <c r="F9" s="9" t="s">
        <v>1377</v>
      </c>
      <c r="G9" s="9">
        <v>0</v>
      </c>
      <c r="H9" s="9">
        <v>2</v>
      </c>
      <c r="I9" s="9">
        <v>0</v>
      </c>
      <c r="J9" s="9" t="s">
        <v>1377</v>
      </c>
      <c r="K9" s="9" t="s">
        <v>61</v>
      </c>
      <c r="L9" s="9" t="s">
        <v>1377</v>
      </c>
      <c r="M9" s="18" t="s">
        <v>1377</v>
      </c>
      <c r="N9" s="17" t="s">
        <v>1381</v>
      </c>
      <c r="O9" s="16" t="s">
        <v>1377</v>
      </c>
      <c r="P9" s="10" t="s">
        <v>1377</v>
      </c>
      <c r="R9" t="str">
        <f t="shared" si="0"/>
        <v>INSERT INTO TransformationEngine_Field (FieldName, FieldDescription, SourceFieldName, DetailField, Length, Required, OutputFieldName, AllowedChars) VALUES ('Output UB Box 1', 'Billing Provider - State', 'ResponsibleParty_Addr_State',0, 2, 0, 'CLM- SERV-PROV-ADDR-STATE', ' ,A-Z')</v>
      </c>
    </row>
    <row r="10" spans="1:18" x14ac:dyDescent="0.35">
      <c r="A10" s="8"/>
      <c r="B10" s="8" t="s">
        <v>1376</v>
      </c>
      <c r="C10" s="8" t="s">
        <v>38</v>
      </c>
      <c r="D10" s="11" t="s">
        <v>293</v>
      </c>
      <c r="E10" s="9" t="s">
        <v>1377</v>
      </c>
      <c r="F10" s="9" t="s">
        <v>1377</v>
      </c>
      <c r="G10" s="9">
        <v>0</v>
      </c>
      <c r="H10" s="9">
        <v>10</v>
      </c>
      <c r="I10" s="9">
        <v>0</v>
      </c>
      <c r="J10" s="9" t="s">
        <v>1377</v>
      </c>
      <c r="K10" s="12" t="s">
        <v>27</v>
      </c>
      <c r="L10" s="9" t="s">
        <v>1377</v>
      </c>
      <c r="M10" s="18" t="s">
        <v>1377</v>
      </c>
      <c r="N10" s="17" t="s">
        <v>1382</v>
      </c>
      <c r="O10" s="16" t="s">
        <v>1377</v>
      </c>
      <c r="P10" s="10" t="s">
        <v>1377</v>
      </c>
      <c r="Q10" s="20"/>
      <c r="R10" t="str">
        <f t="shared" si="0"/>
        <v>INSERT INTO TransformationEngine_Field (FieldName, FieldDescription, SourceFieldName, DetailField, Length, Required, OutputFieldName, AllowedChars) VALUES ('Output UB Box 1', 'Billing Provider - Zip', 'ResponsibleParty_Addr_Zip',0, 10, 0, 'CLM- SERV-PROV-ADDR-ZIP', '0-9')</v>
      </c>
    </row>
    <row r="11" spans="1:18" x14ac:dyDescent="0.35">
      <c r="A11" s="8"/>
      <c r="B11" s="8" t="s">
        <v>1376</v>
      </c>
      <c r="C11" s="8" t="s">
        <v>41</v>
      </c>
      <c r="D11" s="11" t="s">
        <v>295</v>
      </c>
      <c r="E11" s="9" t="s">
        <v>1377</v>
      </c>
      <c r="F11" s="9" t="s">
        <v>1377</v>
      </c>
      <c r="G11" s="9">
        <v>0</v>
      </c>
      <c r="H11" s="9">
        <v>4</v>
      </c>
      <c r="I11" s="9">
        <v>0</v>
      </c>
      <c r="J11" s="9" t="s">
        <v>1377</v>
      </c>
      <c r="K11" s="12" t="s">
        <v>27</v>
      </c>
      <c r="L11" s="9" t="s">
        <v>1377</v>
      </c>
      <c r="M11" s="18" t="s">
        <v>1377</v>
      </c>
      <c r="N11" s="17"/>
      <c r="O11" s="16" t="s">
        <v>1377</v>
      </c>
      <c r="P11" s="10" t="s">
        <v>1377</v>
      </c>
      <c r="R11" t="str">
        <f t="shared" si="0"/>
        <v>INSERT INTO TransformationEngine_Field (FieldName, FieldDescription, SourceFieldName, DetailField, Length, Required, OutputFieldName, AllowedChars) VALUES ('Output UB Box 1', 'Billing Provider - Zip Plus', 'ResponsibleParty_Addr_ZipPLus',0, 4, 0, '', '0-9')</v>
      </c>
    </row>
    <row r="12" spans="1:18" x14ac:dyDescent="0.35">
      <c r="A12" s="8"/>
      <c r="B12" s="8" t="s">
        <v>1376</v>
      </c>
      <c r="C12" s="8" t="s">
        <v>43</v>
      </c>
      <c r="D12" s="11" t="s">
        <v>1383</v>
      </c>
      <c r="E12" s="9" t="s">
        <v>1377</v>
      </c>
      <c r="F12" s="9" t="s">
        <v>1377</v>
      </c>
      <c r="G12" s="9">
        <v>0</v>
      </c>
      <c r="H12" s="9">
        <v>20</v>
      </c>
      <c r="I12" s="9">
        <v>0</v>
      </c>
      <c r="J12" s="9" t="s">
        <v>1377</v>
      </c>
      <c r="K12" s="9" t="s">
        <v>1384</v>
      </c>
      <c r="L12" s="9" t="s">
        <v>1377</v>
      </c>
      <c r="M12" s="18" t="s">
        <v>1377</v>
      </c>
      <c r="N12" s="17" t="s">
        <v>1385</v>
      </c>
      <c r="O12" s="16" t="s">
        <v>1377</v>
      </c>
      <c r="P12" s="10" t="s">
        <v>1377</v>
      </c>
      <c r="Q12" s="20"/>
      <c r="R12" t="str">
        <f t="shared" si="0"/>
        <v>INSERT INTO TransformationEngine_Field (FieldName, FieldDescription, SourceFieldName, DetailField, Length, Required, OutputFieldName, AllowedChars) VALUES ('Output UB Box 1', 'Billing Provider - Phone', 'ResponsibleParty_Phone',0, 20, 0, 'CLM-SERV-PROV-PHONE', '0-9, ,-')</v>
      </c>
    </row>
    <row r="13" spans="1:18" x14ac:dyDescent="0.35">
      <c r="A13" s="8"/>
      <c r="B13" s="8" t="s">
        <v>1386</v>
      </c>
      <c r="C13" s="8" t="s">
        <v>45</v>
      </c>
      <c r="D13" s="8" t="s">
        <v>46</v>
      </c>
      <c r="E13" s="8" t="s">
        <v>1377</v>
      </c>
      <c r="F13" s="8" t="s">
        <v>1377</v>
      </c>
      <c r="G13" s="8">
        <v>0</v>
      </c>
      <c r="H13" s="8">
        <v>60</v>
      </c>
      <c r="I13" s="8">
        <v>0</v>
      </c>
      <c r="J13" s="8" t="s">
        <v>1377</v>
      </c>
      <c r="K13" s="8" t="s">
        <v>1377</v>
      </c>
      <c r="L13" s="8" t="s">
        <v>1377</v>
      </c>
      <c r="M13" s="15" t="s">
        <v>1377</v>
      </c>
      <c r="N13" s="17"/>
      <c r="O13" s="16" t="s">
        <v>1377</v>
      </c>
      <c r="P13" s="10" t="s">
        <v>1377</v>
      </c>
      <c r="R13" t="str">
        <f t="shared" si="0"/>
        <v>INSERT INTO TransformationEngine_Field (FieldName, FieldDescription, SourceFieldName, DetailField, Length, Required, OutputFieldName, AllowedChars) VALUES ('Output UB Box 2', 'Pay To Provider Line 1', 'OCRPaytoProvInfo_1',0, 60, 0, '', 'NULL')</v>
      </c>
    </row>
    <row r="14" spans="1:18" x14ac:dyDescent="0.35">
      <c r="A14" s="8"/>
      <c r="B14" s="8" t="s">
        <v>1386</v>
      </c>
      <c r="C14" s="8" t="s">
        <v>48</v>
      </c>
      <c r="D14" s="8" t="s">
        <v>49</v>
      </c>
      <c r="E14" s="8" t="s">
        <v>1377</v>
      </c>
      <c r="F14" s="8" t="s">
        <v>1377</v>
      </c>
      <c r="G14" s="8">
        <v>0</v>
      </c>
      <c r="H14" s="8">
        <v>60</v>
      </c>
      <c r="I14" s="8">
        <v>0</v>
      </c>
      <c r="J14" s="8" t="s">
        <v>1377</v>
      </c>
      <c r="K14" s="8" t="s">
        <v>1377</v>
      </c>
      <c r="L14" s="8" t="s">
        <v>1377</v>
      </c>
      <c r="M14" s="15" t="s">
        <v>1377</v>
      </c>
      <c r="N14" s="17"/>
      <c r="O14" s="16" t="s">
        <v>1377</v>
      </c>
      <c r="P14" s="10" t="s">
        <v>1377</v>
      </c>
      <c r="R14" t="str">
        <f t="shared" si="0"/>
        <v>INSERT INTO TransformationEngine_Field (FieldName, FieldDescription, SourceFieldName, DetailField, Length, Required, OutputFieldName, AllowedChars) VALUES ('Output UB Box 2', 'Pay To Provider Line 2', 'OCRPaytoProvInfo_2',0, 60, 0, '', 'NULL')</v>
      </c>
    </row>
    <row r="15" spans="1:18" x14ac:dyDescent="0.35">
      <c r="A15" s="8"/>
      <c r="B15" s="8" t="s">
        <v>1386</v>
      </c>
      <c r="C15" s="8" t="s">
        <v>50</v>
      </c>
      <c r="D15" s="8" t="s">
        <v>51</v>
      </c>
      <c r="E15" s="8" t="s">
        <v>1377</v>
      </c>
      <c r="F15" s="8" t="s">
        <v>1377</v>
      </c>
      <c r="G15" s="8">
        <v>0</v>
      </c>
      <c r="H15" s="8">
        <v>60</v>
      </c>
      <c r="I15" s="8">
        <v>0</v>
      </c>
      <c r="J15" s="8" t="s">
        <v>1377</v>
      </c>
      <c r="K15" s="8" t="s">
        <v>1377</v>
      </c>
      <c r="L15" s="8" t="s">
        <v>1377</v>
      </c>
      <c r="M15" s="15" t="s">
        <v>1377</v>
      </c>
      <c r="N15" s="17"/>
      <c r="O15" s="16" t="s">
        <v>1377</v>
      </c>
      <c r="P15" s="10" t="s">
        <v>1377</v>
      </c>
      <c r="R15" t="str">
        <f t="shared" si="0"/>
        <v>INSERT INTO TransformationEngine_Field (FieldName, FieldDescription, SourceFieldName, DetailField, Length, Required, OutputFieldName, AllowedChars) VALUES ('Output UB Box 2', 'Pay To Provider Line 3', 'OCRPaytoProvInfo_3',0, 60, 0, '', 'NULL')</v>
      </c>
    </row>
    <row r="16" spans="1:18" x14ac:dyDescent="0.35">
      <c r="A16" s="8"/>
      <c r="B16" s="8" t="s">
        <v>1386</v>
      </c>
      <c r="C16" s="8" t="s">
        <v>52</v>
      </c>
      <c r="D16" s="8" t="s">
        <v>53</v>
      </c>
      <c r="E16" s="8" t="s">
        <v>1377</v>
      </c>
      <c r="F16" s="8" t="s">
        <v>1377</v>
      </c>
      <c r="G16" s="8">
        <v>0</v>
      </c>
      <c r="H16" s="8">
        <v>60</v>
      </c>
      <c r="I16" s="8">
        <v>0</v>
      </c>
      <c r="J16" s="8" t="s">
        <v>1377</v>
      </c>
      <c r="K16" s="8" t="s">
        <v>1377</v>
      </c>
      <c r="L16" s="8" t="s">
        <v>1377</v>
      </c>
      <c r="M16" s="15" t="s">
        <v>1377</v>
      </c>
      <c r="N16" s="17"/>
      <c r="O16" s="16" t="s">
        <v>1377</v>
      </c>
      <c r="P16" s="10" t="s">
        <v>1377</v>
      </c>
      <c r="R16" t="str">
        <f t="shared" si="0"/>
        <v>INSERT INTO TransformationEngine_Field (FieldName, FieldDescription, SourceFieldName, DetailField, Length, Required, OutputFieldName, AllowedChars) VALUES ('Output UB Box 2', 'Pay To Provider Line 4', 'OCRPaytoProvInfo_4',0, 60, 0, '', 'NULL')</v>
      </c>
    </row>
    <row r="17" spans="1:18" x14ac:dyDescent="0.35">
      <c r="A17" s="8"/>
      <c r="B17" s="8" t="s">
        <v>1386</v>
      </c>
      <c r="C17" s="8" t="s">
        <v>1387</v>
      </c>
      <c r="D17" s="11" t="s">
        <v>55</v>
      </c>
      <c r="E17" s="9" t="s">
        <v>1377</v>
      </c>
      <c r="F17" s="9" t="s">
        <v>1377</v>
      </c>
      <c r="G17" s="9">
        <v>0</v>
      </c>
      <c r="H17" s="9">
        <v>30</v>
      </c>
      <c r="I17" s="9">
        <v>0</v>
      </c>
      <c r="J17" s="9" t="s">
        <v>1377</v>
      </c>
      <c r="K17" s="9" t="s">
        <v>56</v>
      </c>
      <c r="L17" s="9" t="s">
        <v>1377</v>
      </c>
      <c r="M17" s="18" t="s">
        <v>1377</v>
      </c>
      <c r="N17" s="17" t="s">
        <v>1388</v>
      </c>
      <c r="O17" s="16" t="s">
        <v>1377</v>
      </c>
      <c r="P17" s="10" t="s">
        <v>1377</v>
      </c>
      <c r="Q17" s="20"/>
      <c r="R17" t="str">
        <f t="shared" si="0"/>
        <v>INSERT INTO TransformationEngine_Field (FieldName, FieldDescription, SourceFieldName, DetailField, Length, Required, OutputFieldName, AllowedChars) VALUES ('Output UB Box 2', 'Pay To Provider - Last Name', 'PayToProvider_Name',0, 30, 0, 'CLM-BILL-PROV-NAME-GROUP', 'A-Z, ,',-,.,')</v>
      </c>
    </row>
    <row r="18" spans="1:18" x14ac:dyDescent="0.35">
      <c r="A18" s="8"/>
      <c r="B18" s="8" t="s">
        <v>1386</v>
      </c>
      <c r="C18" s="8" t="s">
        <v>57</v>
      </c>
      <c r="D18" s="11" t="s">
        <v>58</v>
      </c>
      <c r="E18" s="9" t="s">
        <v>1377</v>
      </c>
      <c r="F18" s="9" t="s">
        <v>1377</v>
      </c>
      <c r="G18" s="9">
        <v>0</v>
      </c>
      <c r="H18" s="9">
        <v>30</v>
      </c>
      <c r="I18" s="9">
        <v>0</v>
      </c>
      <c r="J18" s="9" t="s">
        <v>1377</v>
      </c>
      <c r="K18" s="9" t="s">
        <v>31</v>
      </c>
      <c r="L18" s="9" t="s">
        <v>1377</v>
      </c>
      <c r="M18" s="18" t="s">
        <v>1377</v>
      </c>
      <c r="N18" s="17" t="s">
        <v>1389</v>
      </c>
      <c r="O18" s="16" t="s">
        <v>1377</v>
      </c>
      <c r="P18" s="10" t="s">
        <v>1377</v>
      </c>
      <c r="R18" t="str">
        <f t="shared" si="0"/>
        <v>INSERT INTO TransformationEngine_Field (FieldName, FieldDescription, SourceFieldName, DetailField, Length, Required, OutputFieldName, AllowedChars) VALUES ('Output UB Box 2', 'Pay To Provider - Street Address', 'PayToProvider_Addr_Street',0, 30, 0, 'CLM-BILL-PROV-ADDR-STREET', '0-9,A-Z, ,-,.,/,',&amp;,#')</v>
      </c>
    </row>
    <row r="19" spans="1:18" x14ac:dyDescent="0.35">
      <c r="A19" s="8"/>
      <c r="B19" s="8" t="s">
        <v>1386</v>
      </c>
      <c r="C19" s="8" t="s">
        <v>59</v>
      </c>
      <c r="D19" s="11" t="s">
        <v>60</v>
      </c>
      <c r="E19" s="9" t="s">
        <v>1377</v>
      </c>
      <c r="F19" s="9" t="s">
        <v>1377</v>
      </c>
      <c r="G19" s="9">
        <v>0</v>
      </c>
      <c r="H19" s="9">
        <v>20</v>
      </c>
      <c r="I19" s="9">
        <v>0</v>
      </c>
      <c r="J19" s="9" t="s">
        <v>1377</v>
      </c>
      <c r="K19" s="9" t="s">
        <v>61</v>
      </c>
      <c r="L19" s="9" t="s">
        <v>1377</v>
      </c>
      <c r="M19" s="18" t="s">
        <v>1377</v>
      </c>
      <c r="N19" s="17" t="s">
        <v>1390</v>
      </c>
      <c r="O19" s="16" t="s">
        <v>1377</v>
      </c>
      <c r="P19" s="10" t="s">
        <v>1377</v>
      </c>
      <c r="R19" t="str">
        <f t="shared" si="0"/>
        <v>INSERT INTO TransformationEngine_Field (FieldName, FieldDescription, SourceFieldName, DetailField, Length, Required, OutputFieldName, AllowedChars) VALUES ('Output UB Box 2', 'Pay To Provider - City', 'PayToProvider_Addr_City',0, 20, 0, 'CLM-BILL-PROV-ADDR-CITY', ' ,A-Z')</v>
      </c>
    </row>
    <row r="20" spans="1:18" x14ac:dyDescent="0.35">
      <c r="A20" s="8"/>
      <c r="B20" s="8" t="s">
        <v>1386</v>
      </c>
      <c r="C20" s="8" t="s">
        <v>62</v>
      </c>
      <c r="D20" s="11" t="s">
        <v>63</v>
      </c>
      <c r="E20" s="9" t="s">
        <v>1377</v>
      </c>
      <c r="F20" s="9" t="s">
        <v>1377</v>
      </c>
      <c r="G20" s="9">
        <v>0</v>
      </c>
      <c r="H20" s="9">
        <v>2</v>
      </c>
      <c r="I20" s="9">
        <v>0</v>
      </c>
      <c r="J20" s="9" t="s">
        <v>1377</v>
      </c>
      <c r="K20" s="9" t="s">
        <v>61</v>
      </c>
      <c r="L20" s="9" t="s">
        <v>1377</v>
      </c>
      <c r="M20" s="18" t="s">
        <v>1377</v>
      </c>
      <c r="N20" s="17" t="s">
        <v>1391</v>
      </c>
      <c r="O20" s="16" t="s">
        <v>1377</v>
      </c>
      <c r="P20" s="10" t="s">
        <v>1377</v>
      </c>
      <c r="R20" t="str">
        <f t="shared" si="0"/>
        <v>INSERT INTO TransformationEngine_Field (FieldName, FieldDescription, SourceFieldName, DetailField, Length, Required, OutputFieldName, AllowedChars) VALUES ('Output UB Box 2', 'Pay To Provider - State', 'PayToProvider_Addr_State',0, 2, 0, 'CLM-BILL-PROV-ADDR-STATE', ' ,A-Z')</v>
      </c>
    </row>
    <row r="21" spans="1:18" x14ac:dyDescent="0.35">
      <c r="A21" s="8"/>
      <c r="B21" s="8" t="s">
        <v>1386</v>
      </c>
      <c r="C21" s="8" t="s">
        <v>64</v>
      </c>
      <c r="D21" s="11" t="s">
        <v>65</v>
      </c>
      <c r="E21" s="9" t="s">
        <v>1377</v>
      </c>
      <c r="F21" s="9" t="s">
        <v>1377</v>
      </c>
      <c r="G21" s="9">
        <v>0</v>
      </c>
      <c r="H21" s="9">
        <v>5</v>
      </c>
      <c r="I21" s="9">
        <v>0</v>
      </c>
      <c r="J21" s="9" t="s">
        <v>1377</v>
      </c>
      <c r="K21" s="12" t="s">
        <v>27</v>
      </c>
      <c r="L21" s="9" t="s">
        <v>1377</v>
      </c>
      <c r="M21" s="18" t="s">
        <v>1377</v>
      </c>
      <c r="N21" s="17" t="s">
        <v>1392</v>
      </c>
      <c r="O21" s="16" t="s">
        <v>1377</v>
      </c>
      <c r="P21" s="10" t="s">
        <v>1377</v>
      </c>
      <c r="Q21" s="20"/>
      <c r="R21" t="str">
        <f t="shared" si="0"/>
        <v>INSERT INTO TransformationEngine_Field (FieldName, FieldDescription, SourceFieldName, DetailField, Length, Required, OutputFieldName, AllowedChars) VALUES ('Output UB Box 2', 'Pay To Provider - Zip', 'PayToProvider_Addr_Zip',0, 5, 0, 'CLM-BILL-PROV-ADDR-ZIP', '0-9')</v>
      </c>
    </row>
    <row r="22" spans="1:18" x14ac:dyDescent="0.35">
      <c r="A22" s="8"/>
      <c r="B22" s="8" t="s">
        <v>1386</v>
      </c>
      <c r="C22" s="8" t="s">
        <v>66</v>
      </c>
      <c r="D22" s="11" t="s">
        <v>67</v>
      </c>
      <c r="E22" s="9" t="s">
        <v>1377</v>
      </c>
      <c r="F22" s="9" t="s">
        <v>1377</v>
      </c>
      <c r="G22" s="9">
        <v>0</v>
      </c>
      <c r="H22" s="9">
        <v>4</v>
      </c>
      <c r="I22" s="9">
        <v>0</v>
      </c>
      <c r="J22" s="9" t="s">
        <v>1377</v>
      </c>
      <c r="K22" s="12" t="s">
        <v>27</v>
      </c>
      <c r="L22" s="9" t="s">
        <v>1377</v>
      </c>
      <c r="M22" s="18" t="s">
        <v>1377</v>
      </c>
      <c r="N22" s="17"/>
      <c r="O22" s="16" t="s">
        <v>1377</v>
      </c>
      <c r="P22" s="10" t="s">
        <v>1377</v>
      </c>
      <c r="R22" t="str">
        <f t="shared" si="0"/>
        <v>INSERT INTO TransformationEngine_Field (FieldName, FieldDescription, SourceFieldName, DetailField, Length, Required, OutputFieldName, AllowedChars) VALUES ('Output UB Box 2', 'Pay To Provider - Zip Plus', 'PayToProvider_Addr_ZipPLus',0, 4, 0, '', '0-9')</v>
      </c>
    </row>
    <row r="23" spans="1:18" x14ac:dyDescent="0.35">
      <c r="A23" s="8"/>
      <c r="B23" s="8" t="s">
        <v>1393</v>
      </c>
      <c r="C23" s="8" t="s">
        <v>69</v>
      </c>
      <c r="D23" s="8" t="s">
        <v>70</v>
      </c>
      <c r="E23" s="8" t="s">
        <v>1377</v>
      </c>
      <c r="F23" s="8" t="s">
        <v>1377</v>
      </c>
      <c r="G23" s="8">
        <v>0</v>
      </c>
      <c r="H23" s="13">
        <v>30</v>
      </c>
      <c r="I23" s="8">
        <v>0</v>
      </c>
      <c r="J23" s="8" t="s">
        <v>1377</v>
      </c>
      <c r="K23" s="8" t="s">
        <v>71</v>
      </c>
      <c r="L23" s="8" t="s">
        <v>1377</v>
      </c>
      <c r="M23" s="15" t="s">
        <v>1377</v>
      </c>
      <c r="N23" s="17" t="s">
        <v>1394</v>
      </c>
      <c r="O23" s="16" t="s">
        <v>1377</v>
      </c>
      <c r="P23" s="10" t="s">
        <v>1377</v>
      </c>
      <c r="Q23" s="20"/>
      <c r="R23" t="str">
        <f t="shared" si="0"/>
        <v>INSERT INTO TransformationEngine_Field (FieldName, FieldDescription, SourceFieldName, DetailField, Length, Required, OutputFieldName, AllowedChars) VALUES ('Output UB Box 3a', 'Patient Control Number', 'OCRPatCtl',0, 30, 0, 'CLM-PATIENT-ACCOUNT-NUMBER', 'A-Z,0-9')</v>
      </c>
    </row>
    <row r="24" spans="1:18" x14ac:dyDescent="0.35">
      <c r="A24" s="8"/>
      <c r="B24" s="8" t="s">
        <v>1393</v>
      </c>
      <c r="C24" s="8" t="s">
        <v>69</v>
      </c>
      <c r="D24" s="8" t="s">
        <v>70</v>
      </c>
      <c r="E24" s="8" t="s">
        <v>1377</v>
      </c>
      <c r="F24" s="8" t="s">
        <v>1377</v>
      </c>
      <c r="G24" s="8">
        <v>0</v>
      </c>
      <c r="H24" s="13">
        <v>30</v>
      </c>
      <c r="I24" s="8">
        <v>0</v>
      </c>
      <c r="J24" s="8" t="s">
        <v>1377</v>
      </c>
      <c r="K24" s="8" t="s">
        <v>71</v>
      </c>
      <c r="L24" s="8" t="s">
        <v>1377</v>
      </c>
      <c r="M24" s="15" t="s">
        <v>1377</v>
      </c>
      <c r="N24" s="17" t="s">
        <v>1394</v>
      </c>
      <c r="O24" s="16" t="s">
        <v>1377</v>
      </c>
      <c r="P24" s="10" t="s">
        <v>1377</v>
      </c>
      <c r="R24" t="str">
        <f t="shared" ref="R24" si="1">CONCATENATE("INSERT INTO TransformationEngine_Field (FieldName, FieldDescription, SourceFieldName, DetailField, Length, Required, OutputFieldName, AllowedChars) VALUES ('", B24, "', '", C24, "', '", D24, "',", G24, ", ", H24, ", ", I24, ", '", N24, "', '", K24,"')")</f>
        <v>INSERT INTO TransformationEngine_Field (FieldName, FieldDescription, SourceFieldName, DetailField, Length, Required, OutputFieldName, AllowedChars) VALUES ('Output UB Box 3a', 'Patient Control Number', 'OCRPatCtl',0, 30, 0, 'CLM-PATIENT-ACCOUNT-NUMBER', 'A-Z,0-9')</v>
      </c>
    </row>
    <row r="25" spans="1:18" x14ac:dyDescent="0.35">
      <c r="A25" s="8"/>
      <c r="B25" s="8" t="s">
        <v>1395</v>
      </c>
      <c r="C25" s="8" t="s">
        <v>73</v>
      </c>
      <c r="D25" s="8" t="s">
        <v>74</v>
      </c>
      <c r="E25" s="8" t="s">
        <v>1377</v>
      </c>
      <c r="F25" s="8" t="s">
        <v>1377</v>
      </c>
      <c r="G25" s="8">
        <v>0</v>
      </c>
      <c r="H25" s="8">
        <v>30</v>
      </c>
      <c r="I25" s="8">
        <v>0</v>
      </c>
      <c r="J25" s="8" t="s">
        <v>1377</v>
      </c>
      <c r="K25" s="8" t="s">
        <v>75</v>
      </c>
      <c r="L25" s="8" t="s">
        <v>1377</v>
      </c>
      <c r="M25" s="15" t="s">
        <v>1377</v>
      </c>
      <c r="N25" s="17" t="s">
        <v>1396</v>
      </c>
      <c r="O25" s="16" t="s">
        <v>1377</v>
      </c>
      <c r="P25" s="10" t="s">
        <v>1377</v>
      </c>
      <c r="R25" t="str">
        <f t="shared" si="0"/>
        <v>INSERT INTO TransformationEngine_Field (FieldName, FieldDescription, SourceFieldName, DetailField, Length, Required, OutputFieldName, AllowedChars) VALUES ('Output UB Box 3b', 'Medical Record Number', 'OCRMedRecNo',0, 30, 0, 'CLM-MED-REC-NUMBER', 'A-Z,0-9,-')</v>
      </c>
    </row>
    <row r="26" spans="1:18" ht="39" x14ac:dyDescent="0.35">
      <c r="A26" s="8"/>
      <c r="B26" s="8" t="s">
        <v>1397</v>
      </c>
      <c r="C26" s="8" t="s">
        <v>77</v>
      </c>
      <c r="D26" s="8" t="s">
        <v>78</v>
      </c>
      <c r="E26" s="8" t="s">
        <v>1377</v>
      </c>
      <c r="F26" s="8" t="s">
        <v>1377</v>
      </c>
      <c r="G26" s="8">
        <v>0</v>
      </c>
      <c r="H26" s="8">
        <v>4</v>
      </c>
      <c r="I26" s="8">
        <v>0</v>
      </c>
      <c r="J26" s="8" t="s">
        <v>1377</v>
      </c>
      <c r="K26" s="8" t="s">
        <v>1377</v>
      </c>
      <c r="L26" s="8" t="s">
        <v>1377</v>
      </c>
      <c r="M26" s="15" t="s">
        <v>1377</v>
      </c>
      <c r="N26" s="17" t="s">
        <v>1398</v>
      </c>
      <c r="O26" s="16" t="s">
        <v>1377</v>
      </c>
      <c r="P26" s="10" t="s">
        <v>1377</v>
      </c>
      <c r="R26" t="str">
        <f t="shared" si="0"/>
        <v>INSERT INTO TransformationEngine_Field (FieldName, FieldDescription, SourceFieldName, DetailField, Length, Required, OutputFieldName, AllowedChars) VALUES ('Output UB Box 4', 'Type of Bill', 'OCRBillType',0, 4, 0, 'CLM-HOSP-FACILITY-CODE
CLM-HOSP-BILL-CLASSIFICATION
CLM-HOSP-FREQUENCY-CODE', 'NULL')</v>
      </c>
    </row>
    <row r="27" spans="1:18" x14ac:dyDescent="0.35">
      <c r="A27" s="8"/>
      <c r="B27" s="8" t="s">
        <v>1399</v>
      </c>
      <c r="C27" s="8" t="s">
        <v>80</v>
      </c>
      <c r="D27" s="8" t="s">
        <v>81</v>
      </c>
      <c r="E27" s="8" t="s">
        <v>1377</v>
      </c>
      <c r="F27" s="8" t="s">
        <v>1377</v>
      </c>
      <c r="G27" s="8">
        <v>0</v>
      </c>
      <c r="H27" s="8">
        <v>18</v>
      </c>
      <c r="I27" s="8">
        <v>0</v>
      </c>
      <c r="J27" s="8" t="s">
        <v>1377</v>
      </c>
      <c r="K27" s="8" t="s">
        <v>27</v>
      </c>
      <c r="L27" s="8" t="s">
        <v>1377</v>
      </c>
      <c r="M27" s="15" t="s">
        <v>1377</v>
      </c>
      <c r="N27" s="17" t="s">
        <v>1400</v>
      </c>
      <c r="O27" s="16" t="s">
        <v>1377</v>
      </c>
      <c r="P27" s="10" t="s">
        <v>1377</v>
      </c>
      <c r="R27" t="str">
        <f t="shared" si="0"/>
        <v>INSERT INTO TransformationEngine_Field (FieldName, FieldDescription, SourceFieldName, DetailField, Length, Required, OutputFieldName, AllowedChars) VALUES ('Output UB Box 5', 'Federal Tax Number', 'OCRFedID',0, 18, 0, 'CLM-BILL-PROV-ID', '0-9')</v>
      </c>
    </row>
    <row r="28" spans="1:18" x14ac:dyDescent="0.35">
      <c r="A28" s="8"/>
      <c r="B28" s="8" t="s">
        <v>1401</v>
      </c>
      <c r="C28" s="8" t="s">
        <v>83</v>
      </c>
      <c r="D28" s="8" t="s">
        <v>84</v>
      </c>
      <c r="E28" s="8" t="s">
        <v>1377</v>
      </c>
      <c r="F28" s="8" t="s">
        <v>1377</v>
      </c>
      <c r="G28" s="8">
        <v>0</v>
      </c>
      <c r="H28" s="8">
        <v>10</v>
      </c>
      <c r="I28" s="8">
        <v>0</v>
      </c>
      <c r="J28" s="8" t="s">
        <v>1377</v>
      </c>
      <c r="K28" s="8" t="s">
        <v>27</v>
      </c>
      <c r="L28" s="8" t="s">
        <v>1377</v>
      </c>
      <c r="M28" s="15" t="s">
        <v>1377</v>
      </c>
      <c r="N28" s="17" t="s">
        <v>1402</v>
      </c>
      <c r="O28" s="19" t="s">
        <v>1403</v>
      </c>
      <c r="P28" s="10" t="s">
        <v>1377</v>
      </c>
      <c r="R28" t="str">
        <f t="shared" si="0"/>
        <v>INSERT INTO TransformationEngine_Field (FieldName, FieldDescription, SourceFieldName, DetailField, Length, Required, OutputFieldName, AllowedChars) VALUES ('Output UB Box 6', 'Statement Cover Period From', 'OCRStmtDateFrom',0, 10, 0, 'CLM-START-CCYYMMDD', '0-9')</v>
      </c>
    </row>
    <row r="29" spans="1:18" x14ac:dyDescent="0.35">
      <c r="A29" s="8"/>
      <c r="B29" s="8" t="s">
        <v>1401</v>
      </c>
      <c r="C29" s="8" t="s">
        <v>87</v>
      </c>
      <c r="D29" s="8" t="s">
        <v>88</v>
      </c>
      <c r="E29" s="8" t="s">
        <v>1377</v>
      </c>
      <c r="F29" s="8" t="s">
        <v>1377</v>
      </c>
      <c r="G29" s="8">
        <v>0</v>
      </c>
      <c r="H29" s="8">
        <v>10</v>
      </c>
      <c r="I29" s="8">
        <v>0</v>
      </c>
      <c r="J29" s="8" t="s">
        <v>1377</v>
      </c>
      <c r="K29" s="8" t="s">
        <v>27</v>
      </c>
      <c r="L29" s="8" t="s">
        <v>1377</v>
      </c>
      <c r="M29" s="15" t="s">
        <v>1377</v>
      </c>
      <c r="N29" s="17" t="s">
        <v>1404</v>
      </c>
      <c r="O29" s="19" t="s">
        <v>1403</v>
      </c>
      <c r="P29" s="10" t="s">
        <v>1377</v>
      </c>
      <c r="R29" t="str">
        <f t="shared" si="0"/>
        <v>INSERT INTO TransformationEngine_Field (FieldName, FieldDescription, SourceFieldName, DetailField, Length, Required, OutputFieldName, AllowedChars) VALUES ('Output UB Box 6', 'Statement Cover Period Through', 'OCRStmtDateTo',0, 10, 0, 'CLM-END-CCYYMMDD', '0-9')</v>
      </c>
    </row>
    <row r="30" spans="1:18" x14ac:dyDescent="0.35">
      <c r="A30" s="8"/>
      <c r="B30" s="8" t="s">
        <v>1405</v>
      </c>
      <c r="C30" s="8" t="s">
        <v>90</v>
      </c>
      <c r="D30" s="8" t="s">
        <v>91</v>
      </c>
      <c r="E30" s="8" t="s">
        <v>1377</v>
      </c>
      <c r="F30" s="8" t="s">
        <v>1377</v>
      </c>
      <c r="G30" s="8">
        <v>0</v>
      </c>
      <c r="H30" s="8">
        <v>50</v>
      </c>
      <c r="I30" s="8">
        <v>0</v>
      </c>
      <c r="J30" s="8" t="s">
        <v>1377</v>
      </c>
      <c r="K30" s="8" t="s">
        <v>1377</v>
      </c>
      <c r="L30" s="8" t="s">
        <v>1377</v>
      </c>
      <c r="M30" s="15" t="s">
        <v>1377</v>
      </c>
      <c r="N30" s="17"/>
      <c r="O30" s="16" t="s">
        <v>1377</v>
      </c>
      <c r="P30" s="10" t="s">
        <v>1377</v>
      </c>
      <c r="Q30" t="s">
        <v>1406</v>
      </c>
      <c r="R30" t="str">
        <f t="shared" si="0"/>
        <v>INSERT INTO TransformationEngine_Field (FieldName, FieldDescription, SourceFieldName, DetailField, Length, Required, OutputFieldName, AllowedChars) VALUES ('Output UB Box 7', 'Box 7 - Line 1', 'OCRNotUsedBlock11_1',0, 50, 0, '', 'NULL')</v>
      </c>
    </row>
    <row r="31" spans="1:18" x14ac:dyDescent="0.35">
      <c r="A31" s="8"/>
      <c r="B31" s="8" t="s">
        <v>1405</v>
      </c>
      <c r="C31" s="8" t="s">
        <v>92</v>
      </c>
      <c r="D31" s="8" t="s">
        <v>93</v>
      </c>
      <c r="E31" s="8" t="s">
        <v>1377</v>
      </c>
      <c r="F31" s="8" t="s">
        <v>1377</v>
      </c>
      <c r="G31" s="8">
        <v>0</v>
      </c>
      <c r="H31" s="8">
        <v>50</v>
      </c>
      <c r="I31" s="8">
        <v>0</v>
      </c>
      <c r="J31" s="8" t="s">
        <v>1377</v>
      </c>
      <c r="K31" s="8" t="s">
        <v>1377</v>
      </c>
      <c r="L31" s="8" t="s">
        <v>1377</v>
      </c>
      <c r="M31" s="15" t="s">
        <v>1377</v>
      </c>
      <c r="N31" s="17"/>
      <c r="O31" s="16" t="s">
        <v>1377</v>
      </c>
      <c r="P31" s="10" t="s">
        <v>1377</v>
      </c>
      <c r="Q31" t="s">
        <v>1406</v>
      </c>
      <c r="R31" t="str">
        <f t="shared" si="0"/>
        <v>INSERT INTO TransformationEngine_Field (FieldName, FieldDescription, SourceFieldName, DetailField, Length, Required, OutputFieldName, AllowedChars) VALUES ('Output UB Box 7', 'Box 7 - Line 2', 'OCRNotUsedBlock11_2',0, 50, 0, '', 'NULL')</v>
      </c>
    </row>
    <row r="32" spans="1:18" x14ac:dyDescent="0.35">
      <c r="A32" s="8"/>
      <c r="B32" s="8" t="s">
        <v>1407</v>
      </c>
      <c r="C32" s="8" t="s">
        <v>95</v>
      </c>
      <c r="D32" s="8" t="s">
        <v>96</v>
      </c>
      <c r="E32" s="8" t="s">
        <v>1377</v>
      </c>
      <c r="F32" s="8" t="s">
        <v>1377</v>
      </c>
      <c r="G32" s="8">
        <v>0</v>
      </c>
      <c r="H32" s="8">
        <v>30</v>
      </c>
      <c r="I32" s="8">
        <v>0</v>
      </c>
      <c r="J32" s="8" t="s">
        <v>1377</v>
      </c>
      <c r="K32" s="8" t="s">
        <v>1377</v>
      </c>
      <c r="L32" s="8" t="s">
        <v>1377</v>
      </c>
      <c r="M32" s="15" t="s">
        <v>1377</v>
      </c>
      <c r="N32" s="17" t="s">
        <v>1408</v>
      </c>
      <c r="O32" s="16" t="s">
        <v>1377</v>
      </c>
      <c r="P32" s="10" t="s">
        <v>1377</v>
      </c>
      <c r="R32" t="str">
        <f t="shared" si="0"/>
        <v>INSERT INTO TransformationEngine_Field (FieldName, FieldDescription, SourceFieldName, DetailField, Length, Required, OutputFieldName, AllowedChars) VALUES ('Output UB Box 8a', 'Patient ID', 'OCRPatientID',0, 30, 0, 'CLM-PAT-ID', 'NULL')</v>
      </c>
    </row>
    <row r="33" spans="1:18" x14ac:dyDescent="0.35">
      <c r="A33" s="8"/>
      <c r="B33" s="8" t="s">
        <v>1409</v>
      </c>
      <c r="C33" s="8" t="s">
        <v>98</v>
      </c>
      <c r="D33" s="8" t="s">
        <v>99</v>
      </c>
      <c r="E33" s="8" t="s">
        <v>1377</v>
      </c>
      <c r="F33" s="8" t="s">
        <v>1377</v>
      </c>
      <c r="G33" s="8">
        <v>0</v>
      </c>
      <c r="H33" s="8">
        <v>60</v>
      </c>
      <c r="I33" s="8">
        <v>0</v>
      </c>
      <c r="J33" s="8" t="s">
        <v>1377</v>
      </c>
      <c r="K33" s="8" t="s">
        <v>1377</v>
      </c>
      <c r="L33" s="8" t="s">
        <v>1377</v>
      </c>
      <c r="M33" s="15" t="s">
        <v>1377</v>
      </c>
      <c r="N33" s="17"/>
      <c r="O33" s="19"/>
      <c r="P33" s="8"/>
      <c r="R33" t="str">
        <f t="shared" si="0"/>
        <v>INSERT INTO TransformationEngine_Field (FieldName, FieldDescription, SourceFieldName, DetailField, Length, Required, OutputFieldName, AllowedChars) VALUES ('Output UB Box 8b', 'Patient Name', 'OCRPatName',0, 60, 0, '', 'NULL')</v>
      </c>
    </row>
    <row r="34" spans="1:18" x14ac:dyDescent="0.35">
      <c r="A34" s="8"/>
      <c r="B34" s="8" t="s">
        <v>1409</v>
      </c>
      <c r="C34" s="8" t="s">
        <v>101</v>
      </c>
      <c r="D34" s="11" t="s">
        <v>102</v>
      </c>
      <c r="E34" s="9" t="s">
        <v>1377</v>
      </c>
      <c r="F34" s="9" t="s">
        <v>1377</v>
      </c>
      <c r="G34" s="9">
        <v>0</v>
      </c>
      <c r="H34" s="9">
        <v>20</v>
      </c>
      <c r="I34" s="9">
        <v>0</v>
      </c>
      <c r="J34" s="9" t="s">
        <v>1377</v>
      </c>
      <c r="K34" s="9" t="s">
        <v>56</v>
      </c>
      <c r="L34" s="9" t="s">
        <v>1377</v>
      </c>
      <c r="M34" s="18" t="s">
        <v>1377</v>
      </c>
      <c r="N34" s="17" t="s">
        <v>1410</v>
      </c>
      <c r="O34" s="16" t="s">
        <v>1377</v>
      </c>
      <c r="P34" s="10" t="s">
        <v>1377</v>
      </c>
      <c r="R34" t="str">
        <f t="shared" si="0"/>
        <v>INSERT INTO TransformationEngine_Field (FieldName, FieldDescription, SourceFieldName, DetailField, Length, Required, OutputFieldName, AllowedChars) VALUES ('Output UB Box 8b', 'Patient Name - Last', 'Patient_Name_Last',0, 20, 0, 'CLM-PAT-NAME-LAST', 'A-Z, ,',-,.,')</v>
      </c>
    </row>
    <row r="35" spans="1:18" x14ac:dyDescent="0.35">
      <c r="A35" s="8"/>
      <c r="B35" s="8" t="s">
        <v>1409</v>
      </c>
      <c r="C35" s="8" t="s">
        <v>103</v>
      </c>
      <c r="D35" s="11" t="s">
        <v>104</v>
      </c>
      <c r="E35" s="9" t="s">
        <v>1377</v>
      </c>
      <c r="F35" s="9" t="s">
        <v>1377</v>
      </c>
      <c r="G35" s="9">
        <v>0</v>
      </c>
      <c r="H35" s="9">
        <v>12</v>
      </c>
      <c r="I35" s="9">
        <v>0</v>
      </c>
      <c r="J35" s="9" t="s">
        <v>1377</v>
      </c>
      <c r="K35" s="12" t="s">
        <v>61</v>
      </c>
      <c r="L35" s="9" t="s">
        <v>1377</v>
      </c>
      <c r="M35" s="18" t="s">
        <v>1377</v>
      </c>
      <c r="N35" s="17" t="s">
        <v>1411</v>
      </c>
      <c r="O35" s="16" t="s">
        <v>1377</v>
      </c>
      <c r="P35" s="10" t="s">
        <v>1377</v>
      </c>
      <c r="R35" t="str">
        <f t="shared" si="0"/>
        <v>INSERT INTO TransformationEngine_Field (FieldName, FieldDescription, SourceFieldName, DetailField, Length, Required, OutputFieldName, AllowedChars) VALUES ('Output UB Box 8b', 'Patient Name - First', 'Patient_Name_First',0, 12, 0, 'CLM-PAT-NAME-FIRST', ' ,A-Z')</v>
      </c>
    </row>
    <row r="36" spans="1:18" x14ac:dyDescent="0.35">
      <c r="A36" s="8"/>
      <c r="B36" s="8" t="s">
        <v>1409</v>
      </c>
      <c r="C36" s="8" t="s">
        <v>105</v>
      </c>
      <c r="D36" s="11" t="s">
        <v>106</v>
      </c>
      <c r="E36" s="9" t="s">
        <v>1377</v>
      </c>
      <c r="F36" s="9" t="s">
        <v>1377</v>
      </c>
      <c r="G36" s="9">
        <v>0</v>
      </c>
      <c r="H36" s="9">
        <v>1</v>
      </c>
      <c r="I36" s="9">
        <v>0</v>
      </c>
      <c r="J36" s="9" t="s">
        <v>1377</v>
      </c>
      <c r="K36" s="9" t="s">
        <v>107</v>
      </c>
      <c r="L36" s="9" t="s">
        <v>1377</v>
      </c>
      <c r="M36" s="18" t="s">
        <v>1377</v>
      </c>
      <c r="N36" s="17" t="s">
        <v>1412</v>
      </c>
      <c r="O36" s="16" t="s">
        <v>1377</v>
      </c>
      <c r="P36" s="10" t="s">
        <v>1377</v>
      </c>
      <c r="R36" t="str">
        <f t="shared" si="0"/>
        <v>INSERT INTO TransformationEngine_Field (FieldName, FieldDescription, SourceFieldName, DetailField, Length, Required, OutputFieldName, AllowedChars) VALUES ('Output UB Box 8b', 'Patient Name - Middle', 'Patient_Name_Middle',0, 1, 0, 'CLM-PAT-NAME-INIT', 'A-Z')</v>
      </c>
    </row>
    <row r="37" spans="1:18" x14ac:dyDescent="0.35">
      <c r="A37" s="8"/>
      <c r="B37" s="8" t="s">
        <v>1409</v>
      </c>
      <c r="C37" s="8" t="s">
        <v>108</v>
      </c>
      <c r="D37" s="11" t="s">
        <v>109</v>
      </c>
      <c r="E37" s="9" t="s">
        <v>1377</v>
      </c>
      <c r="F37" s="9" t="s">
        <v>1377</v>
      </c>
      <c r="G37" s="9">
        <v>0</v>
      </c>
      <c r="H37" s="9">
        <v>20</v>
      </c>
      <c r="I37" s="9">
        <v>0</v>
      </c>
      <c r="J37" s="9" t="s">
        <v>1377</v>
      </c>
      <c r="K37" s="9" t="s">
        <v>1377</v>
      </c>
      <c r="L37" s="9" t="s">
        <v>1377</v>
      </c>
      <c r="M37" s="18" t="s">
        <v>1377</v>
      </c>
      <c r="N37" s="17"/>
      <c r="O37" s="16" t="s">
        <v>1377</v>
      </c>
      <c r="P37" s="10" t="s">
        <v>1377</v>
      </c>
      <c r="Q37" t="s">
        <v>1406</v>
      </c>
      <c r="R37" t="str">
        <f t="shared" si="0"/>
        <v>INSERT INTO TransformationEngine_Field (FieldName, FieldDescription, SourceFieldName, DetailField, Length, Required, OutputFieldName, AllowedChars) VALUES ('Output UB Box 8b', 'Patient Name - Prefix', 'Patient_Name_Prefix',0, 20, 0, '', 'NULL')</v>
      </c>
    </row>
    <row r="38" spans="1:18" x14ac:dyDescent="0.35">
      <c r="A38" s="8"/>
      <c r="B38" s="8" t="s">
        <v>1409</v>
      </c>
      <c r="C38" s="8" t="s">
        <v>110</v>
      </c>
      <c r="D38" s="11" t="s">
        <v>111</v>
      </c>
      <c r="E38" s="9" t="s">
        <v>1377</v>
      </c>
      <c r="F38" s="9" t="s">
        <v>1377</v>
      </c>
      <c r="G38" s="9">
        <v>0</v>
      </c>
      <c r="H38" s="9">
        <v>20</v>
      </c>
      <c r="I38" s="9">
        <v>0</v>
      </c>
      <c r="J38" s="9" t="s">
        <v>1377</v>
      </c>
      <c r="K38" s="9" t="s">
        <v>1377</v>
      </c>
      <c r="L38" s="9" t="s">
        <v>1377</v>
      </c>
      <c r="M38" s="18" t="s">
        <v>1377</v>
      </c>
      <c r="N38" s="17"/>
      <c r="O38" s="16" t="s">
        <v>1377</v>
      </c>
      <c r="P38" s="10" t="s">
        <v>1377</v>
      </c>
      <c r="Q38" t="s">
        <v>1406</v>
      </c>
      <c r="R38" t="str">
        <f t="shared" si="0"/>
        <v>INSERT INTO TransformationEngine_Field (FieldName, FieldDescription, SourceFieldName, DetailField, Length, Required, OutputFieldName, AllowedChars) VALUES ('Output UB Box 8b', 'Patient Name - Suffix', 'Patient_Name_Suffix',0, 20, 0, '', 'NULL')</v>
      </c>
    </row>
    <row r="39" spans="1:18" x14ac:dyDescent="0.35">
      <c r="A39" s="8"/>
      <c r="B39" s="8" t="s">
        <v>1409</v>
      </c>
      <c r="C39" s="8" t="s">
        <v>112</v>
      </c>
      <c r="D39" s="11" t="s">
        <v>113</v>
      </c>
      <c r="E39" s="9" t="s">
        <v>1377</v>
      </c>
      <c r="F39" s="9" t="s">
        <v>1377</v>
      </c>
      <c r="G39" s="9">
        <v>0</v>
      </c>
      <c r="H39" s="9">
        <v>10</v>
      </c>
      <c r="I39" s="9">
        <v>0</v>
      </c>
      <c r="J39" s="9" t="s">
        <v>1377</v>
      </c>
      <c r="K39" s="9" t="s">
        <v>1377</v>
      </c>
      <c r="L39" s="9" t="s">
        <v>1377</v>
      </c>
      <c r="M39" s="18" t="s">
        <v>1377</v>
      </c>
      <c r="N39" s="17"/>
      <c r="O39" s="16" t="s">
        <v>1377</v>
      </c>
      <c r="P39" s="10" t="s">
        <v>1377</v>
      </c>
      <c r="Q39" t="s">
        <v>1406</v>
      </c>
      <c r="R39" t="str">
        <f t="shared" si="0"/>
        <v>INSERT INTO TransformationEngine_Field (FieldName, FieldDescription, SourceFieldName, DetailField, Length, Required, OutputFieldName, AllowedChars) VALUES ('Output UB Box 8b', 'Patient Name - Generation', 'Patient_Name_Gen',0, 10, 0, '', 'NULL')</v>
      </c>
    </row>
    <row r="40" spans="1:18" x14ac:dyDescent="0.35">
      <c r="A40" s="8"/>
      <c r="B40" s="14" t="s">
        <v>1413</v>
      </c>
      <c r="C40" s="14" t="s">
        <v>115</v>
      </c>
      <c r="D40" s="14" t="s">
        <v>116</v>
      </c>
      <c r="E40" s="8" t="s">
        <v>1377</v>
      </c>
      <c r="F40" s="8" t="s">
        <v>1377</v>
      </c>
      <c r="G40" s="8">
        <v>0</v>
      </c>
      <c r="H40" s="9">
        <v>30</v>
      </c>
      <c r="I40" s="8">
        <v>0</v>
      </c>
      <c r="J40" s="8" t="s">
        <v>1377</v>
      </c>
      <c r="K40" s="8" t="s">
        <v>1377</v>
      </c>
      <c r="L40" s="8" t="s">
        <v>1377</v>
      </c>
      <c r="M40" s="15" t="s">
        <v>1377</v>
      </c>
      <c r="N40" s="17" t="s">
        <v>1414</v>
      </c>
      <c r="O40" s="19"/>
      <c r="P40" s="8"/>
      <c r="R40" t="str">
        <f t="shared" si="0"/>
        <v>INSERT INTO TransformationEngine_Field (FieldName, FieldDescription, SourceFieldName, DetailField, Length, Required, OutputFieldName, AllowedChars) VALUES ('Output UB Box 9a', 'Patient Address - Street', 'OCRPatAddress_Street',0, 30, 0, 'CLM-PAT-ADDR-STREET', 'NULL')</v>
      </c>
    </row>
    <row r="41" spans="1:18" x14ac:dyDescent="0.35">
      <c r="A41" s="8"/>
      <c r="B41" s="14" t="s">
        <v>1415</v>
      </c>
      <c r="C41" s="14" t="s">
        <v>118</v>
      </c>
      <c r="D41" s="14" t="s">
        <v>119</v>
      </c>
      <c r="E41" s="8" t="s">
        <v>1377</v>
      </c>
      <c r="F41" s="8" t="s">
        <v>1377</v>
      </c>
      <c r="G41" s="8">
        <v>0</v>
      </c>
      <c r="H41" s="9">
        <v>20</v>
      </c>
      <c r="I41" s="8">
        <v>0</v>
      </c>
      <c r="J41" s="8" t="s">
        <v>1377</v>
      </c>
      <c r="K41" s="8" t="s">
        <v>1377</v>
      </c>
      <c r="L41" s="8" t="s">
        <v>1377</v>
      </c>
      <c r="M41" s="15" t="s">
        <v>1377</v>
      </c>
      <c r="N41" s="17" t="s">
        <v>1416</v>
      </c>
      <c r="O41" s="19"/>
      <c r="P41" s="8"/>
      <c r="R41" t="str">
        <f t="shared" si="0"/>
        <v>INSERT INTO TransformationEngine_Field (FieldName, FieldDescription, SourceFieldName, DetailField, Length, Required, OutputFieldName, AllowedChars) VALUES ('Output UB Box 9b', 'Patient Address - City', 'OCRPatAddress_City',0, 20, 0, 'CLM-PAT-ADDR-CITY', 'NULL')</v>
      </c>
    </row>
    <row r="42" spans="1:18" x14ac:dyDescent="0.35">
      <c r="A42" s="8"/>
      <c r="B42" s="14" t="s">
        <v>1417</v>
      </c>
      <c r="C42" s="14" t="s">
        <v>121</v>
      </c>
      <c r="D42" s="14" t="s">
        <v>122</v>
      </c>
      <c r="E42" s="8" t="s">
        <v>1377</v>
      </c>
      <c r="F42" s="8" t="s">
        <v>1377</v>
      </c>
      <c r="G42" s="8">
        <v>0</v>
      </c>
      <c r="H42" s="9">
        <v>2</v>
      </c>
      <c r="I42" s="8">
        <v>0</v>
      </c>
      <c r="J42" s="8" t="s">
        <v>1377</v>
      </c>
      <c r="K42" s="8" t="s">
        <v>107</v>
      </c>
      <c r="L42" s="8" t="s">
        <v>1377</v>
      </c>
      <c r="M42" s="15" t="s">
        <v>1377</v>
      </c>
      <c r="N42" s="17" t="s">
        <v>1418</v>
      </c>
      <c r="O42" s="19"/>
      <c r="P42" s="8"/>
      <c r="R42" t="str">
        <f t="shared" si="0"/>
        <v>INSERT INTO TransformationEngine_Field (FieldName, FieldDescription, SourceFieldName, DetailField, Length, Required, OutputFieldName, AllowedChars) VALUES ('Output UB Box 9c', 'Patient Address - State', 'OCRPatAddress_State',0, 2, 0, 'CLM-PAT-ADDR-STATE', 'A-Z')</v>
      </c>
    </row>
    <row r="43" spans="1:18" x14ac:dyDescent="0.35">
      <c r="A43" s="8"/>
      <c r="B43" s="14" t="s">
        <v>1419</v>
      </c>
      <c r="C43" s="14" t="s">
        <v>124</v>
      </c>
      <c r="D43" s="14" t="s">
        <v>125</v>
      </c>
      <c r="E43" s="8" t="s">
        <v>1377</v>
      </c>
      <c r="F43" s="8" t="s">
        <v>1377</v>
      </c>
      <c r="G43" s="8">
        <v>0</v>
      </c>
      <c r="H43" s="9">
        <v>10</v>
      </c>
      <c r="I43" s="8">
        <v>0</v>
      </c>
      <c r="J43" s="8" t="s">
        <v>1377</v>
      </c>
      <c r="K43" s="8" t="s">
        <v>27</v>
      </c>
      <c r="L43" s="8" t="s">
        <v>1377</v>
      </c>
      <c r="M43" s="15" t="s">
        <v>1377</v>
      </c>
      <c r="N43" s="17" t="s">
        <v>1420</v>
      </c>
      <c r="O43" s="19"/>
      <c r="P43" s="8"/>
      <c r="R43" t="str">
        <f t="shared" si="0"/>
        <v>INSERT INTO TransformationEngine_Field (FieldName, FieldDescription, SourceFieldName, DetailField, Length, Required, OutputFieldName, AllowedChars) VALUES ('Output UB Box 9d', 'Patient Address - Zip', 'OCRPatAddress_Zip',0, 10, 0, 'CLM-PAT-ADDR-ZIP', '0-9')</v>
      </c>
    </row>
    <row r="44" spans="1:18" x14ac:dyDescent="0.35">
      <c r="A44" s="8"/>
      <c r="B44" s="14" t="s">
        <v>1419</v>
      </c>
      <c r="C44" s="14" t="s">
        <v>126</v>
      </c>
      <c r="D44" s="11" t="s">
        <v>127</v>
      </c>
      <c r="E44" s="8" t="s">
        <v>1377</v>
      </c>
      <c r="F44" s="8" t="s">
        <v>1377</v>
      </c>
      <c r="G44" s="8">
        <v>0</v>
      </c>
      <c r="H44" s="9">
        <v>4</v>
      </c>
      <c r="I44" s="8">
        <v>0</v>
      </c>
      <c r="J44" s="8" t="s">
        <v>1377</v>
      </c>
      <c r="K44" s="8" t="s">
        <v>27</v>
      </c>
      <c r="L44" s="8" t="s">
        <v>1377</v>
      </c>
      <c r="M44" s="15" t="s">
        <v>1377</v>
      </c>
      <c r="N44" s="17"/>
      <c r="O44" s="19"/>
      <c r="P44" s="8"/>
      <c r="R44" t="str">
        <f t="shared" si="0"/>
        <v>INSERT INTO TransformationEngine_Field (FieldName, FieldDescription, SourceFieldName, DetailField, Length, Required, OutputFieldName, AllowedChars) VALUES ('Output UB Box 9d', 'Patient Addrress - Zip Plus', 'Patient_Addr_ZipPlus',0, 4, 0, '', '0-9')</v>
      </c>
    </row>
    <row r="45" spans="1:18" x14ac:dyDescent="0.35">
      <c r="A45" s="8"/>
      <c r="B45" s="14" t="s">
        <v>1421</v>
      </c>
      <c r="C45" s="14" t="s">
        <v>129</v>
      </c>
      <c r="D45" s="14" t="s">
        <v>130</v>
      </c>
      <c r="E45" s="8" t="s">
        <v>1377</v>
      </c>
      <c r="F45" s="8" t="s">
        <v>1377</v>
      </c>
      <c r="G45" s="8">
        <v>0</v>
      </c>
      <c r="H45" s="8">
        <v>20</v>
      </c>
      <c r="I45" s="8">
        <v>0</v>
      </c>
      <c r="J45" s="8" t="s">
        <v>1377</v>
      </c>
      <c r="K45" s="8" t="s">
        <v>1377</v>
      </c>
      <c r="L45" s="8" t="s">
        <v>1377</v>
      </c>
      <c r="M45" s="15" t="s">
        <v>1377</v>
      </c>
      <c r="N45" s="17"/>
      <c r="O45" s="19"/>
      <c r="P45" s="8"/>
      <c r="R45" t="str">
        <f t="shared" si="0"/>
        <v>INSERT INTO TransformationEngine_Field (FieldName, FieldDescription, SourceFieldName, DetailField, Length, Required, OutputFieldName, AllowedChars) VALUES ('Output UB Box 9e', 'Patient Address - Country Code', 'OCRPatAddress_CC',0, 20, 0, '', 'NULL')</v>
      </c>
    </row>
    <row r="46" spans="1:18" x14ac:dyDescent="0.35">
      <c r="A46" s="8"/>
      <c r="B46" s="8" t="s">
        <v>1422</v>
      </c>
      <c r="C46" s="8" t="s">
        <v>1423</v>
      </c>
      <c r="D46" s="8" t="s">
        <v>133</v>
      </c>
      <c r="E46" s="8" t="s">
        <v>1377</v>
      </c>
      <c r="F46" s="8" t="s">
        <v>1377</v>
      </c>
      <c r="G46" s="8">
        <v>0</v>
      </c>
      <c r="H46" s="8">
        <v>10</v>
      </c>
      <c r="I46" s="8">
        <v>0</v>
      </c>
      <c r="J46" s="8" t="s">
        <v>1377</v>
      </c>
      <c r="K46" s="8" t="s">
        <v>27</v>
      </c>
      <c r="L46" s="8" t="s">
        <v>1377</v>
      </c>
      <c r="M46" s="15" t="s">
        <v>1377</v>
      </c>
      <c r="N46" s="17" t="s">
        <v>1424</v>
      </c>
      <c r="O46" s="19" t="s">
        <v>1403</v>
      </c>
      <c r="P46" s="8"/>
      <c r="R46" t="str">
        <f t="shared" si="0"/>
        <v>INSERT INTO TransformationEngine_Field (FieldName, FieldDescription, SourceFieldName, DetailField, Length, Required, OutputFieldName, AllowedChars) VALUES ('Output UB Box 10', 'Birthdate', 'OCRPatDOB',0, 10, 0, 'CLM-PAT-DOB-CCYYMMDD', '0-9')</v>
      </c>
    </row>
    <row r="47" spans="1:18" x14ac:dyDescent="0.35">
      <c r="A47" s="8"/>
      <c r="B47" s="8" t="s">
        <v>1425</v>
      </c>
      <c r="C47" s="8" t="s">
        <v>136</v>
      </c>
      <c r="D47" s="8" t="s">
        <v>137</v>
      </c>
      <c r="E47" s="8" t="s">
        <v>1377</v>
      </c>
      <c r="F47" s="8" t="s">
        <v>1377</v>
      </c>
      <c r="G47" s="8">
        <v>0</v>
      </c>
      <c r="H47" s="8">
        <v>1</v>
      </c>
      <c r="I47" s="8">
        <v>0</v>
      </c>
      <c r="J47" s="8" t="s">
        <v>1377</v>
      </c>
      <c r="K47" s="8" t="s">
        <v>27</v>
      </c>
      <c r="L47" s="8" t="s">
        <v>1377</v>
      </c>
      <c r="M47" s="15" t="s">
        <v>1377</v>
      </c>
      <c r="N47" s="17" t="s">
        <v>1426</v>
      </c>
      <c r="O47" s="19"/>
      <c r="P47" s="8"/>
      <c r="R47" t="str">
        <f t="shared" si="0"/>
        <v>INSERT INTO TransformationEngine_Field (FieldName, FieldDescription, SourceFieldName, DetailField, Length, Required, OutputFieldName, AllowedChars) VALUES ('Output UB Box 11', 'Sex', 'OCRPatSex',0, 1, 0, 'CLM-PAT-GENDER', '0-9')</v>
      </c>
    </row>
    <row r="48" spans="1:18" x14ac:dyDescent="0.35">
      <c r="A48" s="8"/>
      <c r="B48" s="8" t="s">
        <v>1427</v>
      </c>
      <c r="C48" s="8" t="s">
        <v>140</v>
      </c>
      <c r="D48" s="8" t="s">
        <v>141</v>
      </c>
      <c r="E48" s="8" t="s">
        <v>1377</v>
      </c>
      <c r="F48" s="8" t="s">
        <v>1377</v>
      </c>
      <c r="G48" s="8">
        <v>0</v>
      </c>
      <c r="H48" s="8">
        <v>10</v>
      </c>
      <c r="I48" s="8">
        <v>0</v>
      </c>
      <c r="J48" s="8" t="s">
        <v>1377</v>
      </c>
      <c r="K48" s="8" t="s">
        <v>27</v>
      </c>
      <c r="L48" s="8" t="s">
        <v>1377</v>
      </c>
      <c r="M48" s="15" t="s">
        <v>1377</v>
      </c>
      <c r="N48" s="17" t="s">
        <v>1428</v>
      </c>
      <c r="O48" s="19" t="s">
        <v>1403</v>
      </c>
      <c r="P48" s="8"/>
      <c r="R48" t="str">
        <f t="shared" si="0"/>
        <v>INSERT INTO TransformationEngine_Field (FieldName, FieldDescription, SourceFieldName, DetailField, Length, Required, OutputFieldName, AllowedChars) VALUES ('Output UB Box 12', 'Admission - Date', 'OCRAdmitDate',0, 10, 0, 'CLM-HOSP-ADMIT-CCYYMMDD', '0-9')</v>
      </c>
    </row>
    <row r="49" spans="1:18" x14ac:dyDescent="0.35">
      <c r="A49" s="8"/>
      <c r="B49" s="8" t="s">
        <v>1429</v>
      </c>
      <c r="C49" s="8" t="s">
        <v>143</v>
      </c>
      <c r="D49" s="8" t="s">
        <v>144</v>
      </c>
      <c r="E49" s="8" t="s">
        <v>1377</v>
      </c>
      <c r="F49" s="8" t="s">
        <v>1377</v>
      </c>
      <c r="G49" s="8">
        <v>0</v>
      </c>
      <c r="H49" s="8">
        <v>2</v>
      </c>
      <c r="I49" s="8">
        <v>0</v>
      </c>
      <c r="J49" s="8" t="s">
        <v>1377</v>
      </c>
      <c r="K49" s="8" t="s">
        <v>27</v>
      </c>
      <c r="L49" s="8" t="s">
        <v>1377</v>
      </c>
      <c r="M49" s="15" t="s">
        <v>1377</v>
      </c>
      <c r="N49" s="17" t="s">
        <v>1430</v>
      </c>
      <c r="O49" s="19"/>
      <c r="P49" s="8"/>
      <c r="R49" t="str">
        <f t="shared" si="0"/>
        <v>INSERT INTO TransformationEngine_Field (FieldName, FieldDescription, SourceFieldName, DetailField, Length, Required, OutputFieldName, AllowedChars) VALUES ('Output UB Box 13', 'Admission - Hour', 'OCRAdmitHour',0, 2, 0, 'CLM-HOSP-ADMIT-HOUR', '0-9')</v>
      </c>
    </row>
    <row r="50" spans="1:18" x14ac:dyDescent="0.35">
      <c r="A50" s="8"/>
      <c r="B50" s="8" t="s">
        <v>1431</v>
      </c>
      <c r="C50" s="8" t="s">
        <v>148</v>
      </c>
      <c r="D50" s="8" t="s">
        <v>149</v>
      </c>
      <c r="E50" s="8" t="s">
        <v>1377</v>
      </c>
      <c r="F50" s="8" t="s">
        <v>1377</v>
      </c>
      <c r="G50" s="8">
        <v>0</v>
      </c>
      <c r="H50" s="8">
        <v>1</v>
      </c>
      <c r="I50" s="8">
        <v>0</v>
      </c>
      <c r="J50" s="8" t="s">
        <v>1377</v>
      </c>
      <c r="K50" s="8" t="s">
        <v>27</v>
      </c>
      <c r="L50" s="8" t="s">
        <v>1377</v>
      </c>
      <c r="M50" s="15" t="s">
        <v>1377</v>
      </c>
      <c r="N50" s="17" t="s">
        <v>1432</v>
      </c>
      <c r="O50" s="19"/>
      <c r="P50" s="8"/>
      <c r="R50" t="str">
        <f t="shared" si="0"/>
        <v>INSERT INTO TransformationEngine_Field (FieldName, FieldDescription, SourceFieldName, DetailField, Length, Required, OutputFieldName, AllowedChars) VALUES ('Output UB Box 14', 'Admission - Type', 'OCRAdmitType',0, 1, 0, 'CLM-HOSP-ADMIT-TYPE', '0-9')</v>
      </c>
    </row>
    <row r="51" spans="1:18" x14ac:dyDescent="0.35">
      <c r="A51" s="8"/>
      <c r="B51" s="8" t="s">
        <v>1433</v>
      </c>
      <c r="C51" s="8" t="s">
        <v>152</v>
      </c>
      <c r="D51" s="8" t="s">
        <v>153</v>
      </c>
      <c r="E51" s="8" t="s">
        <v>1377</v>
      </c>
      <c r="F51" s="8" t="s">
        <v>1377</v>
      </c>
      <c r="G51" s="8">
        <v>0</v>
      </c>
      <c r="H51" s="8">
        <v>1</v>
      </c>
      <c r="I51" s="8">
        <v>0</v>
      </c>
      <c r="J51" s="8" t="s">
        <v>1377</v>
      </c>
      <c r="K51" s="8" t="s">
        <v>71</v>
      </c>
      <c r="L51" s="8" t="s">
        <v>1377</v>
      </c>
      <c r="M51" s="15" t="s">
        <v>1377</v>
      </c>
      <c r="N51" s="17" t="s">
        <v>1434</v>
      </c>
      <c r="O51" s="19"/>
      <c r="P51" s="8"/>
      <c r="R51" t="str">
        <f t="shared" si="0"/>
        <v>INSERT INTO TransformationEngine_Field (FieldName, FieldDescription, SourceFieldName, DetailField, Length, Required, OutputFieldName, AllowedChars) VALUES ('Output UB Box 15', 'Admission - Source', 'OCRAdmitSource',0, 1, 0, 'CLM-HOSP-ADMIT-SOURCE', 'A-Z,0-9')</v>
      </c>
    </row>
    <row r="52" spans="1:18" x14ac:dyDescent="0.35">
      <c r="A52" s="8"/>
      <c r="B52" s="8" t="s">
        <v>1435</v>
      </c>
      <c r="C52" s="8" t="s">
        <v>156</v>
      </c>
      <c r="D52" s="8" t="s">
        <v>157</v>
      </c>
      <c r="E52" s="8" t="s">
        <v>1377</v>
      </c>
      <c r="F52" s="8" t="s">
        <v>1377</v>
      </c>
      <c r="G52" s="8">
        <v>0</v>
      </c>
      <c r="H52" s="8">
        <v>2</v>
      </c>
      <c r="I52" s="8">
        <v>0</v>
      </c>
      <c r="J52" s="8" t="s">
        <v>1377</v>
      </c>
      <c r="K52" s="8" t="s">
        <v>27</v>
      </c>
      <c r="L52" s="8" t="s">
        <v>1377</v>
      </c>
      <c r="M52" s="15" t="s">
        <v>1377</v>
      </c>
      <c r="N52" s="17" t="s">
        <v>1436</v>
      </c>
      <c r="O52" s="19"/>
      <c r="P52" s="8"/>
      <c r="R52" t="str">
        <f t="shared" si="0"/>
        <v>INSERT INTO TransformationEngine_Field (FieldName, FieldDescription, SourceFieldName, DetailField, Length, Required, OutputFieldName, AllowedChars) VALUES ('Output UB Box 16', 'Discharge Hour (DHR)', 'OCRDischargeHour',0, 2, 0, 'CLM-HOSP-DISCHARGE-HOUR', '0-9')</v>
      </c>
    </row>
    <row r="53" spans="1:18" x14ac:dyDescent="0.35">
      <c r="A53" s="8"/>
      <c r="B53" s="8" t="s">
        <v>1437</v>
      </c>
      <c r="C53" s="8" t="s">
        <v>159</v>
      </c>
      <c r="D53" s="8" t="s">
        <v>160</v>
      </c>
      <c r="E53" s="8" t="s">
        <v>1377</v>
      </c>
      <c r="F53" s="8" t="s">
        <v>1377</v>
      </c>
      <c r="G53" s="8">
        <v>0</v>
      </c>
      <c r="H53" s="8">
        <v>2</v>
      </c>
      <c r="I53" s="8">
        <v>0</v>
      </c>
      <c r="J53" s="8" t="s">
        <v>1377</v>
      </c>
      <c r="K53" s="8" t="s">
        <v>71</v>
      </c>
      <c r="L53" s="8" t="s">
        <v>1377</v>
      </c>
      <c r="M53" s="15" t="s">
        <v>1377</v>
      </c>
      <c r="N53" s="17" t="s">
        <v>1438</v>
      </c>
      <c r="O53" s="19"/>
      <c r="P53" s="8"/>
      <c r="R53" t="str">
        <f t="shared" si="0"/>
        <v>INSERT INTO TransformationEngine_Field (FieldName, FieldDescription, SourceFieldName, DetailField, Length, Required, OutputFieldName, AllowedChars) VALUES ('Output UB Box 17', 'Discharge Status', 'OCRDischargeStat',0, 2, 0, 'CLM-HOSP-DISCHARGE-STATUS', 'A-Z,0-9')</v>
      </c>
    </row>
    <row r="54" spans="1:18" x14ac:dyDescent="0.35">
      <c r="A54" s="8"/>
      <c r="B54" s="8" t="s">
        <v>1439</v>
      </c>
      <c r="C54" s="8" t="s">
        <v>162</v>
      </c>
      <c r="D54" s="8" t="s">
        <v>163</v>
      </c>
      <c r="E54" s="8" t="s">
        <v>1377</v>
      </c>
      <c r="F54" s="8" t="s">
        <v>1377</v>
      </c>
      <c r="G54" s="8">
        <v>0</v>
      </c>
      <c r="H54" s="8">
        <v>2</v>
      </c>
      <c r="I54" s="8">
        <v>0</v>
      </c>
      <c r="J54" s="8" t="s">
        <v>1377</v>
      </c>
      <c r="K54" s="8" t="s">
        <v>71</v>
      </c>
      <c r="L54" s="8" t="s">
        <v>1377</v>
      </c>
      <c r="M54" s="15" t="s">
        <v>1377</v>
      </c>
      <c r="N54" s="17" t="s">
        <v>1440</v>
      </c>
      <c r="O54" s="19"/>
      <c r="P54" s="8"/>
      <c r="R54" t="str">
        <f t="shared" si="0"/>
        <v>INSERT INTO TransformationEngine_Field (FieldName, FieldDescription, SourceFieldName, DetailField, Length, Required, OutputFieldName, AllowedChars) VALUES ('Output UB Box 18', 'Condition Codes 1', 'OCRInsCondCode1',0, 2, 0, 'CLM-HOSP-CONDITION-CD', 'A-Z,0-9')</v>
      </c>
    </row>
    <row r="55" spans="1:18" x14ac:dyDescent="0.35">
      <c r="A55" s="8"/>
      <c r="B55" s="8" t="s">
        <v>1441</v>
      </c>
      <c r="C55" s="8" t="s">
        <v>165</v>
      </c>
      <c r="D55" s="8" t="s">
        <v>166</v>
      </c>
      <c r="E55" s="8" t="s">
        <v>1377</v>
      </c>
      <c r="F55" s="8" t="s">
        <v>1377</v>
      </c>
      <c r="G55" s="8">
        <v>0</v>
      </c>
      <c r="H55" s="8">
        <v>2</v>
      </c>
      <c r="I55" s="8">
        <v>0</v>
      </c>
      <c r="J55" s="8" t="s">
        <v>1377</v>
      </c>
      <c r="K55" s="8" t="s">
        <v>71</v>
      </c>
      <c r="L55" s="8" t="s">
        <v>1377</v>
      </c>
      <c r="M55" s="15" t="s">
        <v>1377</v>
      </c>
      <c r="N55" s="17" t="s">
        <v>1440</v>
      </c>
      <c r="O55" s="19"/>
      <c r="P55" s="8"/>
      <c r="R55" t="str">
        <f t="shared" si="0"/>
        <v>INSERT INTO TransformationEngine_Field (FieldName, FieldDescription, SourceFieldName, DetailField, Length, Required, OutputFieldName, AllowedChars) VALUES ('Output UB Box 19', 'Condition Codes 2', 'OCRInsCondCode2',0, 2, 0, 'CLM-HOSP-CONDITION-CD', 'A-Z,0-9')</v>
      </c>
    </row>
    <row r="56" spans="1:18" x14ac:dyDescent="0.35">
      <c r="A56" s="8"/>
      <c r="B56" s="8" t="s">
        <v>1442</v>
      </c>
      <c r="C56" s="8" t="s">
        <v>168</v>
      </c>
      <c r="D56" s="8" t="s">
        <v>169</v>
      </c>
      <c r="E56" s="8" t="s">
        <v>1377</v>
      </c>
      <c r="F56" s="8" t="s">
        <v>1377</v>
      </c>
      <c r="G56" s="8">
        <v>0</v>
      </c>
      <c r="H56" s="8">
        <v>2</v>
      </c>
      <c r="I56" s="8">
        <v>0</v>
      </c>
      <c r="J56" s="8" t="s">
        <v>1377</v>
      </c>
      <c r="K56" s="8" t="s">
        <v>71</v>
      </c>
      <c r="L56" s="8" t="s">
        <v>1377</v>
      </c>
      <c r="M56" s="15" t="s">
        <v>1377</v>
      </c>
      <c r="N56" s="17" t="s">
        <v>1440</v>
      </c>
      <c r="O56" s="19"/>
      <c r="P56" s="8"/>
      <c r="R56" t="str">
        <f t="shared" si="0"/>
        <v>INSERT INTO TransformationEngine_Field (FieldName, FieldDescription, SourceFieldName, DetailField, Length, Required, OutputFieldName, AllowedChars) VALUES ('Output UB Box 20', 'Condition Codes 3', 'OCRInsCondCode3',0, 2, 0, 'CLM-HOSP-CONDITION-CD', 'A-Z,0-9')</v>
      </c>
    </row>
    <row r="57" spans="1:18" x14ac:dyDescent="0.35">
      <c r="A57" s="8"/>
      <c r="B57" s="8" t="s">
        <v>1443</v>
      </c>
      <c r="C57" s="8" t="s">
        <v>171</v>
      </c>
      <c r="D57" s="8" t="s">
        <v>172</v>
      </c>
      <c r="E57" s="8" t="s">
        <v>1377</v>
      </c>
      <c r="F57" s="8" t="s">
        <v>1377</v>
      </c>
      <c r="G57" s="8">
        <v>0</v>
      </c>
      <c r="H57" s="8">
        <v>2</v>
      </c>
      <c r="I57" s="8">
        <v>0</v>
      </c>
      <c r="J57" s="8" t="s">
        <v>1377</v>
      </c>
      <c r="K57" s="8" t="s">
        <v>71</v>
      </c>
      <c r="L57" s="8" t="s">
        <v>1377</v>
      </c>
      <c r="M57" s="15" t="s">
        <v>1377</v>
      </c>
      <c r="N57" s="17" t="s">
        <v>1440</v>
      </c>
      <c r="O57" s="19"/>
      <c r="P57" s="8"/>
      <c r="R57" t="str">
        <f t="shared" si="0"/>
        <v>INSERT INTO TransformationEngine_Field (FieldName, FieldDescription, SourceFieldName, DetailField, Length, Required, OutputFieldName, AllowedChars) VALUES ('Output UB Box 21', 'Condition Codes 4', 'OCRInsCondCode4',0, 2, 0, 'CLM-HOSP-CONDITION-CD', 'A-Z,0-9')</v>
      </c>
    </row>
    <row r="58" spans="1:18" x14ac:dyDescent="0.35">
      <c r="A58" s="8"/>
      <c r="B58" s="8" t="s">
        <v>1444</v>
      </c>
      <c r="C58" s="8" t="s">
        <v>174</v>
      </c>
      <c r="D58" s="8" t="s">
        <v>175</v>
      </c>
      <c r="E58" s="8" t="s">
        <v>1377</v>
      </c>
      <c r="F58" s="8" t="s">
        <v>1377</v>
      </c>
      <c r="G58" s="8">
        <v>0</v>
      </c>
      <c r="H58" s="8">
        <v>2</v>
      </c>
      <c r="I58" s="8">
        <v>0</v>
      </c>
      <c r="J58" s="8" t="s">
        <v>1377</v>
      </c>
      <c r="K58" s="8" t="s">
        <v>71</v>
      </c>
      <c r="L58" s="8" t="s">
        <v>1377</v>
      </c>
      <c r="M58" s="15" t="s">
        <v>1377</v>
      </c>
      <c r="N58" s="17" t="s">
        <v>1440</v>
      </c>
      <c r="O58" s="19"/>
      <c r="P58" s="8"/>
      <c r="R58" t="str">
        <f t="shared" si="0"/>
        <v>INSERT INTO TransformationEngine_Field (FieldName, FieldDescription, SourceFieldName, DetailField, Length, Required, OutputFieldName, AllowedChars) VALUES ('Output UB Box 22', 'Condition Codes 5', 'OCRInsCondCode5',0, 2, 0, 'CLM-HOSP-CONDITION-CD', 'A-Z,0-9')</v>
      </c>
    </row>
    <row r="59" spans="1:18" x14ac:dyDescent="0.35">
      <c r="A59" s="8"/>
      <c r="B59" s="8" t="s">
        <v>1445</v>
      </c>
      <c r="C59" s="8" t="s">
        <v>177</v>
      </c>
      <c r="D59" s="8" t="s">
        <v>178</v>
      </c>
      <c r="E59" s="8" t="s">
        <v>1377</v>
      </c>
      <c r="F59" s="8" t="s">
        <v>1377</v>
      </c>
      <c r="G59" s="8">
        <v>0</v>
      </c>
      <c r="H59" s="8">
        <v>2</v>
      </c>
      <c r="I59" s="8">
        <v>0</v>
      </c>
      <c r="J59" s="8" t="s">
        <v>1377</v>
      </c>
      <c r="K59" s="8" t="s">
        <v>71</v>
      </c>
      <c r="L59" s="8" t="s">
        <v>1377</v>
      </c>
      <c r="M59" s="15" t="s">
        <v>1377</v>
      </c>
      <c r="N59" s="17" t="s">
        <v>1440</v>
      </c>
      <c r="O59" s="19"/>
      <c r="P59" s="8"/>
      <c r="R59" t="str">
        <f t="shared" si="0"/>
        <v>INSERT INTO TransformationEngine_Field (FieldName, FieldDescription, SourceFieldName, DetailField, Length, Required, OutputFieldName, AllowedChars) VALUES ('Output UB Box 23', 'Condition Codes 6', 'OCRInsCondCode6',0, 2, 0, 'CLM-HOSP-CONDITION-CD', 'A-Z,0-9')</v>
      </c>
    </row>
    <row r="60" spans="1:18" x14ac:dyDescent="0.35">
      <c r="A60" s="8"/>
      <c r="B60" s="8" t="s">
        <v>1446</v>
      </c>
      <c r="C60" s="8" t="s">
        <v>180</v>
      </c>
      <c r="D60" s="8" t="s">
        <v>181</v>
      </c>
      <c r="E60" s="8" t="s">
        <v>1377</v>
      </c>
      <c r="F60" s="8" t="s">
        <v>1377</v>
      </c>
      <c r="G60" s="8">
        <v>0</v>
      </c>
      <c r="H60" s="8">
        <v>2</v>
      </c>
      <c r="I60" s="8">
        <v>0</v>
      </c>
      <c r="J60" s="8" t="s">
        <v>1377</v>
      </c>
      <c r="K60" s="8" t="s">
        <v>71</v>
      </c>
      <c r="L60" s="8" t="s">
        <v>1377</v>
      </c>
      <c r="M60" s="15" t="s">
        <v>1377</v>
      </c>
      <c r="N60" s="17" t="s">
        <v>1440</v>
      </c>
      <c r="O60" s="19"/>
      <c r="P60" s="8"/>
      <c r="R60" t="str">
        <f t="shared" si="0"/>
        <v>INSERT INTO TransformationEngine_Field (FieldName, FieldDescription, SourceFieldName, DetailField, Length, Required, OutputFieldName, AllowedChars) VALUES ('Output UB Box 24', 'Condition Codes 7', 'OCRInsCondCode7',0, 2, 0, 'CLM-HOSP-CONDITION-CD', 'A-Z,0-9')</v>
      </c>
    </row>
    <row r="61" spans="1:18" x14ac:dyDescent="0.35">
      <c r="A61" s="8"/>
      <c r="B61" s="8" t="s">
        <v>1447</v>
      </c>
      <c r="C61" s="8" t="s">
        <v>183</v>
      </c>
      <c r="D61" s="8" t="s">
        <v>184</v>
      </c>
      <c r="E61" s="8" t="s">
        <v>1377</v>
      </c>
      <c r="F61" s="8" t="s">
        <v>1377</v>
      </c>
      <c r="G61" s="8">
        <v>0</v>
      </c>
      <c r="H61" s="8">
        <v>2</v>
      </c>
      <c r="I61" s="8">
        <v>0</v>
      </c>
      <c r="J61" s="8" t="s">
        <v>1377</v>
      </c>
      <c r="K61" s="8" t="s">
        <v>71</v>
      </c>
      <c r="L61" s="8" t="s">
        <v>1377</v>
      </c>
      <c r="M61" s="15" t="s">
        <v>1377</v>
      </c>
      <c r="N61" s="17" t="s">
        <v>1440</v>
      </c>
      <c r="O61" s="19"/>
      <c r="P61" s="8"/>
      <c r="R61" t="str">
        <f t="shared" si="0"/>
        <v>INSERT INTO TransformationEngine_Field (FieldName, FieldDescription, SourceFieldName, DetailField, Length, Required, OutputFieldName, AllowedChars) VALUES ('Output UB Box 25', 'Condition Codes 8', 'OCRInsCondCode8',0, 2, 0, 'CLM-HOSP-CONDITION-CD', 'A-Z,0-9')</v>
      </c>
    </row>
    <row r="62" spans="1:18" x14ac:dyDescent="0.35">
      <c r="A62" s="8"/>
      <c r="B62" s="8" t="s">
        <v>1448</v>
      </c>
      <c r="C62" s="8" t="s">
        <v>186</v>
      </c>
      <c r="D62" s="8" t="s">
        <v>187</v>
      </c>
      <c r="E62" s="8" t="s">
        <v>1377</v>
      </c>
      <c r="F62" s="8" t="s">
        <v>1377</v>
      </c>
      <c r="G62" s="8">
        <v>0</v>
      </c>
      <c r="H62" s="8">
        <v>2</v>
      </c>
      <c r="I62" s="8">
        <v>0</v>
      </c>
      <c r="J62" s="8" t="s">
        <v>1377</v>
      </c>
      <c r="K62" s="8" t="s">
        <v>71</v>
      </c>
      <c r="L62" s="8" t="s">
        <v>1377</v>
      </c>
      <c r="M62" s="15" t="s">
        <v>1377</v>
      </c>
      <c r="N62" s="17" t="s">
        <v>1440</v>
      </c>
      <c r="O62" s="19"/>
      <c r="P62" s="8"/>
      <c r="R62" t="str">
        <f t="shared" si="0"/>
        <v>INSERT INTO TransformationEngine_Field (FieldName, FieldDescription, SourceFieldName, DetailField, Length, Required, OutputFieldName, AllowedChars) VALUES ('Output UB Box 26', 'Condition Codes 9', 'OCRInsCondCode9',0, 2, 0, 'CLM-HOSP-CONDITION-CD', 'A-Z,0-9')</v>
      </c>
    </row>
    <row r="63" spans="1:18" x14ac:dyDescent="0.35">
      <c r="A63" s="8"/>
      <c r="B63" s="8" t="s">
        <v>1449</v>
      </c>
      <c r="C63" s="8" t="s">
        <v>189</v>
      </c>
      <c r="D63" s="8" t="s">
        <v>190</v>
      </c>
      <c r="E63" s="8" t="s">
        <v>1377</v>
      </c>
      <c r="F63" s="8" t="s">
        <v>1377</v>
      </c>
      <c r="G63" s="8">
        <v>0</v>
      </c>
      <c r="H63" s="8">
        <v>2</v>
      </c>
      <c r="I63" s="8">
        <v>0</v>
      </c>
      <c r="J63" s="8" t="s">
        <v>1377</v>
      </c>
      <c r="K63" s="8" t="s">
        <v>71</v>
      </c>
      <c r="L63" s="8" t="s">
        <v>1377</v>
      </c>
      <c r="M63" s="15" t="s">
        <v>1377</v>
      </c>
      <c r="N63" s="17" t="s">
        <v>1440</v>
      </c>
      <c r="O63" s="19"/>
      <c r="P63" s="8"/>
      <c r="R63" t="str">
        <f t="shared" si="0"/>
        <v>INSERT INTO TransformationEngine_Field (FieldName, FieldDescription, SourceFieldName, DetailField, Length, Required, OutputFieldName, AllowedChars) VALUES ('Output UB Box 27', 'Condition Codes 10', 'OCRInsCondCode10',0, 2, 0, 'CLM-HOSP-CONDITION-CD', 'A-Z,0-9')</v>
      </c>
    </row>
    <row r="64" spans="1:18" x14ac:dyDescent="0.35">
      <c r="A64" s="8"/>
      <c r="B64" s="8" t="s">
        <v>1450</v>
      </c>
      <c r="C64" s="8" t="s">
        <v>192</v>
      </c>
      <c r="D64" s="8" t="s">
        <v>193</v>
      </c>
      <c r="E64" s="8" t="s">
        <v>1377</v>
      </c>
      <c r="F64" s="8" t="s">
        <v>1377</v>
      </c>
      <c r="G64" s="8">
        <v>0</v>
      </c>
      <c r="H64" s="8">
        <v>2</v>
      </c>
      <c r="I64" s="8">
        <v>0</v>
      </c>
      <c r="J64" s="8" t="s">
        <v>1377</v>
      </c>
      <c r="K64" s="8" t="s">
        <v>71</v>
      </c>
      <c r="L64" s="8" t="s">
        <v>1377</v>
      </c>
      <c r="M64" s="15" t="s">
        <v>1377</v>
      </c>
      <c r="N64" s="17" t="s">
        <v>1440</v>
      </c>
      <c r="O64" s="19"/>
      <c r="P64" s="8"/>
      <c r="R64" t="str">
        <f t="shared" si="0"/>
        <v>INSERT INTO TransformationEngine_Field (FieldName, FieldDescription, SourceFieldName, DetailField, Length, Required, OutputFieldName, AllowedChars) VALUES ('Output UB Box 28', 'Condition Codes 11', 'OCRInsCondCode11',0, 2, 0, 'CLM-HOSP-CONDITION-CD', 'A-Z,0-9')</v>
      </c>
    </row>
    <row r="65" spans="1:18" x14ac:dyDescent="0.35">
      <c r="A65" s="8"/>
      <c r="B65" s="8" t="s">
        <v>1451</v>
      </c>
      <c r="C65" s="8" t="s">
        <v>1452</v>
      </c>
      <c r="D65" s="8" t="s">
        <v>196</v>
      </c>
      <c r="E65" s="8" t="s">
        <v>1377</v>
      </c>
      <c r="F65" s="8" t="s">
        <v>1377</v>
      </c>
      <c r="G65" s="8">
        <v>0</v>
      </c>
      <c r="H65" s="8">
        <v>2</v>
      </c>
      <c r="I65" s="8">
        <v>0</v>
      </c>
      <c r="J65" s="8" t="s">
        <v>1377</v>
      </c>
      <c r="K65" s="8" t="s">
        <v>71</v>
      </c>
      <c r="L65" s="8" t="s">
        <v>1377</v>
      </c>
      <c r="M65" s="15" t="s">
        <v>1377</v>
      </c>
      <c r="N65" s="17" t="s">
        <v>1453</v>
      </c>
      <c r="O65" s="19"/>
      <c r="P65" s="8"/>
      <c r="R65" t="str">
        <f t="shared" si="0"/>
        <v>INSERT INTO TransformationEngine_Field (FieldName, FieldDescription, SourceFieldName, DetailField, Length, Required, OutputFieldName, AllowedChars) VALUES ('Output UB Box 29', 'ACDT State', 'OCRACDTstate',0, 2, 0, 'CLM-ACCIDENT-STATE', 'A-Z,0-9')</v>
      </c>
    </row>
    <row r="66" spans="1:18" x14ac:dyDescent="0.35">
      <c r="A66" s="8"/>
      <c r="B66" s="8" t="s">
        <v>1454</v>
      </c>
      <c r="C66" s="8" t="s">
        <v>198</v>
      </c>
      <c r="D66" s="8" t="s">
        <v>199</v>
      </c>
      <c r="E66" s="8" t="s">
        <v>1377</v>
      </c>
      <c r="F66" s="8" t="s">
        <v>1377</v>
      </c>
      <c r="G66" s="8">
        <v>0</v>
      </c>
      <c r="H66" s="8">
        <v>20</v>
      </c>
      <c r="I66" s="8">
        <v>0</v>
      </c>
      <c r="J66" s="8" t="s">
        <v>1377</v>
      </c>
      <c r="K66" s="8" t="s">
        <v>1377</v>
      </c>
      <c r="L66" s="8" t="s">
        <v>1377</v>
      </c>
      <c r="M66" s="15" t="s">
        <v>1377</v>
      </c>
      <c r="N66" s="17"/>
      <c r="O66" s="19"/>
      <c r="P66" s="8"/>
      <c r="Q66" t="s">
        <v>1406</v>
      </c>
      <c r="R66" t="str">
        <f t="shared" si="0"/>
        <v>INSERT INTO TransformationEngine_Field (FieldName, FieldDescription, SourceFieldName, DetailField, Length, Required, OutputFieldName, AllowedChars) VALUES ('Output UB Box 30', '???', 'OCRNotUsedBlock31',0, 20, 0, '', 'NULL')</v>
      </c>
    </row>
    <row r="67" spans="1:18" x14ac:dyDescent="0.35">
      <c r="A67" s="8"/>
      <c r="B67" s="8" t="s">
        <v>1455</v>
      </c>
      <c r="C67" s="8" t="s">
        <v>201</v>
      </c>
      <c r="D67" s="14" t="s">
        <v>202</v>
      </c>
      <c r="E67" s="8" t="s">
        <v>1377</v>
      </c>
      <c r="F67" s="8" t="s">
        <v>1377</v>
      </c>
      <c r="G67" s="8">
        <v>0</v>
      </c>
      <c r="H67" s="8">
        <v>2</v>
      </c>
      <c r="I67" s="8">
        <v>0</v>
      </c>
      <c r="J67" s="8" t="s">
        <v>1377</v>
      </c>
      <c r="K67" s="8" t="s">
        <v>71</v>
      </c>
      <c r="L67" s="8" t="s">
        <v>1377</v>
      </c>
      <c r="M67" s="15" t="s">
        <v>1377</v>
      </c>
      <c r="N67" s="17" t="s">
        <v>1456</v>
      </c>
      <c r="O67" s="19"/>
      <c r="P67" s="8"/>
      <c r="R67" t="str">
        <f t="shared" si="0"/>
        <v>INSERT INTO TransformationEngine_Field (FieldName, FieldDescription, SourceFieldName, DetailField, Length, Required, OutputFieldName, AllowedChars) VALUES ('Output UB Box 31a', 'Occurrence Code 1a', 'OCROccurCodes1A',0, 2, 0, 'CLM-HOSP-OCCUR-CODES', 'A-Z,0-9')</v>
      </c>
    </row>
    <row r="68" spans="1:18" x14ac:dyDescent="0.35">
      <c r="A68" s="8"/>
      <c r="B68" s="8" t="s">
        <v>1455</v>
      </c>
      <c r="C68" s="8" t="s">
        <v>203</v>
      </c>
      <c r="D68" s="14" t="s">
        <v>204</v>
      </c>
      <c r="E68" s="8" t="s">
        <v>1377</v>
      </c>
      <c r="F68" s="8" t="s">
        <v>1377</v>
      </c>
      <c r="G68" s="8">
        <v>0</v>
      </c>
      <c r="H68" s="14">
        <v>10</v>
      </c>
      <c r="I68" s="8">
        <v>0</v>
      </c>
      <c r="J68" s="8" t="s">
        <v>1377</v>
      </c>
      <c r="K68" s="8" t="s">
        <v>27</v>
      </c>
      <c r="L68" s="8" t="s">
        <v>1377</v>
      </c>
      <c r="M68" s="15" t="s">
        <v>1377</v>
      </c>
      <c r="N68" s="17" t="s">
        <v>1457</v>
      </c>
      <c r="O68" s="19" t="s">
        <v>1403</v>
      </c>
      <c r="P68" s="8"/>
      <c r="R68" t="str">
        <f t="shared" ref="R68:R131" si="2">CONCATENATE("INSERT INTO TransformationEngine_Field (FieldName, FieldDescription, SourceFieldName, DetailField, Length, Required, OutputFieldName, AllowedChars) VALUES ('", B68, "', '", C68, "', '", D68, "',", G68, ", ", H68, ", ", I68, ", '", N68, "', '", K68,"')")</f>
        <v>INSERT INTO TransformationEngine_Field (FieldName, FieldDescription, SourceFieldName, DetailField, Length, Required, OutputFieldName, AllowedChars) VALUES ('Output UB Box 31a', 'Occurrence Date 1a', 'OCROccurDates1A',0, 10, 0, 'CLM-HOSP-OCCUR-DTE- CCYYMMDD', '0-9')</v>
      </c>
    </row>
    <row r="69" spans="1:18" x14ac:dyDescent="0.35">
      <c r="A69" s="8"/>
      <c r="B69" s="8" t="s">
        <v>1458</v>
      </c>
      <c r="C69" s="8" t="s">
        <v>207</v>
      </c>
      <c r="D69" s="14" t="s">
        <v>208</v>
      </c>
      <c r="E69" s="8" t="s">
        <v>1377</v>
      </c>
      <c r="F69" s="8" t="s">
        <v>1377</v>
      </c>
      <c r="G69" s="8">
        <v>0</v>
      </c>
      <c r="H69" s="14">
        <v>2</v>
      </c>
      <c r="I69" s="8">
        <v>0</v>
      </c>
      <c r="J69" s="8" t="s">
        <v>1377</v>
      </c>
      <c r="K69" s="8" t="s">
        <v>71</v>
      </c>
      <c r="L69" s="8" t="s">
        <v>1377</v>
      </c>
      <c r="M69" s="15" t="s">
        <v>1377</v>
      </c>
      <c r="N69" s="17" t="s">
        <v>1456</v>
      </c>
      <c r="O69" s="19"/>
      <c r="P69" s="8"/>
      <c r="R69" t="str">
        <f t="shared" si="2"/>
        <v>INSERT INTO TransformationEngine_Field (FieldName, FieldDescription, SourceFieldName, DetailField, Length, Required, OutputFieldName, AllowedChars) VALUES ('Output UB Box 31b', 'Occurrence Code 1b', 'OCROccurCodes1B',0, 2, 0, 'CLM-HOSP-OCCUR-CODES', 'A-Z,0-9')</v>
      </c>
    </row>
    <row r="70" spans="1:18" x14ac:dyDescent="0.35">
      <c r="A70" s="8"/>
      <c r="B70" s="8" t="s">
        <v>1458</v>
      </c>
      <c r="C70" s="8" t="s">
        <v>209</v>
      </c>
      <c r="D70" s="14" t="s">
        <v>208</v>
      </c>
      <c r="E70" s="8" t="s">
        <v>1377</v>
      </c>
      <c r="F70" s="8" t="s">
        <v>1377</v>
      </c>
      <c r="G70" s="8">
        <v>0</v>
      </c>
      <c r="H70" s="14">
        <v>10</v>
      </c>
      <c r="I70" s="8">
        <v>0</v>
      </c>
      <c r="J70" s="8" t="s">
        <v>1377</v>
      </c>
      <c r="K70" s="8" t="s">
        <v>27</v>
      </c>
      <c r="L70" s="8" t="s">
        <v>1377</v>
      </c>
      <c r="M70" s="15" t="s">
        <v>1377</v>
      </c>
      <c r="N70" s="17" t="s">
        <v>1457</v>
      </c>
      <c r="O70" s="19"/>
      <c r="P70" s="8"/>
      <c r="R70" t="str">
        <f t="shared" si="2"/>
        <v>INSERT INTO TransformationEngine_Field (FieldName, FieldDescription, SourceFieldName, DetailField, Length, Required, OutputFieldName, AllowedChars) VALUES ('Output UB Box 31b', 'Occurrence Date 1b', 'OCROccurCodes1B',0, 10, 0, 'CLM-HOSP-OCCUR-DTE- CCYYMMDD', '0-9')</v>
      </c>
    </row>
    <row r="71" spans="1:18" x14ac:dyDescent="0.35">
      <c r="A71" s="8"/>
      <c r="B71" s="8" t="s">
        <v>1459</v>
      </c>
      <c r="C71" s="8" t="s">
        <v>212</v>
      </c>
      <c r="D71" s="14" t="s">
        <v>213</v>
      </c>
      <c r="E71" s="8" t="s">
        <v>1377</v>
      </c>
      <c r="F71" s="8" t="s">
        <v>1377</v>
      </c>
      <c r="G71" s="8">
        <v>0</v>
      </c>
      <c r="H71" s="14">
        <v>2</v>
      </c>
      <c r="I71" s="8">
        <v>0</v>
      </c>
      <c r="J71" s="8" t="s">
        <v>1377</v>
      </c>
      <c r="K71" s="8" t="s">
        <v>71</v>
      </c>
      <c r="L71" s="8" t="s">
        <v>1377</v>
      </c>
      <c r="M71" s="15" t="s">
        <v>1377</v>
      </c>
      <c r="N71" s="17" t="s">
        <v>1456</v>
      </c>
      <c r="O71" s="19"/>
      <c r="P71" s="8"/>
      <c r="R71" t="str">
        <f t="shared" si="2"/>
        <v>INSERT INTO TransformationEngine_Field (FieldName, FieldDescription, SourceFieldName, DetailField, Length, Required, OutputFieldName, AllowedChars) VALUES ('Output UB Box 32a', 'Occurrence Code 2a', 'OCROccurCodes2A',0, 2, 0, 'CLM-HOSP-OCCUR-CODES', 'A-Z,0-9')</v>
      </c>
    </row>
    <row r="72" spans="1:18" x14ac:dyDescent="0.35">
      <c r="A72" s="8"/>
      <c r="B72" s="8" t="s">
        <v>1459</v>
      </c>
      <c r="C72" s="8" t="s">
        <v>214</v>
      </c>
      <c r="D72" s="14" t="s">
        <v>215</v>
      </c>
      <c r="E72" s="8" t="s">
        <v>1377</v>
      </c>
      <c r="F72" s="8" t="s">
        <v>1377</v>
      </c>
      <c r="G72" s="8">
        <v>0</v>
      </c>
      <c r="H72" s="14">
        <v>10</v>
      </c>
      <c r="I72" s="8">
        <v>0</v>
      </c>
      <c r="J72" s="8" t="s">
        <v>1377</v>
      </c>
      <c r="K72" s="8" t="s">
        <v>27</v>
      </c>
      <c r="L72" s="8" t="s">
        <v>1377</v>
      </c>
      <c r="M72" s="15" t="s">
        <v>1377</v>
      </c>
      <c r="N72" s="17" t="s">
        <v>1457</v>
      </c>
      <c r="O72" s="19" t="s">
        <v>1403</v>
      </c>
      <c r="P72" s="8"/>
      <c r="R72" t="str">
        <f t="shared" si="2"/>
        <v>INSERT INTO TransformationEngine_Field (FieldName, FieldDescription, SourceFieldName, DetailField, Length, Required, OutputFieldName, AllowedChars) VALUES ('Output UB Box 32a', 'Occurrence Date 2a', 'OCROccurDates2A',0, 10, 0, 'CLM-HOSP-OCCUR-DTE- CCYYMMDD', '0-9')</v>
      </c>
    </row>
    <row r="73" spans="1:18" x14ac:dyDescent="0.35">
      <c r="A73" s="8"/>
      <c r="B73" s="8" t="s">
        <v>1460</v>
      </c>
      <c r="C73" s="8" t="s">
        <v>217</v>
      </c>
      <c r="D73" s="14" t="s">
        <v>218</v>
      </c>
      <c r="E73" s="8" t="s">
        <v>1377</v>
      </c>
      <c r="F73" s="8" t="s">
        <v>1377</v>
      </c>
      <c r="G73" s="8">
        <v>0</v>
      </c>
      <c r="H73" s="14">
        <v>2</v>
      </c>
      <c r="I73" s="8">
        <v>0</v>
      </c>
      <c r="J73" s="8" t="s">
        <v>1377</v>
      </c>
      <c r="K73" s="8" t="s">
        <v>71</v>
      </c>
      <c r="L73" s="8" t="s">
        <v>1377</v>
      </c>
      <c r="M73" s="15" t="s">
        <v>1377</v>
      </c>
      <c r="N73" s="17" t="s">
        <v>1456</v>
      </c>
      <c r="O73" s="19"/>
      <c r="P73" s="8"/>
      <c r="R73" t="str">
        <f t="shared" si="2"/>
        <v>INSERT INTO TransformationEngine_Field (FieldName, FieldDescription, SourceFieldName, DetailField, Length, Required, OutputFieldName, AllowedChars) VALUES ('Output UB Box 32b', 'Occurrence Code 2b', 'OCROccurCodes2B',0, 2, 0, 'CLM-HOSP-OCCUR-CODES', 'A-Z,0-9')</v>
      </c>
    </row>
    <row r="74" spans="1:18" x14ac:dyDescent="0.35">
      <c r="A74" s="8"/>
      <c r="B74" s="8" t="s">
        <v>1460</v>
      </c>
      <c r="C74" s="8" t="s">
        <v>219</v>
      </c>
      <c r="D74" s="14" t="s">
        <v>218</v>
      </c>
      <c r="E74" s="8" t="s">
        <v>1377</v>
      </c>
      <c r="F74" s="8" t="s">
        <v>1377</v>
      </c>
      <c r="G74" s="8">
        <v>0</v>
      </c>
      <c r="H74" s="14">
        <v>10</v>
      </c>
      <c r="I74" s="8">
        <v>0</v>
      </c>
      <c r="J74" s="8" t="s">
        <v>1377</v>
      </c>
      <c r="K74" s="8" t="s">
        <v>27</v>
      </c>
      <c r="L74" s="8" t="s">
        <v>1377</v>
      </c>
      <c r="M74" s="15" t="s">
        <v>1377</v>
      </c>
      <c r="N74" s="17" t="s">
        <v>1457</v>
      </c>
      <c r="O74" s="19"/>
      <c r="P74" s="8"/>
      <c r="R74" t="str">
        <f t="shared" si="2"/>
        <v>INSERT INTO TransformationEngine_Field (FieldName, FieldDescription, SourceFieldName, DetailField, Length, Required, OutputFieldName, AllowedChars) VALUES ('Output UB Box 32b', 'Occurrence Date 2b', 'OCROccurCodes2B',0, 10, 0, 'CLM-HOSP-OCCUR-DTE- CCYYMMDD', '0-9')</v>
      </c>
    </row>
    <row r="75" spans="1:18" x14ac:dyDescent="0.35">
      <c r="A75" s="8"/>
      <c r="B75" s="8" t="s">
        <v>1461</v>
      </c>
      <c r="C75" s="8" t="s">
        <v>222</v>
      </c>
      <c r="D75" s="14" t="s">
        <v>223</v>
      </c>
      <c r="E75" s="8" t="s">
        <v>1377</v>
      </c>
      <c r="F75" s="8" t="s">
        <v>1377</v>
      </c>
      <c r="G75" s="8">
        <v>0</v>
      </c>
      <c r="H75" s="14">
        <v>2</v>
      </c>
      <c r="I75" s="8">
        <v>0</v>
      </c>
      <c r="J75" s="8" t="s">
        <v>1377</v>
      </c>
      <c r="K75" s="8" t="s">
        <v>71</v>
      </c>
      <c r="L75" s="8" t="s">
        <v>1377</v>
      </c>
      <c r="M75" s="15" t="s">
        <v>1377</v>
      </c>
      <c r="N75" s="17"/>
      <c r="O75" s="19"/>
      <c r="P75" s="8"/>
      <c r="R75" t="str">
        <f t="shared" si="2"/>
        <v>INSERT INTO TransformationEngine_Field (FieldName, FieldDescription, SourceFieldName, DetailField, Length, Required, OutputFieldName, AllowedChars) VALUES ('Output UB Box 33a', 'Occurrence Code 3a', 'OCROccurCodes3A',0, 2, 0, '', 'A-Z,0-9')</v>
      </c>
    </row>
    <row r="76" spans="1:18" x14ac:dyDescent="0.35">
      <c r="A76" s="8"/>
      <c r="B76" s="8" t="s">
        <v>1461</v>
      </c>
      <c r="C76" s="8" t="s">
        <v>224</v>
      </c>
      <c r="D76" s="14" t="s">
        <v>225</v>
      </c>
      <c r="E76" s="8" t="s">
        <v>1377</v>
      </c>
      <c r="F76" s="8" t="s">
        <v>1377</v>
      </c>
      <c r="G76" s="8">
        <v>0</v>
      </c>
      <c r="H76" s="14">
        <v>10</v>
      </c>
      <c r="I76" s="8">
        <v>0</v>
      </c>
      <c r="J76" s="8" t="s">
        <v>1377</v>
      </c>
      <c r="K76" s="8" t="s">
        <v>27</v>
      </c>
      <c r="L76" s="8" t="s">
        <v>1377</v>
      </c>
      <c r="M76" s="15" t="s">
        <v>1377</v>
      </c>
      <c r="N76" s="17"/>
      <c r="O76" s="19" t="s">
        <v>1403</v>
      </c>
      <c r="P76" s="8"/>
      <c r="R76" t="str">
        <f t="shared" si="2"/>
        <v>INSERT INTO TransformationEngine_Field (FieldName, FieldDescription, SourceFieldName, DetailField, Length, Required, OutputFieldName, AllowedChars) VALUES ('Output UB Box 33a', 'Occurrence Date 3a', 'OCROccurDates3A',0, 10, 0, '', '0-9')</v>
      </c>
    </row>
    <row r="77" spans="1:18" x14ac:dyDescent="0.35">
      <c r="A77" s="8"/>
      <c r="B77" s="8" t="s">
        <v>1462</v>
      </c>
      <c r="C77" s="8" t="s">
        <v>227</v>
      </c>
      <c r="D77" s="14" t="s">
        <v>228</v>
      </c>
      <c r="E77" s="8" t="s">
        <v>1377</v>
      </c>
      <c r="F77" s="8" t="s">
        <v>1377</v>
      </c>
      <c r="G77" s="8">
        <v>0</v>
      </c>
      <c r="H77" s="14">
        <v>2</v>
      </c>
      <c r="I77" s="8">
        <v>0</v>
      </c>
      <c r="J77" s="8" t="s">
        <v>1377</v>
      </c>
      <c r="K77" s="8" t="s">
        <v>71</v>
      </c>
      <c r="L77" s="8" t="s">
        <v>1377</v>
      </c>
      <c r="M77" s="15" t="s">
        <v>1377</v>
      </c>
      <c r="N77" s="17"/>
      <c r="O77" s="19"/>
      <c r="P77" s="8"/>
      <c r="R77" t="str">
        <f t="shared" si="2"/>
        <v>INSERT INTO TransformationEngine_Field (FieldName, FieldDescription, SourceFieldName, DetailField, Length, Required, OutputFieldName, AllowedChars) VALUES ('Output UB Box 33b', 'Occurrence Code 3b', 'OCROccurCodes3B',0, 2, 0, '', 'A-Z,0-9')</v>
      </c>
    </row>
    <row r="78" spans="1:18" x14ac:dyDescent="0.35">
      <c r="A78" s="8"/>
      <c r="B78" s="8" t="s">
        <v>1462</v>
      </c>
      <c r="C78" s="8" t="s">
        <v>229</v>
      </c>
      <c r="D78" s="14" t="s">
        <v>228</v>
      </c>
      <c r="E78" s="8" t="s">
        <v>1377</v>
      </c>
      <c r="F78" s="8" t="s">
        <v>1377</v>
      </c>
      <c r="G78" s="8">
        <v>0</v>
      </c>
      <c r="H78" s="14">
        <v>10</v>
      </c>
      <c r="I78" s="8">
        <v>0</v>
      </c>
      <c r="J78" s="8" t="s">
        <v>1377</v>
      </c>
      <c r="K78" s="8" t="s">
        <v>27</v>
      </c>
      <c r="L78" s="8" t="s">
        <v>1377</v>
      </c>
      <c r="M78" s="15" t="s">
        <v>1377</v>
      </c>
      <c r="N78" s="17"/>
      <c r="O78" s="19"/>
      <c r="P78" s="8"/>
      <c r="R78" t="str">
        <f t="shared" si="2"/>
        <v>INSERT INTO TransformationEngine_Field (FieldName, FieldDescription, SourceFieldName, DetailField, Length, Required, OutputFieldName, AllowedChars) VALUES ('Output UB Box 33b', 'Occurrence Date 3b', 'OCROccurCodes3B',0, 10, 0, '', '0-9')</v>
      </c>
    </row>
    <row r="79" spans="1:18" x14ac:dyDescent="0.35">
      <c r="A79" s="8"/>
      <c r="B79" s="8" t="s">
        <v>1463</v>
      </c>
      <c r="C79" s="8" t="s">
        <v>232</v>
      </c>
      <c r="D79" s="14" t="s">
        <v>233</v>
      </c>
      <c r="E79" s="8" t="s">
        <v>1377</v>
      </c>
      <c r="F79" s="8" t="s">
        <v>1377</v>
      </c>
      <c r="G79" s="8">
        <v>0</v>
      </c>
      <c r="H79" s="14">
        <v>2</v>
      </c>
      <c r="I79" s="8">
        <v>0</v>
      </c>
      <c r="J79" s="8" t="s">
        <v>1377</v>
      </c>
      <c r="K79" s="8" t="s">
        <v>71</v>
      </c>
      <c r="L79" s="8" t="s">
        <v>1377</v>
      </c>
      <c r="M79" s="15" t="s">
        <v>1377</v>
      </c>
      <c r="N79" s="17"/>
      <c r="O79" s="19"/>
      <c r="P79" s="8"/>
      <c r="R79" t="str">
        <f t="shared" si="2"/>
        <v>INSERT INTO TransformationEngine_Field (FieldName, FieldDescription, SourceFieldName, DetailField, Length, Required, OutputFieldName, AllowedChars) VALUES ('Output UB Box 34a', 'Occurrence Code 4a', 'OCROccurCodes4A',0, 2, 0, '', 'A-Z,0-9')</v>
      </c>
    </row>
    <row r="80" spans="1:18" x14ac:dyDescent="0.35">
      <c r="A80" s="8"/>
      <c r="B80" s="8" t="s">
        <v>1463</v>
      </c>
      <c r="C80" s="8" t="s">
        <v>234</v>
      </c>
      <c r="D80" s="14" t="s">
        <v>235</v>
      </c>
      <c r="E80" s="8" t="s">
        <v>1377</v>
      </c>
      <c r="F80" s="8" t="s">
        <v>1377</v>
      </c>
      <c r="G80" s="8">
        <v>0</v>
      </c>
      <c r="H80" s="14">
        <v>10</v>
      </c>
      <c r="I80" s="8">
        <v>0</v>
      </c>
      <c r="J80" s="8" t="s">
        <v>1377</v>
      </c>
      <c r="K80" s="8" t="s">
        <v>27</v>
      </c>
      <c r="L80" s="8" t="s">
        <v>1377</v>
      </c>
      <c r="M80" s="15" t="s">
        <v>1377</v>
      </c>
      <c r="N80" s="17"/>
      <c r="O80" s="19" t="s">
        <v>1403</v>
      </c>
      <c r="P80" s="8"/>
      <c r="R80" t="str">
        <f t="shared" si="2"/>
        <v>INSERT INTO TransformationEngine_Field (FieldName, FieldDescription, SourceFieldName, DetailField, Length, Required, OutputFieldName, AllowedChars) VALUES ('Output UB Box 34a', 'Occurrence Date 4a', 'OCROccurDates4A',0, 10, 0, '', '0-9')</v>
      </c>
    </row>
    <row r="81" spans="1:18" x14ac:dyDescent="0.35">
      <c r="A81" s="8"/>
      <c r="B81" s="8" t="s">
        <v>1464</v>
      </c>
      <c r="C81" s="8" t="s">
        <v>237</v>
      </c>
      <c r="D81" s="14" t="s">
        <v>238</v>
      </c>
      <c r="E81" s="8" t="s">
        <v>1377</v>
      </c>
      <c r="F81" s="8" t="s">
        <v>1377</v>
      </c>
      <c r="G81" s="8">
        <v>0</v>
      </c>
      <c r="H81" s="14">
        <v>2</v>
      </c>
      <c r="I81" s="8">
        <v>0</v>
      </c>
      <c r="J81" s="8" t="s">
        <v>1377</v>
      </c>
      <c r="K81" s="8" t="s">
        <v>71</v>
      </c>
      <c r="L81" s="8" t="s">
        <v>1377</v>
      </c>
      <c r="M81" s="15" t="s">
        <v>1377</v>
      </c>
      <c r="N81" s="17"/>
      <c r="O81" s="19"/>
      <c r="P81" s="8"/>
      <c r="R81" t="str">
        <f t="shared" si="2"/>
        <v>INSERT INTO TransformationEngine_Field (FieldName, FieldDescription, SourceFieldName, DetailField, Length, Required, OutputFieldName, AllowedChars) VALUES ('Output UB Box 34b', 'Occurrence Code 4b', 'OCROccurCodes4B',0, 2, 0, '', 'A-Z,0-9')</v>
      </c>
    </row>
    <row r="82" spans="1:18" x14ac:dyDescent="0.35">
      <c r="A82" s="8"/>
      <c r="B82" s="8" t="s">
        <v>1464</v>
      </c>
      <c r="C82" s="8" t="s">
        <v>239</v>
      </c>
      <c r="D82" s="14" t="s">
        <v>238</v>
      </c>
      <c r="E82" s="8" t="s">
        <v>1377</v>
      </c>
      <c r="F82" s="8" t="s">
        <v>1377</v>
      </c>
      <c r="G82" s="8">
        <v>0</v>
      </c>
      <c r="H82" s="14">
        <v>10</v>
      </c>
      <c r="I82" s="8">
        <v>0</v>
      </c>
      <c r="J82" s="8" t="s">
        <v>1377</v>
      </c>
      <c r="K82" s="8" t="s">
        <v>27</v>
      </c>
      <c r="L82" s="8" t="s">
        <v>1377</v>
      </c>
      <c r="M82" s="15" t="s">
        <v>1377</v>
      </c>
      <c r="N82" s="17"/>
      <c r="O82" s="19"/>
      <c r="P82" s="8"/>
      <c r="R82" t="str">
        <f t="shared" si="2"/>
        <v>INSERT INTO TransformationEngine_Field (FieldName, FieldDescription, SourceFieldName, DetailField, Length, Required, OutputFieldName, AllowedChars) VALUES ('Output UB Box 34b', 'Occurrence Date 4b', 'OCROccurCodes4B',0, 10, 0, '', '0-9')</v>
      </c>
    </row>
    <row r="83" spans="1:18" x14ac:dyDescent="0.35">
      <c r="A83" s="8"/>
      <c r="B83" s="8" t="s">
        <v>1465</v>
      </c>
      <c r="C83" s="8" t="s">
        <v>242</v>
      </c>
      <c r="D83" s="14" t="s">
        <v>243</v>
      </c>
      <c r="E83" s="8" t="s">
        <v>1377</v>
      </c>
      <c r="F83" s="8" t="s">
        <v>1377</v>
      </c>
      <c r="G83" s="8">
        <v>0</v>
      </c>
      <c r="H83" s="14">
        <v>2</v>
      </c>
      <c r="I83" s="8">
        <v>0</v>
      </c>
      <c r="J83" s="8" t="s">
        <v>1377</v>
      </c>
      <c r="K83" s="8" t="s">
        <v>71</v>
      </c>
      <c r="L83" s="8" t="s">
        <v>1377</v>
      </c>
      <c r="M83" s="15" t="s">
        <v>1377</v>
      </c>
      <c r="N83" s="17" t="s">
        <v>1466</v>
      </c>
      <c r="O83" s="19"/>
      <c r="P83" s="8"/>
      <c r="R83" t="str">
        <f t="shared" si="2"/>
        <v>INSERT INTO TransformationEngine_Field (FieldName, FieldDescription, SourceFieldName, DetailField, Length, Required, OutputFieldName, AllowedChars) VALUES ('Output UB Box 35a', 'Occurrence Span Code 1a', 'OCROccurSpanCdsA',0, 2, 0, 'CLM-HOSP-SPAN-CODE', 'A-Z,0-9')</v>
      </c>
    </row>
    <row r="84" spans="1:18" x14ac:dyDescent="0.35">
      <c r="A84" s="8"/>
      <c r="B84" s="8" t="s">
        <v>1465</v>
      </c>
      <c r="C84" s="8" t="s">
        <v>244</v>
      </c>
      <c r="D84" s="14" t="s">
        <v>245</v>
      </c>
      <c r="E84" s="8" t="s">
        <v>1377</v>
      </c>
      <c r="F84" s="8" t="s">
        <v>1377</v>
      </c>
      <c r="G84" s="8">
        <v>0</v>
      </c>
      <c r="H84" s="14">
        <v>10</v>
      </c>
      <c r="I84" s="8">
        <v>0</v>
      </c>
      <c r="J84" s="8" t="s">
        <v>1377</v>
      </c>
      <c r="K84" s="8" t="s">
        <v>27</v>
      </c>
      <c r="L84" s="8" t="s">
        <v>1377</v>
      </c>
      <c r="M84" s="15" t="s">
        <v>1377</v>
      </c>
      <c r="N84" s="17" t="s">
        <v>1467</v>
      </c>
      <c r="O84" s="19" t="s">
        <v>1403</v>
      </c>
      <c r="P84" s="8"/>
      <c r="R84" t="str">
        <f t="shared" si="2"/>
        <v>INSERT INTO TransformationEngine_Field (FieldName, FieldDescription, SourceFieldName, DetailField, Length, Required, OutputFieldName, AllowedChars) VALUES ('Output UB Box 35a', 'Occurrence Span From 1a', 'OCROccurDateFromA',0, 10, 0, 'CLM-HOSP-SPAN-FROM-CCYYMMDD', '0-9')</v>
      </c>
    </row>
    <row r="85" spans="1:18" x14ac:dyDescent="0.35">
      <c r="A85" s="8"/>
      <c r="B85" s="8" t="s">
        <v>1465</v>
      </c>
      <c r="C85" s="8" t="s">
        <v>246</v>
      </c>
      <c r="D85" s="14" t="s">
        <v>247</v>
      </c>
      <c r="E85" s="8" t="s">
        <v>1377</v>
      </c>
      <c r="F85" s="8" t="s">
        <v>1377</v>
      </c>
      <c r="G85" s="8">
        <v>0</v>
      </c>
      <c r="H85" s="14">
        <v>10</v>
      </c>
      <c r="I85" s="8">
        <v>0</v>
      </c>
      <c r="J85" s="8" t="s">
        <v>1377</v>
      </c>
      <c r="K85" s="8" t="s">
        <v>27</v>
      </c>
      <c r="L85" s="8" t="s">
        <v>1377</v>
      </c>
      <c r="M85" s="15" t="s">
        <v>1377</v>
      </c>
      <c r="N85" s="17" t="s">
        <v>1468</v>
      </c>
      <c r="O85" s="19" t="s">
        <v>1403</v>
      </c>
      <c r="P85" s="8"/>
      <c r="R85" t="str">
        <f t="shared" si="2"/>
        <v>INSERT INTO TransformationEngine_Field (FieldName, FieldDescription, SourceFieldName, DetailField, Length, Required, OutputFieldName, AllowedChars) VALUES ('Output UB Box 35a', 'Occurrence Span Through 1a', 'OCROccurDateToA',0, 10, 0, 'CLM-HOSP-SPAN-THRU-CCYYMMDD', '0-9')</v>
      </c>
    </row>
    <row r="86" spans="1:18" x14ac:dyDescent="0.35">
      <c r="A86" s="8"/>
      <c r="B86" s="8" t="s">
        <v>1469</v>
      </c>
      <c r="C86" s="8" t="s">
        <v>249</v>
      </c>
      <c r="D86" s="14" t="s">
        <v>250</v>
      </c>
      <c r="E86" s="8" t="s">
        <v>1377</v>
      </c>
      <c r="F86" s="8" t="s">
        <v>1377</v>
      </c>
      <c r="G86" s="8">
        <v>0</v>
      </c>
      <c r="H86" s="14">
        <v>2</v>
      </c>
      <c r="I86" s="8">
        <v>0</v>
      </c>
      <c r="J86" s="8" t="s">
        <v>1377</v>
      </c>
      <c r="K86" s="8" t="s">
        <v>71</v>
      </c>
      <c r="L86" s="8" t="s">
        <v>1377</v>
      </c>
      <c r="M86" s="15" t="s">
        <v>1377</v>
      </c>
      <c r="N86" s="17" t="s">
        <v>1466</v>
      </c>
      <c r="O86" s="19"/>
      <c r="P86" s="8"/>
      <c r="R86" t="str">
        <f t="shared" si="2"/>
        <v>INSERT INTO TransformationEngine_Field (FieldName, FieldDescription, SourceFieldName, DetailField, Length, Required, OutputFieldName, AllowedChars) VALUES ('Output UB Box 35b', 'Occurrence Span Code 1b', 'OCROccurSpanCdsB',0, 2, 0, 'CLM-HOSP-SPAN-CODE', 'A-Z,0-9')</v>
      </c>
    </row>
    <row r="87" spans="1:18" x14ac:dyDescent="0.35">
      <c r="A87" s="8"/>
      <c r="B87" s="8" t="s">
        <v>1469</v>
      </c>
      <c r="C87" s="8" t="s">
        <v>251</v>
      </c>
      <c r="D87" s="14" t="s">
        <v>252</v>
      </c>
      <c r="E87" s="8" t="s">
        <v>1377</v>
      </c>
      <c r="F87" s="8" t="s">
        <v>1377</v>
      </c>
      <c r="G87" s="8">
        <v>0</v>
      </c>
      <c r="H87" s="14">
        <v>10</v>
      </c>
      <c r="I87" s="8">
        <v>0</v>
      </c>
      <c r="J87" s="8" t="s">
        <v>1377</v>
      </c>
      <c r="K87" s="8" t="s">
        <v>27</v>
      </c>
      <c r="L87" s="8" t="s">
        <v>1377</v>
      </c>
      <c r="M87" s="15" t="s">
        <v>1377</v>
      </c>
      <c r="N87" s="17" t="s">
        <v>1467</v>
      </c>
      <c r="O87" s="19" t="s">
        <v>1403</v>
      </c>
      <c r="P87" s="8"/>
      <c r="R87" t="str">
        <f t="shared" si="2"/>
        <v>INSERT INTO TransformationEngine_Field (FieldName, FieldDescription, SourceFieldName, DetailField, Length, Required, OutputFieldName, AllowedChars) VALUES ('Output UB Box 35b', 'Occurrence Span From 1b', 'OCROccurDateFromB',0, 10, 0, 'CLM-HOSP-SPAN-FROM-CCYYMMDD', '0-9')</v>
      </c>
    </row>
    <row r="88" spans="1:18" x14ac:dyDescent="0.35">
      <c r="A88" s="8"/>
      <c r="B88" s="8" t="s">
        <v>1469</v>
      </c>
      <c r="C88" s="8" t="s">
        <v>253</v>
      </c>
      <c r="D88" s="14" t="s">
        <v>254</v>
      </c>
      <c r="E88" s="8" t="s">
        <v>1377</v>
      </c>
      <c r="F88" s="8" t="s">
        <v>1377</v>
      </c>
      <c r="G88" s="8">
        <v>0</v>
      </c>
      <c r="H88" s="14">
        <v>10</v>
      </c>
      <c r="I88" s="8">
        <v>0</v>
      </c>
      <c r="J88" s="8" t="s">
        <v>1377</v>
      </c>
      <c r="K88" s="8" t="s">
        <v>27</v>
      </c>
      <c r="L88" s="8" t="s">
        <v>1377</v>
      </c>
      <c r="M88" s="15" t="s">
        <v>1377</v>
      </c>
      <c r="N88" s="17" t="s">
        <v>1468</v>
      </c>
      <c r="O88" s="19" t="s">
        <v>1403</v>
      </c>
      <c r="P88" s="8"/>
      <c r="R88" t="str">
        <f t="shared" si="2"/>
        <v>INSERT INTO TransformationEngine_Field (FieldName, FieldDescription, SourceFieldName, DetailField, Length, Required, OutputFieldName, AllowedChars) VALUES ('Output UB Box 35b', 'Occurrence Span Through 1b', 'OCROccurDateToB',0, 10, 0, 'CLM-HOSP-SPAN-THRU-CCYYMMDD', '0-9')</v>
      </c>
    </row>
    <row r="89" spans="1:18" x14ac:dyDescent="0.35">
      <c r="A89" s="8"/>
      <c r="B89" s="8" t="s">
        <v>1470</v>
      </c>
      <c r="C89" s="8" t="s">
        <v>256</v>
      </c>
      <c r="D89" s="14" t="s">
        <v>1471</v>
      </c>
      <c r="E89" s="8" t="s">
        <v>1377</v>
      </c>
      <c r="F89" s="8" t="s">
        <v>1377</v>
      </c>
      <c r="G89" s="8">
        <v>0</v>
      </c>
      <c r="H89" s="14">
        <v>2</v>
      </c>
      <c r="I89" s="8">
        <v>0</v>
      </c>
      <c r="J89" s="8" t="s">
        <v>1377</v>
      </c>
      <c r="K89" s="8" t="s">
        <v>71</v>
      </c>
      <c r="L89" s="8" t="s">
        <v>1377</v>
      </c>
      <c r="M89" s="15" t="s">
        <v>1377</v>
      </c>
      <c r="N89" s="17"/>
      <c r="O89" s="19"/>
      <c r="P89" s="8"/>
      <c r="R89" t="str">
        <f t="shared" si="2"/>
        <v>INSERT INTO TransformationEngine_Field (FieldName, FieldDescription, SourceFieldName, DetailField, Length, Required, OutputFieldName, AllowedChars) VALUES ('Output UB Box 36a', 'Occurrence Span Code 2a', 'OCROccurSpanCodes2A',0, 2, 0, '', 'A-Z,0-9')</v>
      </c>
    </row>
    <row r="90" spans="1:18" x14ac:dyDescent="0.35">
      <c r="A90" s="8"/>
      <c r="B90" s="8" t="s">
        <v>1470</v>
      </c>
      <c r="C90" s="8" t="s">
        <v>258</v>
      </c>
      <c r="D90" s="14" t="s">
        <v>259</v>
      </c>
      <c r="E90" s="8" t="s">
        <v>1377</v>
      </c>
      <c r="F90" s="8" t="s">
        <v>1377</v>
      </c>
      <c r="G90" s="8">
        <v>0</v>
      </c>
      <c r="H90" s="14">
        <v>10</v>
      </c>
      <c r="I90" s="8">
        <v>0</v>
      </c>
      <c r="J90" s="8" t="s">
        <v>1377</v>
      </c>
      <c r="K90" s="8" t="s">
        <v>27</v>
      </c>
      <c r="L90" s="8" t="s">
        <v>1377</v>
      </c>
      <c r="M90" s="15" t="s">
        <v>1377</v>
      </c>
      <c r="N90" s="17"/>
      <c r="O90" s="19" t="s">
        <v>1403</v>
      </c>
      <c r="P90" s="8"/>
      <c r="R90" t="str">
        <f t="shared" si="2"/>
        <v>INSERT INTO TransformationEngine_Field (FieldName, FieldDescription, SourceFieldName, DetailField, Length, Required, OutputFieldName, AllowedChars) VALUES ('Output UB Box 36a', 'Occurrence Span From 2a', 'OCROccurDateFrom2A',0, 10, 0, '', '0-9')</v>
      </c>
    </row>
    <row r="91" spans="1:18" x14ac:dyDescent="0.35">
      <c r="A91" s="8"/>
      <c r="B91" s="8" t="s">
        <v>1470</v>
      </c>
      <c r="C91" s="8" t="s">
        <v>260</v>
      </c>
      <c r="D91" s="14" t="s">
        <v>261</v>
      </c>
      <c r="E91" s="8" t="s">
        <v>1377</v>
      </c>
      <c r="F91" s="8" t="s">
        <v>1377</v>
      </c>
      <c r="G91" s="8">
        <v>0</v>
      </c>
      <c r="H91" s="14">
        <v>10</v>
      </c>
      <c r="I91" s="8">
        <v>0</v>
      </c>
      <c r="J91" s="8" t="s">
        <v>1377</v>
      </c>
      <c r="K91" s="8" t="s">
        <v>27</v>
      </c>
      <c r="L91" s="8" t="s">
        <v>1377</v>
      </c>
      <c r="M91" s="15" t="s">
        <v>1377</v>
      </c>
      <c r="N91" s="17"/>
      <c r="O91" s="19" t="s">
        <v>1403</v>
      </c>
      <c r="P91" s="8"/>
      <c r="R91" t="str">
        <f t="shared" si="2"/>
        <v>INSERT INTO TransformationEngine_Field (FieldName, FieldDescription, SourceFieldName, DetailField, Length, Required, OutputFieldName, AllowedChars) VALUES ('Output UB Box 36a', 'Occurrence Span Through 2a', 'OCROccurDateTo2A',0, 10, 0, '', '0-9')</v>
      </c>
    </row>
    <row r="92" spans="1:18" x14ac:dyDescent="0.35">
      <c r="A92" s="8"/>
      <c r="B92" s="8" t="s">
        <v>1472</v>
      </c>
      <c r="C92" s="8" t="s">
        <v>263</v>
      </c>
      <c r="D92" s="14" t="s">
        <v>1473</v>
      </c>
      <c r="E92" s="8" t="s">
        <v>1377</v>
      </c>
      <c r="F92" s="8" t="s">
        <v>1377</v>
      </c>
      <c r="G92" s="8">
        <v>0</v>
      </c>
      <c r="H92" s="14">
        <v>2</v>
      </c>
      <c r="I92" s="8">
        <v>0</v>
      </c>
      <c r="J92" s="8" t="s">
        <v>1377</v>
      </c>
      <c r="K92" s="8" t="s">
        <v>71</v>
      </c>
      <c r="L92" s="8" t="s">
        <v>1377</v>
      </c>
      <c r="M92" s="15" t="s">
        <v>1377</v>
      </c>
      <c r="N92" s="17"/>
      <c r="O92" s="19"/>
      <c r="P92" s="8"/>
      <c r="R92" t="str">
        <f t="shared" si="2"/>
        <v>INSERT INTO TransformationEngine_Field (FieldName, FieldDescription, SourceFieldName, DetailField, Length, Required, OutputFieldName, AllowedChars) VALUES ('Output UB Box 36b', 'Occurrence Span Code 2b', 'OCROccurSpanCodes2B',0, 2, 0, '', 'A-Z,0-9')</v>
      </c>
    </row>
    <row r="93" spans="1:18" x14ac:dyDescent="0.35">
      <c r="A93" s="8"/>
      <c r="B93" s="8" t="s">
        <v>1472</v>
      </c>
      <c r="C93" s="8" t="s">
        <v>265</v>
      </c>
      <c r="D93" s="14" t="s">
        <v>266</v>
      </c>
      <c r="E93" s="8" t="s">
        <v>1377</v>
      </c>
      <c r="F93" s="8" t="s">
        <v>1377</v>
      </c>
      <c r="G93" s="8">
        <v>0</v>
      </c>
      <c r="H93" s="14">
        <v>10</v>
      </c>
      <c r="I93" s="8">
        <v>0</v>
      </c>
      <c r="J93" s="8" t="s">
        <v>1377</v>
      </c>
      <c r="K93" s="8" t="s">
        <v>27</v>
      </c>
      <c r="L93" s="8" t="s">
        <v>1377</v>
      </c>
      <c r="M93" s="15" t="s">
        <v>1377</v>
      </c>
      <c r="N93" s="17"/>
      <c r="O93" s="19" t="s">
        <v>1403</v>
      </c>
      <c r="P93" s="8"/>
      <c r="R93" t="str">
        <f t="shared" si="2"/>
        <v>INSERT INTO TransformationEngine_Field (FieldName, FieldDescription, SourceFieldName, DetailField, Length, Required, OutputFieldName, AllowedChars) VALUES ('Output UB Box 36b', 'Occurrence Span From 2b', 'OCROccurDateFrom2B',0, 10, 0, '', '0-9')</v>
      </c>
    </row>
    <row r="94" spans="1:18" x14ac:dyDescent="0.35">
      <c r="A94" s="8"/>
      <c r="B94" s="8" t="s">
        <v>1472</v>
      </c>
      <c r="C94" s="8" t="s">
        <v>267</v>
      </c>
      <c r="D94" s="14" t="s">
        <v>268</v>
      </c>
      <c r="E94" s="8" t="s">
        <v>1377</v>
      </c>
      <c r="F94" s="8" t="s">
        <v>1377</v>
      </c>
      <c r="G94" s="8">
        <v>0</v>
      </c>
      <c r="H94" s="14">
        <v>10</v>
      </c>
      <c r="I94" s="8">
        <v>0</v>
      </c>
      <c r="J94" s="8" t="s">
        <v>1377</v>
      </c>
      <c r="K94" s="8" t="s">
        <v>27</v>
      </c>
      <c r="L94" s="8" t="s">
        <v>1377</v>
      </c>
      <c r="M94" s="15" t="s">
        <v>1377</v>
      </c>
      <c r="N94" s="17"/>
      <c r="O94" s="19" t="s">
        <v>1403</v>
      </c>
      <c r="P94" s="8"/>
      <c r="R94" t="str">
        <f t="shared" si="2"/>
        <v>INSERT INTO TransformationEngine_Field (FieldName, FieldDescription, SourceFieldName, DetailField, Length, Required, OutputFieldName, AllowedChars) VALUES ('Output UB Box 36b', 'Occurrence Span Through 2b', 'OCROccurDateTo2B',0, 10, 0, '', '0-9')</v>
      </c>
    </row>
    <row r="95" spans="1:18" x14ac:dyDescent="0.35">
      <c r="A95" s="8"/>
      <c r="B95" s="8" t="s">
        <v>1474</v>
      </c>
      <c r="C95" s="8" t="s">
        <v>270</v>
      </c>
      <c r="D95" s="14" t="s">
        <v>271</v>
      </c>
      <c r="E95" s="8" t="s">
        <v>1377</v>
      </c>
      <c r="F95" s="8" t="s">
        <v>1377</v>
      </c>
      <c r="G95" s="8">
        <v>0</v>
      </c>
      <c r="H95" s="8">
        <v>20</v>
      </c>
      <c r="I95" s="8">
        <v>0</v>
      </c>
      <c r="J95" s="8" t="s">
        <v>1377</v>
      </c>
      <c r="K95" s="8" t="s">
        <v>1377</v>
      </c>
      <c r="L95" s="8" t="s">
        <v>1377</v>
      </c>
      <c r="M95" s="15" t="s">
        <v>1377</v>
      </c>
      <c r="N95" s="17"/>
      <c r="O95" s="19"/>
      <c r="P95" s="8"/>
      <c r="Q95" t="s">
        <v>1406</v>
      </c>
      <c r="R95" t="str">
        <f t="shared" si="2"/>
        <v>INSERT INTO TransformationEngine_Field (FieldName, FieldDescription, SourceFieldName, DetailField, Length, Required, OutputFieldName, AllowedChars) VALUES ('Output UB Box 37a', '?', 'OCRInternCtlNbrsA',0, 20, 0, '', 'NULL')</v>
      </c>
    </row>
    <row r="96" spans="1:18" x14ac:dyDescent="0.35">
      <c r="A96" s="8"/>
      <c r="B96" s="8" t="s">
        <v>1475</v>
      </c>
      <c r="C96" s="8" t="s">
        <v>270</v>
      </c>
      <c r="D96" s="8" t="s">
        <v>273</v>
      </c>
      <c r="E96" s="8" t="s">
        <v>1377</v>
      </c>
      <c r="F96" s="8" t="s">
        <v>1377</v>
      </c>
      <c r="G96" s="8">
        <v>0</v>
      </c>
      <c r="H96" s="8">
        <v>20</v>
      </c>
      <c r="I96" s="8">
        <v>0</v>
      </c>
      <c r="J96" s="8" t="s">
        <v>1377</v>
      </c>
      <c r="K96" s="8" t="s">
        <v>1377</v>
      </c>
      <c r="L96" s="8" t="s">
        <v>1377</v>
      </c>
      <c r="M96" s="15" t="s">
        <v>1377</v>
      </c>
      <c r="N96" s="17"/>
      <c r="O96" s="19"/>
      <c r="P96" s="8"/>
      <c r="Q96" t="s">
        <v>1406</v>
      </c>
      <c r="R96" t="str">
        <f t="shared" si="2"/>
        <v>INSERT INTO TransformationEngine_Field (FieldName, FieldDescription, SourceFieldName, DetailField, Length, Required, OutputFieldName, AllowedChars) VALUES ('Output UB Box 37b', '?', 'OCRInternCtlNbrsB',0, 20, 0, '', 'NULL')</v>
      </c>
    </row>
    <row r="97" spans="1:18" x14ac:dyDescent="0.35">
      <c r="A97" s="8"/>
      <c r="B97" s="8" t="s">
        <v>1476</v>
      </c>
      <c r="C97" s="8" t="s">
        <v>275</v>
      </c>
      <c r="D97" s="14" t="s">
        <v>276</v>
      </c>
      <c r="E97" s="8" t="s">
        <v>1377</v>
      </c>
      <c r="F97" s="8" t="s">
        <v>1377</v>
      </c>
      <c r="G97" s="8">
        <v>0</v>
      </c>
      <c r="H97" s="14">
        <v>60</v>
      </c>
      <c r="I97" s="8">
        <v>0</v>
      </c>
      <c r="J97" s="8" t="s">
        <v>1377</v>
      </c>
      <c r="K97" s="8" t="s">
        <v>1377</v>
      </c>
      <c r="L97" s="8" t="s">
        <v>1377</v>
      </c>
      <c r="M97" s="15" t="s">
        <v>1377</v>
      </c>
      <c r="N97" s="17"/>
      <c r="O97" s="19"/>
      <c r="P97" s="8"/>
      <c r="R97" t="str">
        <f t="shared" si="2"/>
        <v>INSERT INTO TransformationEngine_Field (FieldName, FieldDescription, SourceFieldName, DetailField, Length, Required, OutputFieldName, AllowedChars) VALUES ('Output UB Box 38', 'Responsible Party - Line 1', 'OCRRespPartyInfo_1',0, 60, 0, '', 'NULL')</v>
      </c>
    </row>
    <row r="98" spans="1:18" x14ac:dyDescent="0.35">
      <c r="A98" s="8"/>
      <c r="B98" s="8" t="s">
        <v>1476</v>
      </c>
      <c r="C98" s="8" t="s">
        <v>278</v>
      </c>
      <c r="D98" s="14" t="s">
        <v>279</v>
      </c>
      <c r="E98" s="8" t="s">
        <v>1377</v>
      </c>
      <c r="F98" s="8" t="s">
        <v>1377</v>
      </c>
      <c r="G98" s="8">
        <v>0</v>
      </c>
      <c r="H98" s="14">
        <v>60</v>
      </c>
      <c r="I98" s="8">
        <v>0</v>
      </c>
      <c r="J98" s="8" t="s">
        <v>1377</v>
      </c>
      <c r="K98" s="8" t="s">
        <v>1377</v>
      </c>
      <c r="L98" s="8" t="s">
        <v>1377</v>
      </c>
      <c r="M98" s="15" t="s">
        <v>1377</v>
      </c>
      <c r="N98" s="17"/>
      <c r="O98" s="19"/>
      <c r="P98" s="8"/>
      <c r="R98" t="str">
        <f t="shared" si="2"/>
        <v>INSERT INTO TransformationEngine_Field (FieldName, FieldDescription, SourceFieldName, DetailField, Length, Required, OutputFieldName, AllowedChars) VALUES ('Output UB Box 38', 'Responsible Party - Line 2', 'OCRRespPartyInfo_2',0, 60, 0, '', 'NULL')</v>
      </c>
    </row>
    <row r="99" spans="1:18" x14ac:dyDescent="0.35">
      <c r="A99" s="8"/>
      <c r="B99" s="8" t="s">
        <v>1476</v>
      </c>
      <c r="C99" s="8" t="s">
        <v>280</v>
      </c>
      <c r="D99" s="14" t="s">
        <v>281</v>
      </c>
      <c r="E99" s="8" t="s">
        <v>1377</v>
      </c>
      <c r="F99" s="8" t="s">
        <v>1377</v>
      </c>
      <c r="G99" s="8">
        <v>0</v>
      </c>
      <c r="H99" s="14">
        <v>60</v>
      </c>
      <c r="I99" s="8">
        <v>0</v>
      </c>
      <c r="J99" s="8" t="s">
        <v>1377</v>
      </c>
      <c r="K99" s="8" t="s">
        <v>1377</v>
      </c>
      <c r="L99" s="8" t="s">
        <v>1377</v>
      </c>
      <c r="M99" s="15" t="s">
        <v>1377</v>
      </c>
      <c r="N99" s="17"/>
      <c r="O99" s="19"/>
      <c r="P99" s="8"/>
      <c r="R99" t="str">
        <f t="shared" si="2"/>
        <v>INSERT INTO TransformationEngine_Field (FieldName, FieldDescription, SourceFieldName, DetailField, Length, Required, OutputFieldName, AllowedChars) VALUES ('Output UB Box 38', 'Responsible Party - Line 3', 'OCRRespPartyInfo_3',0, 60, 0, '', 'NULL')</v>
      </c>
    </row>
    <row r="100" spans="1:18" x14ac:dyDescent="0.35">
      <c r="A100" s="8"/>
      <c r="B100" s="8" t="s">
        <v>1476</v>
      </c>
      <c r="C100" s="8" t="s">
        <v>282</v>
      </c>
      <c r="D100" s="14" t="s">
        <v>283</v>
      </c>
      <c r="E100" s="8" t="s">
        <v>1377</v>
      </c>
      <c r="F100" s="8" t="s">
        <v>1377</v>
      </c>
      <c r="G100" s="8">
        <v>0</v>
      </c>
      <c r="H100" s="14">
        <v>60</v>
      </c>
      <c r="I100" s="8">
        <v>0</v>
      </c>
      <c r="J100" s="8" t="s">
        <v>1377</v>
      </c>
      <c r="K100" s="8" t="s">
        <v>1377</v>
      </c>
      <c r="L100" s="8" t="s">
        <v>1377</v>
      </c>
      <c r="M100" s="15" t="s">
        <v>1377</v>
      </c>
      <c r="N100" s="17"/>
      <c r="O100" s="19"/>
      <c r="P100" s="8"/>
      <c r="R100" t="str">
        <f t="shared" si="2"/>
        <v>INSERT INTO TransformationEngine_Field (FieldName, FieldDescription, SourceFieldName, DetailField, Length, Required, OutputFieldName, AllowedChars) VALUES ('Output UB Box 38', 'Responsible Party - Line 4', 'OCRRespPartyInfo_4',0, 60, 0, '', 'NULL')</v>
      </c>
    </row>
    <row r="101" spans="1:18" x14ac:dyDescent="0.35">
      <c r="A101" s="8"/>
      <c r="B101" s="8" t="s">
        <v>1476</v>
      </c>
      <c r="C101" s="8" t="s">
        <v>284</v>
      </c>
      <c r="D101" s="11" t="s">
        <v>285</v>
      </c>
      <c r="E101" s="9" t="s">
        <v>1377</v>
      </c>
      <c r="F101" s="9" t="s">
        <v>1377</v>
      </c>
      <c r="G101" s="9">
        <v>0</v>
      </c>
      <c r="H101" s="9">
        <v>60</v>
      </c>
      <c r="I101" s="9">
        <v>0</v>
      </c>
      <c r="J101" s="9" t="s">
        <v>1377</v>
      </c>
      <c r="K101" s="9" t="s">
        <v>56</v>
      </c>
      <c r="L101" s="9" t="s">
        <v>1377</v>
      </c>
      <c r="M101" s="18" t="s">
        <v>1377</v>
      </c>
      <c r="N101" s="17" t="s">
        <v>198</v>
      </c>
      <c r="O101" s="16" t="s">
        <v>1377</v>
      </c>
      <c r="P101" s="10" t="s">
        <v>1377</v>
      </c>
      <c r="Q101" s="4" t="s">
        <v>1477</v>
      </c>
      <c r="R101" t="str">
        <f t="shared" si="2"/>
        <v>INSERT INTO TransformationEngine_Field (FieldName, FieldDescription, SourceFieldName, DetailField, Length, Required, OutputFieldName, AllowedChars) VALUES ('Output UB Box 38', 'Responsible Party - Name', 'ResponsibleParty_Name',0, 60, 0, '???', 'A-Z, ,',-,.,')</v>
      </c>
    </row>
    <row r="102" spans="1:18" x14ac:dyDescent="0.35">
      <c r="A102" s="8"/>
      <c r="B102" s="8" t="s">
        <v>1476</v>
      </c>
      <c r="C102" s="8" t="s">
        <v>286</v>
      </c>
      <c r="D102" s="11" t="s">
        <v>287</v>
      </c>
      <c r="E102" s="9" t="s">
        <v>1377</v>
      </c>
      <c r="F102" s="9" t="s">
        <v>1377</v>
      </c>
      <c r="G102" s="9">
        <v>0</v>
      </c>
      <c r="H102" s="9">
        <v>30</v>
      </c>
      <c r="I102" s="9">
        <v>0</v>
      </c>
      <c r="J102" s="9" t="s">
        <v>1377</v>
      </c>
      <c r="K102" s="9" t="s">
        <v>31</v>
      </c>
      <c r="L102" s="9" t="s">
        <v>1377</v>
      </c>
      <c r="M102" s="18" t="s">
        <v>1377</v>
      </c>
      <c r="N102" s="17" t="s">
        <v>1478</v>
      </c>
      <c r="O102" s="16" t="s">
        <v>1377</v>
      </c>
      <c r="P102" s="10" t="s">
        <v>1377</v>
      </c>
      <c r="R102" t="str">
        <f t="shared" si="2"/>
        <v>INSERT INTO TransformationEngine_Field (FieldName, FieldDescription, SourceFieldName, DetailField, Length, Required, OutputFieldName, AllowedChars) VALUES ('Output UB Box 38', 'Responsible Party - Street Address', 'ResponsibleParty_Addr_Street',0, 30, 0, 'CLM- SUBS-ADDR-STREET', '0-9,A-Z, ,-,.,/,',&amp;,#')</v>
      </c>
    </row>
    <row r="103" spans="1:18" x14ac:dyDescent="0.35">
      <c r="A103" s="8"/>
      <c r="B103" s="8" t="s">
        <v>1476</v>
      </c>
      <c r="C103" s="8" t="s">
        <v>288</v>
      </c>
      <c r="D103" s="11" t="s">
        <v>289</v>
      </c>
      <c r="E103" s="9" t="s">
        <v>1377</v>
      </c>
      <c r="F103" s="9" t="s">
        <v>1377</v>
      </c>
      <c r="G103" s="9">
        <v>0</v>
      </c>
      <c r="H103" s="9">
        <v>20</v>
      </c>
      <c r="I103" s="9">
        <v>0</v>
      </c>
      <c r="J103" s="9" t="s">
        <v>1377</v>
      </c>
      <c r="K103" s="9" t="s">
        <v>61</v>
      </c>
      <c r="L103" s="9" t="s">
        <v>1377</v>
      </c>
      <c r="M103" s="18" t="s">
        <v>1377</v>
      </c>
      <c r="N103" s="17" t="s">
        <v>1479</v>
      </c>
      <c r="O103" s="16" t="s">
        <v>1377</v>
      </c>
      <c r="P103" s="10" t="s">
        <v>1377</v>
      </c>
      <c r="R103" t="str">
        <f t="shared" si="2"/>
        <v>INSERT INTO TransformationEngine_Field (FieldName, FieldDescription, SourceFieldName, DetailField, Length, Required, OutputFieldName, AllowedChars) VALUES ('Output UB Box 38', 'Responsible Party - City', 'ResponsibleParty_Addr_City',0, 20, 0, 'CLM- SUBS-ADDR-CITY', ' ,A-Z')</v>
      </c>
    </row>
    <row r="104" spans="1:18" x14ac:dyDescent="0.35">
      <c r="A104" s="8"/>
      <c r="B104" s="8" t="s">
        <v>1476</v>
      </c>
      <c r="C104" s="8" t="s">
        <v>290</v>
      </c>
      <c r="D104" s="11" t="s">
        <v>291</v>
      </c>
      <c r="E104" s="9" t="s">
        <v>1377</v>
      </c>
      <c r="F104" s="9" t="s">
        <v>1377</v>
      </c>
      <c r="G104" s="9">
        <v>0</v>
      </c>
      <c r="H104" s="9">
        <v>2</v>
      </c>
      <c r="I104" s="9">
        <v>0</v>
      </c>
      <c r="J104" s="9" t="s">
        <v>1377</v>
      </c>
      <c r="K104" s="9" t="s">
        <v>61</v>
      </c>
      <c r="L104" s="9" t="s">
        <v>1377</v>
      </c>
      <c r="M104" s="18" t="s">
        <v>1377</v>
      </c>
      <c r="N104" s="17" t="s">
        <v>1480</v>
      </c>
      <c r="O104" s="16" t="s">
        <v>1377</v>
      </c>
      <c r="P104" s="10" t="s">
        <v>1377</v>
      </c>
      <c r="R104" t="str">
        <f t="shared" si="2"/>
        <v>INSERT INTO TransformationEngine_Field (FieldName, FieldDescription, SourceFieldName, DetailField, Length, Required, OutputFieldName, AllowedChars) VALUES ('Output UB Box 38', 'Responsible Party - State', 'ResponsibleParty_Addr_State',0, 2, 0, 'CLM- SUBS-ADDR-STATE', ' ,A-Z')</v>
      </c>
    </row>
    <row r="105" spans="1:18" x14ac:dyDescent="0.35">
      <c r="A105" s="8"/>
      <c r="B105" s="8" t="s">
        <v>1476</v>
      </c>
      <c r="C105" s="8" t="s">
        <v>292</v>
      </c>
      <c r="D105" s="11" t="s">
        <v>293</v>
      </c>
      <c r="E105" s="9" t="s">
        <v>1377</v>
      </c>
      <c r="F105" s="9" t="s">
        <v>1377</v>
      </c>
      <c r="G105" s="9">
        <v>0</v>
      </c>
      <c r="H105" s="9">
        <v>10</v>
      </c>
      <c r="I105" s="9">
        <v>0</v>
      </c>
      <c r="J105" s="9" t="s">
        <v>1377</v>
      </c>
      <c r="K105" s="12" t="s">
        <v>27</v>
      </c>
      <c r="L105" s="9" t="s">
        <v>1377</v>
      </c>
      <c r="M105" s="18" t="s">
        <v>1377</v>
      </c>
      <c r="N105" s="17" t="s">
        <v>1481</v>
      </c>
      <c r="O105" s="16" t="s">
        <v>1377</v>
      </c>
      <c r="P105" s="10" t="s">
        <v>1377</v>
      </c>
      <c r="R105" t="str">
        <f t="shared" si="2"/>
        <v>INSERT INTO TransformationEngine_Field (FieldName, FieldDescription, SourceFieldName, DetailField, Length, Required, OutputFieldName, AllowedChars) VALUES ('Output UB Box 38', 'Responsible Party - Zip', 'ResponsibleParty_Addr_Zip',0, 10, 0, 'CLM- SUBS-ADDR-ZIP', '0-9')</v>
      </c>
    </row>
    <row r="106" spans="1:18" x14ac:dyDescent="0.35">
      <c r="A106" s="8"/>
      <c r="B106" s="8" t="s">
        <v>1476</v>
      </c>
      <c r="C106" s="8" t="s">
        <v>294</v>
      </c>
      <c r="D106" s="11" t="s">
        <v>295</v>
      </c>
      <c r="E106" s="9" t="s">
        <v>1377</v>
      </c>
      <c r="F106" s="9" t="s">
        <v>1377</v>
      </c>
      <c r="G106" s="9">
        <v>0</v>
      </c>
      <c r="H106" s="9">
        <v>4</v>
      </c>
      <c r="I106" s="9">
        <v>0</v>
      </c>
      <c r="J106" s="9" t="s">
        <v>1377</v>
      </c>
      <c r="K106" s="12" t="s">
        <v>27</v>
      </c>
      <c r="L106" s="9" t="s">
        <v>1377</v>
      </c>
      <c r="M106" s="18" t="s">
        <v>1377</v>
      </c>
      <c r="N106" s="17"/>
      <c r="O106" s="16" t="s">
        <v>1377</v>
      </c>
      <c r="P106" s="10" t="s">
        <v>1377</v>
      </c>
      <c r="R106" t="str">
        <f t="shared" si="2"/>
        <v>INSERT INTO TransformationEngine_Field (FieldName, FieldDescription, SourceFieldName, DetailField, Length, Required, OutputFieldName, AllowedChars) VALUES ('Output UB Box 38', 'Responsible Party - Zip Plus', 'ResponsibleParty_Addr_ZipPLus',0, 4, 0, '', '0-9')</v>
      </c>
    </row>
    <row r="107" spans="1:18" x14ac:dyDescent="0.35">
      <c r="A107" s="8"/>
      <c r="B107" s="8" t="s">
        <v>1482</v>
      </c>
      <c r="C107" s="8" t="s">
        <v>297</v>
      </c>
      <c r="D107" s="8" t="s">
        <v>298</v>
      </c>
      <c r="E107" s="8" t="s">
        <v>1377</v>
      </c>
      <c r="F107" s="8" t="s">
        <v>1377</v>
      </c>
      <c r="G107" s="8">
        <v>0</v>
      </c>
      <c r="H107" s="8">
        <v>2</v>
      </c>
      <c r="I107" s="8">
        <v>0</v>
      </c>
      <c r="J107" s="8" t="s">
        <v>1377</v>
      </c>
      <c r="K107" s="8" t="s">
        <v>71</v>
      </c>
      <c r="L107" s="8" t="s">
        <v>1377</v>
      </c>
      <c r="M107" s="15" t="s">
        <v>1377</v>
      </c>
      <c r="N107" s="17" t="s">
        <v>1483</v>
      </c>
      <c r="O107" s="19"/>
      <c r="P107" s="8"/>
      <c r="R107" t="str">
        <f t="shared" si="2"/>
        <v>INSERT INTO TransformationEngine_Field (FieldName, FieldDescription, SourceFieldName, DetailField, Length, Required, OutputFieldName, AllowedChars) VALUES ('Output UB Box 39a', 'Value Codes - Code 1a', 'OCRValueCodes1A',0, 2, 0, 'CLM-HOSP-VALUE-CODES', 'A-Z,0-9')</v>
      </c>
    </row>
    <row r="108" spans="1:18" x14ac:dyDescent="0.35">
      <c r="A108" s="8"/>
      <c r="B108" s="8" t="s">
        <v>1482</v>
      </c>
      <c r="C108" s="8" t="s">
        <v>299</v>
      </c>
      <c r="D108" s="8" t="s">
        <v>300</v>
      </c>
      <c r="E108" s="8" t="s">
        <v>1377</v>
      </c>
      <c r="F108" s="8" t="s">
        <v>1377</v>
      </c>
      <c r="G108" s="8">
        <v>0</v>
      </c>
      <c r="H108" s="8">
        <v>9</v>
      </c>
      <c r="I108" s="8">
        <v>0</v>
      </c>
      <c r="J108" s="8" t="s">
        <v>1377</v>
      </c>
      <c r="K108" s="8" t="s">
        <v>27</v>
      </c>
      <c r="L108" s="8" t="s">
        <v>1377</v>
      </c>
      <c r="M108" s="15" t="s">
        <v>1377</v>
      </c>
      <c r="N108" s="17" t="s">
        <v>1484</v>
      </c>
      <c r="O108" s="19"/>
      <c r="P108" s="8"/>
      <c r="R108" t="str">
        <f t="shared" si="2"/>
        <v>INSERT INTO TransformationEngine_Field (FieldName, FieldDescription, SourceFieldName, DetailField, Length, Required, OutputFieldName, AllowedChars) VALUES ('Output UB Box 39a', 'Value Codes - Amount 1a', 'OCRValueAmts1A',0, 9, 0, 'CLM-HOSP-VALUE-AMOUNT', '0-9')</v>
      </c>
    </row>
    <row r="109" spans="1:18" x14ac:dyDescent="0.35">
      <c r="A109" s="8"/>
      <c r="B109" s="8" t="s">
        <v>1485</v>
      </c>
      <c r="C109" s="8" t="s">
        <v>302</v>
      </c>
      <c r="D109" s="8" t="s">
        <v>303</v>
      </c>
      <c r="E109" s="8" t="s">
        <v>1377</v>
      </c>
      <c r="F109" s="8" t="s">
        <v>1377</v>
      </c>
      <c r="G109" s="8">
        <v>0</v>
      </c>
      <c r="H109" s="8">
        <v>2</v>
      </c>
      <c r="I109" s="8">
        <v>0</v>
      </c>
      <c r="J109" s="8" t="s">
        <v>1377</v>
      </c>
      <c r="K109" s="8" t="s">
        <v>71</v>
      </c>
      <c r="L109" s="8" t="s">
        <v>1377</v>
      </c>
      <c r="M109" s="15" t="s">
        <v>1377</v>
      </c>
      <c r="N109" s="17" t="s">
        <v>1483</v>
      </c>
      <c r="O109" s="19"/>
      <c r="P109" s="8"/>
      <c r="R109" t="str">
        <f t="shared" si="2"/>
        <v>INSERT INTO TransformationEngine_Field (FieldName, FieldDescription, SourceFieldName, DetailField, Length, Required, OutputFieldName, AllowedChars) VALUES ('Output UB Box 39b', 'Value Codes - Code 1b', 'OCRValueCodes1B',0, 2, 0, 'CLM-HOSP-VALUE-CODES', 'A-Z,0-9')</v>
      </c>
    </row>
    <row r="110" spans="1:18" x14ac:dyDescent="0.35">
      <c r="A110" s="8"/>
      <c r="B110" s="8" t="s">
        <v>1485</v>
      </c>
      <c r="C110" s="8" t="s">
        <v>304</v>
      </c>
      <c r="D110" s="8" t="s">
        <v>305</v>
      </c>
      <c r="E110" s="8" t="s">
        <v>1377</v>
      </c>
      <c r="F110" s="8" t="s">
        <v>1377</v>
      </c>
      <c r="G110" s="8">
        <v>0</v>
      </c>
      <c r="H110" s="8">
        <v>9</v>
      </c>
      <c r="I110" s="8">
        <v>0</v>
      </c>
      <c r="J110" s="8" t="s">
        <v>1377</v>
      </c>
      <c r="K110" s="8" t="s">
        <v>27</v>
      </c>
      <c r="L110" s="8" t="s">
        <v>1377</v>
      </c>
      <c r="M110" s="15" t="s">
        <v>1377</v>
      </c>
      <c r="N110" s="17" t="s">
        <v>1484</v>
      </c>
      <c r="O110" s="19"/>
      <c r="P110" s="8"/>
      <c r="R110" t="str">
        <f t="shared" si="2"/>
        <v>INSERT INTO TransformationEngine_Field (FieldName, FieldDescription, SourceFieldName, DetailField, Length, Required, OutputFieldName, AllowedChars) VALUES ('Output UB Box 39b', 'Value Codes - Amount 1b', 'OCRValueAmts1B',0, 9, 0, 'CLM-HOSP-VALUE-AMOUNT', '0-9')</v>
      </c>
    </row>
    <row r="111" spans="1:18" x14ac:dyDescent="0.35">
      <c r="A111" s="8"/>
      <c r="B111" s="8" t="s">
        <v>1486</v>
      </c>
      <c r="C111" s="8" t="s">
        <v>307</v>
      </c>
      <c r="D111" s="8" t="s">
        <v>308</v>
      </c>
      <c r="E111" s="8" t="s">
        <v>1377</v>
      </c>
      <c r="F111" s="8" t="s">
        <v>1377</v>
      </c>
      <c r="G111" s="8">
        <v>0</v>
      </c>
      <c r="H111" s="8">
        <v>2</v>
      </c>
      <c r="I111" s="8">
        <v>0</v>
      </c>
      <c r="J111" s="8" t="s">
        <v>1377</v>
      </c>
      <c r="K111" s="8" t="s">
        <v>71</v>
      </c>
      <c r="L111" s="8" t="s">
        <v>1377</v>
      </c>
      <c r="M111" s="15" t="s">
        <v>1377</v>
      </c>
      <c r="N111" s="17" t="s">
        <v>1483</v>
      </c>
      <c r="O111" s="19"/>
      <c r="P111" s="8"/>
      <c r="R111" t="str">
        <f t="shared" si="2"/>
        <v>INSERT INTO TransformationEngine_Field (FieldName, FieldDescription, SourceFieldName, DetailField, Length, Required, OutputFieldName, AllowedChars) VALUES ('Output UB Box 39c', 'Value Codes - Code 1c', 'OCRValueCodes1C',0, 2, 0, 'CLM-HOSP-VALUE-CODES', 'A-Z,0-9')</v>
      </c>
    </row>
    <row r="112" spans="1:18" x14ac:dyDescent="0.35">
      <c r="A112" s="8"/>
      <c r="B112" s="8" t="s">
        <v>1486</v>
      </c>
      <c r="C112" s="8" t="s">
        <v>309</v>
      </c>
      <c r="D112" s="8" t="s">
        <v>310</v>
      </c>
      <c r="E112" s="8" t="s">
        <v>1377</v>
      </c>
      <c r="F112" s="8" t="s">
        <v>1377</v>
      </c>
      <c r="G112" s="8">
        <v>0</v>
      </c>
      <c r="H112" s="8">
        <v>9</v>
      </c>
      <c r="I112" s="8">
        <v>0</v>
      </c>
      <c r="J112" s="8" t="s">
        <v>1377</v>
      </c>
      <c r="K112" s="8" t="s">
        <v>27</v>
      </c>
      <c r="L112" s="8" t="s">
        <v>1377</v>
      </c>
      <c r="M112" s="15" t="s">
        <v>1377</v>
      </c>
      <c r="N112" s="17" t="s">
        <v>1484</v>
      </c>
      <c r="O112" s="19"/>
      <c r="P112" s="8"/>
      <c r="R112" t="str">
        <f t="shared" si="2"/>
        <v>INSERT INTO TransformationEngine_Field (FieldName, FieldDescription, SourceFieldName, DetailField, Length, Required, OutputFieldName, AllowedChars) VALUES ('Output UB Box 39c', 'Value Codes - Amount 1c', 'OCRValueAmts1C',0, 9, 0, 'CLM-HOSP-VALUE-AMOUNT', '0-9')</v>
      </c>
    </row>
    <row r="113" spans="1:18" x14ac:dyDescent="0.35">
      <c r="A113" s="8"/>
      <c r="B113" s="8" t="s">
        <v>1487</v>
      </c>
      <c r="C113" s="8" t="s">
        <v>312</v>
      </c>
      <c r="D113" s="8" t="s">
        <v>313</v>
      </c>
      <c r="E113" s="8" t="s">
        <v>1377</v>
      </c>
      <c r="F113" s="8" t="s">
        <v>1377</v>
      </c>
      <c r="G113" s="8">
        <v>0</v>
      </c>
      <c r="H113" s="8">
        <v>2</v>
      </c>
      <c r="I113" s="8">
        <v>0</v>
      </c>
      <c r="J113" s="8" t="s">
        <v>1377</v>
      </c>
      <c r="K113" s="8" t="s">
        <v>71</v>
      </c>
      <c r="L113" s="8" t="s">
        <v>1377</v>
      </c>
      <c r="M113" s="15" t="s">
        <v>1377</v>
      </c>
      <c r="N113" s="17" t="s">
        <v>1483</v>
      </c>
      <c r="O113" s="19"/>
      <c r="P113" s="8"/>
      <c r="R113" t="str">
        <f t="shared" si="2"/>
        <v>INSERT INTO TransformationEngine_Field (FieldName, FieldDescription, SourceFieldName, DetailField, Length, Required, OutputFieldName, AllowedChars) VALUES ('Output UB Box 39d', 'Value Codes - Code 1d', 'OCRValueCodes1D',0, 2, 0, 'CLM-HOSP-VALUE-CODES', 'A-Z,0-9')</v>
      </c>
    </row>
    <row r="114" spans="1:18" x14ac:dyDescent="0.35">
      <c r="A114" s="8"/>
      <c r="B114" s="8" t="s">
        <v>1487</v>
      </c>
      <c r="C114" s="8" t="s">
        <v>314</v>
      </c>
      <c r="D114" s="8" t="s">
        <v>315</v>
      </c>
      <c r="E114" s="8" t="s">
        <v>1377</v>
      </c>
      <c r="F114" s="8" t="s">
        <v>1377</v>
      </c>
      <c r="G114" s="8">
        <v>0</v>
      </c>
      <c r="H114" s="8">
        <v>9</v>
      </c>
      <c r="I114" s="8">
        <v>0</v>
      </c>
      <c r="J114" s="8" t="s">
        <v>1377</v>
      </c>
      <c r="K114" s="8" t="s">
        <v>27</v>
      </c>
      <c r="L114" s="8" t="s">
        <v>1377</v>
      </c>
      <c r="M114" s="15" t="s">
        <v>1377</v>
      </c>
      <c r="N114" s="17" t="s">
        <v>1484</v>
      </c>
      <c r="O114" s="19"/>
      <c r="P114" s="8"/>
      <c r="R114" t="str">
        <f t="shared" si="2"/>
        <v>INSERT INTO TransformationEngine_Field (FieldName, FieldDescription, SourceFieldName, DetailField, Length, Required, OutputFieldName, AllowedChars) VALUES ('Output UB Box 39d', 'Value Codes - Amount 1d', 'OCRValueAmts1D',0, 9, 0, 'CLM-HOSP-VALUE-AMOUNT', '0-9')</v>
      </c>
    </row>
    <row r="115" spans="1:18" x14ac:dyDescent="0.35">
      <c r="A115" s="8"/>
      <c r="B115" s="8" t="s">
        <v>1488</v>
      </c>
      <c r="C115" s="8" t="s">
        <v>317</v>
      </c>
      <c r="D115" s="8" t="s">
        <v>318</v>
      </c>
      <c r="E115" s="8" t="s">
        <v>1377</v>
      </c>
      <c r="F115" s="8" t="s">
        <v>1377</v>
      </c>
      <c r="G115" s="8">
        <v>0</v>
      </c>
      <c r="H115" s="8">
        <v>2</v>
      </c>
      <c r="I115" s="8">
        <v>0</v>
      </c>
      <c r="J115" s="8" t="s">
        <v>1377</v>
      </c>
      <c r="K115" s="8" t="s">
        <v>71</v>
      </c>
      <c r="L115" s="8" t="s">
        <v>1377</v>
      </c>
      <c r="M115" s="15" t="s">
        <v>1377</v>
      </c>
      <c r="N115" s="17" t="s">
        <v>1483</v>
      </c>
      <c r="O115" s="19"/>
      <c r="P115" s="8"/>
      <c r="R115" t="str">
        <f t="shared" si="2"/>
        <v>INSERT INTO TransformationEngine_Field (FieldName, FieldDescription, SourceFieldName, DetailField, Length, Required, OutputFieldName, AllowedChars) VALUES ('Output UB Box 40a', 'Value Codes - Code 2a', 'OCRValueCodes2A',0, 2, 0, 'CLM-HOSP-VALUE-CODES', 'A-Z,0-9')</v>
      </c>
    </row>
    <row r="116" spans="1:18" x14ac:dyDescent="0.35">
      <c r="A116" s="8"/>
      <c r="B116" s="8" t="s">
        <v>1488</v>
      </c>
      <c r="C116" s="8" t="s">
        <v>319</v>
      </c>
      <c r="D116" s="8" t="s">
        <v>320</v>
      </c>
      <c r="E116" s="8" t="s">
        <v>1377</v>
      </c>
      <c r="F116" s="8" t="s">
        <v>1377</v>
      </c>
      <c r="G116" s="8">
        <v>0</v>
      </c>
      <c r="H116" s="8">
        <v>9</v>
      </c>
      <c r="I116" s="8">
        <v>0</v>
      </c>
      <c r="J116" s="8" t="s">
        <v>1377</v>
      </c>
      <c r="K116" s="8" t="s">
        <v>27</v>
      </c>
      <c r="L116" s="8" t="s">
        <v>1377</v>
      </c>
      <c r="M116" s="15" t="s">
        <v>1377</v>
      </c>
      <c r="N116" s="17" t="s">
        <v>1484</v>
      </c>
      <c r="O116" s="19"/>
      <c r="P116" s="8"/>
      <c r="R116" t="str">
        <f t="shared" si="2"/>
        <v>INSERT INTO TransformationEngine_Field (FieldName, FieldDescription, SourceFieldName, DetailField, Length, Required, OutputFieldName, AllowedChars) VALUES ('Output UB Box 40a', 'Value Codes - Amount 2a', 'OCRValueAmts2A',0, 9, 0, 'CLM-HOSP-VALUE-AMOUNT', '0-9')</v>
      </c>
    </row>
    <row r="117" spans="1:18" x14ac:dyDescent="0.35">
      <c r="A117" s="8"/>
      <c r="B117" s="8" t="s">
        <v>1489</v>
      </c>
      <c r="C117" s="8" t="s">
        <v>322</v>
      </c>
      <c r="D117" s="8" t="s">
        <v>323</v>
      </c>
      <c r="E117" s="8" t="s">
        <v>1377</v>
      </c>
      <c r="F117" s="8" t="s">
        <v>1377</v>
      </c>
      <c r="G117" s="8">
        <v>0</v>
      </c>
      <c r="H117" s="8">
        <v>2</v>
      </c>
      <c r="I117" s="8">
        <v>0</v>
      </c>
      <c r="J117" s="8" t="s">
        <v>1377</v>
      </c>
      <c r="K117" s="8" t="s">
        <v>71</v>
      </c>
      <c r="L117" s="8" t="s">
        <v>1377</v>
      </c>
      <c r="M117" s="15" t="s">
        <v>1377</v>
      </c>
      <c r="N117" s="17" t="s">
        <v>1483</v>
      </c>
      <c r="O117" s="19"/>
      <c r="P117" s="8"/>
      <c r="R117" t="str">
        <f t="shared" si="2"/>
        <v>INSERT INTO TransformationEngine_Field (FieldName, FieldDescription, SourceFieldName, DetailField, Length, Required, OutputFieldName, AllowedChars) VALUES ('Output UB Box 40b', 'Value Codes - Code 2b', 'OCRValueCodes2B',0, 2, 0, 'CLM-HOSP-VALUE-CODES', 'A-Z,0-9')</v>
      </c>
    </row>
    <row r="118" spans="1:18" x14ac:dyDescent="0.35">
      <c r="A118" s="8"/>
      <c r="B118" s="8" t="s">
        <v>1489</v>
      </c>
      <c r="C118" s="8" t="s">
        <v>324</v>
      </c>
      <c r="D118" s="8" t="s">
        <v>325</v>
      </c>
      <c r="E118" s="8" t="s">
        <v>1377</v>
      </c>
      <c r="F118" s="8" t="s">
        <v>1377</v>
      </c>
      <c r="G118" s="8">
        <v>0</v>
      </c>
      <c r="H118" s="8">
        <v>9</v>
      </c>
      <c r="I118" s="8">
        <v>0</v>
      </c>
      <c r="J118" s="8" t="s">
        <v>1377</v>
      </c>
      <c r="K118" s="8" t="s">
        <v>27</v>
      </c>
      <c r="L118" s="8" t="s">
        <v>1377</v>
      </c>
      <c r="M118" s="15" t="s">
        <v>1377</v>
      </c>
      <c r="N118" s="17" t="s">
        <v>1484</v>
      </c>
      <c r="O118" s="19"/>
      <c r="P118" s="8"/>
      <c r="R118" t="str">
        <f t="shared" si="2"/>
        <v>INSERT INTO TransformationEngine_Field (FieldName, FieldDescription, SourceFieldName, DetailField, Length, Required, OutputFieldName, AllowedChars) VALUES ('Output UB Box 40b', 'Value Codes - Amount 2b', 'OCRValueAmts2B',0, 9, 0, 'CLM-HOSP-VALUE-AMOUNT', '0-9')</v>
      </c>
    </row>
    <row r="119" spans="1:18" x14ac:dyDescent="0.35">
      <c r="A119" s="8"/>
      <c r="B119" s="8" t="s">
        <v>1490</v>
      </c>
      <c r="C119" s="8" t="s">
        <v>327</v>
      </c>
      <c r="D119" s="8" t="s">
        <v>328</v>
      </c>
      <c r="E119" s="8" t="s">
        <v>1377</v>
      </c>
      <c r="F119" s="8" t="s">
        <v>1377</v>
      </c>
      <c r="G119" s="8">
        <v>0</v>
      </c>
      <c r="H119" s="8">
        <v>2</v>
      </c>
      <c r="I119" s="8">
        <v>0</v>
      </c>
      <c r="J119" s="8" t="s">
        <v>1377</v>
      </c>
      <c r="K119" s="8" t="s">
        <v>71</v>
      </c>
      <c r="L119" s="8" t="s">
        <v>1377</v>
      </c>
      <c r="M119" s="15" t="s">
        <v>1377</v>
      </c>
      <c r="N119" s="17" t="s">
        <v>1483</v>
      </c>
      <c r="O119" s="19"/>
      <c r="P119" s="8"/>
      <c r="R119" t="str">
        <f t="shared" si="2"/>
        <v>INSERT INTO TransformationEngine_Field (FieldName, FieldDescription, SourceFieldName, DetailField, Length, Required, OutputFieldName, AllowedChars) VALUES ('Output UB Box 40c', 'Value Codes - Code 2c', 'OCRValueCodes2C',0, 2, 0, 'CLM-HOSP-VALUE-CODES', 'A-Z,0-9')</v>
      </c>
    </row>
    <row r="120" spans="1:18" x14ac:dyDescent="0.35">
      <c r="A120" s="8"/>
      <c r="B120" s="8" t="s">
        <v>1490</v>
      </c>
      <c r="C120" s="8" t="s">
        <v>329</v>
      </c>
      <c r="D120" s="8" t="s">
        <v>330</v>
      </c>
      <c r="E120" s="8" t="s">
        <v>1377</v>
      </c>
      <c r="F120" s="8" t="s">
        <v>1377</v>
      </c>
      <c r="G120" s="8">
        <v>0</v>
      </c>
      <c r="H120" s="8">
        <v>9</v>
      </c>
      <c r="I120" s="8">
        <v>0</v>
      </c>
      <c r="J120" s="8" t="s">
        <v>1377</v>
      </c>
      <c r="K120" s="8" t="s">
        <v>27</v>
      </c>
      <c r="L120" s="8" t="s">
        <v>1377</v>
      </c>
      <c r="M120" s="15" t="s">
        <v>1377</v>
      </c>
      <c r="N120" s="17" t="s">
        <v>1484</v>
      </c>
      <c r="O120" s="19"/>
      <c r="P120" s="8"/>
      <c r="R120" t="str">
        <f t="shared" si="2"/>
        <v>INSERT INTO TransformationEngine_Field (FieldName, FieldDescription, SourceFieldName, DetailField, Length, Required, OutputFieldName, AllowedChars) VALUES ('Output UB Box 40c', 'Value Codes - Amount 2c', 'OCRValueAmts2C',0, 9, 0, 'CLM-HOSP-VALUE-AMOUNT', '0-9')</v>
      </c>
    </row>
    <row r="121" spans="1:18" x14ac:dyDescent="0.35">
      <c r="A121" s="8"/>
      <c r="B121" s="8" t="s">
        <v>1491</v>
      </c>
      <c r="C121" s="8" t="s">
        <v>332</v>
      </c>
      <c r="D121" s="8" t="s">
        <v>333</v>
      </c>
      <c r="E121" s="8" t="s">
        <v>1377</v>
      </c>
      <c r="F121" s="8" t="s">
        <v>1377</v>
      </c>
      <c r="G121" s="8">
        <v>0</v>
      </c>
      <c r="H121" s="8">
        <v>2</v>
      </c>
      <c r="I121" s="8">
        <v>0</v>
      </c>
      <c r="J121" s="8" t="s">
        <v>1377</v>
      </c>
      <c r="K121" s="8" t="s">
        <v>71</v>
      </c>
      <c r="L121" s="8" t="s">
        <v>1377</v>
      </c>
      <c r="M121" s="15" t="s">
        <v>1377</v>
      </c>
      <c r="N121" s="17" t="s">
        <v>1483</v>
      </c>
      <c r="O121" s="19"/>
      <c r="P121" s="8"/>
      <c r="R121" t="str">
        <f t="shared" si="2"/>
        <v>INSERT INTO TransformationEngine_Field (FieldName, FieldDescription, SourceFieldName, DetailField, Length, Required, OutputFieldName, AllowedChars) VALUES ('Output UB Box 40d', 'Value Codes - Code 2d', 'OCRValueCodes2D',0, 2, 0, 'CLM-HOSP-VALUE-CODES', 'A-Z,0-9')</v>
      </c>
    </row>
    <row r="122" spans="1:18" x14ac:dyDescent="0.35">
      <c r="A122" s="8"/>
      <c r="B122" s="8" t="s">
        <v>1491</v>
      </c>
      <c r="C122" s="8" t="s">
        <v>334</v>
      </c>
      <c r="D122" s="8" t="s">
        <v>335</v>
      </c>
      <c r="E122" s="8" t="s">
        <v>1377</v>
      </c>
      <c r="F122" s="8" t="s">
        <v>1377</v>
      </c>
      <c r="G122" s="8">
        <v>0</v>
      </c>
      <c r="H122" s="8">
        <v>9</v>
      </c>
      <c r="I122" s="8">
        <v>0</v>
      </c>
      <c r="J122" s="8" t="s">
        <v>1377</v>
      </c>
      <c r="K122" s="8" t="s">
        <v>27</v>
      </c>
      <c r="L122" s="8" t="s">
        <v>1377</v>
      </c>
      <c r="M122" s="15" t="s">
        <v>1377</v>
      </c>
      <c r="N122" s="17" t="s">
        <v>1484</v>
      </c>
      <c r="O122" s="19"/>
      <c r="P122" s="8"/>
      <c r="R122" t="str">
        <f t="shared" si="2"/>
        <v>INSERT INTO TransformationEngine_Field (FieldName, FieldDescription, SourceFieldName, DetailField, Length, Required, OutputFieldName, AllowedChars) VALUES ('Output UB Box 40d', 'Value Codes - Amount 2d', 'OCRValueAmts2D',0, 9, 0, 'CLM-HOSP-VALUE-AMOUNT', '0-9')</v>
      </c>
    </row>
    <row r="123" spans="1:18" x14ac:dyDescent="0.35">
      <c r="A123" s="8"/>
      <c r="B123" s="8" t="s">
        <v>1492</v>
      </c>
      <c r="C123" s="8" t="s">
        <v>337</v>
      </c>
      <c r="D123" s="8" t="s">
        <v>338</v>
      </c>
      <c r="E123" s="8" t="s">
        <v>1377</v>
      </c>
      <c r="F123" s="8" t="s">
        <v>1377</v>
      </c>
      <c r="G123" s="8">
        <v>0</v>
      </c>
      <c r="H123" s="8">
        <v>2</v>
      </c>
      <c r="I123" s="8">
        <v>0</v>
      </c>
      <c r="J123" s="8" t="s">
        <v>1377</v>
      </c>
      <c r="K123" s="8" t="s">
        <v>71</v>
      </c>
      <c r="L123" s="8" t="s">
        <v>1377</v>
      </c>
      <c r="M123" s="15" t="s">
        <v>1377</v>
      </c>
      <c r="N123" s="17" t="s">
        <v>1483</v>
      </c>
      <c r="O123" s="19"/>
      <c r="P123" s="8"/>
      <c r="R123" t="str">
        <f t="shared" si="2"/>
        <v>INSERT INTO TransformationEngine_Field (FieldName, FieldDescription, SourceFieldName, DetailField, Length, Required, OutputFieldName, AllowedChars) VALUES ('Output UB Box 41a', 'Value Codes - Code 3a', 'OCRValueCodes3A',0, 2, 0, 'CLM-HOSP-VALUE-CODES', 'A-Z,0-9')</v>
      </c>
    </row>
    <row r="124" spans="1:18" x14ac:dyDescent="0.35">
      <c r="A124" s="8"/>
      <c r="B124" s="8" t="s">
        <v>1492</v>
      </c>
      <c r="C124" s="8" t="s">
        <v>339</v>
      </c>
      <c r="D124" s="8" t="s">
        <v>340</v>
      </c>
      <c r="E124" s="8" t="s">
        <v>1377</v>
      </c>
      <c r="F124" s="8" t="s">
        <v>1377</v>
      </c>
      <c r="G124" s="8">
        <v>0</v>
      </c>
      <c r="H124" s="8">
        <v>9</v>
      </c>
      <c r="I124" s="8">
        <v>0</v>
      </c>
      <c r="J124" s="8" t="s">
        <v>1377</v>
      </c>
      <c r="K124" s="8" t="s">
        <v>27</v>
      </c>
      <c r="L124" s="8" t="s">
        <v>1377</v>
      </c>
      <c r="M124" s="15" t="s">
        <v>1377</v>
      </c>
      <c r="N124" s="17" t="s">
        <v>1484</v>
      </c>
      <c r="O124" s="19"/>
      <c r="P124" s="8"/>
      <c r="R124" t="str">
        <f t="shared" si="2"/>
        <v>INSERT INTO TransformationEngine_Field (FieldName, FieldDescription, SourceFieldName, DetailField, Length, Required, OutputFieldName, AllowedChars) VALUES ('Output UB Box 41a', 'Value Codes - Amount 3a', 'OCRValueAmts3A',0, 9, 0, 'CLM-HOSP-VALUE-AMOUNT', '0-9')</v>
      </c>
    </row>
    <row r="125" spans="1:18" x14ac:dyDescent="0.35">
      <c r="A125" s="8"/>
      <c r="B125" s="8" t="s">
        <v>1493</v>
      </c>
      <c r="C125" s="8" t="s">
        <v>342</v>
      </c>
      <c r="D125" s="8" t="s">
        <v>343</v>
      </c>
      <c r="E125" s="8" t="s">
        <v>1377</v>
      </c>
      <c r="F125" s="8" t="s">
        <v>1377</v>
      </c>
      <c r="G125" s="8">
        <v>0</v>
      </c>
      <c r="H125" s="8">
        <v>2</v>
      </c>
      <c r="I125" s="8">
        <v>0</v>
      </c>
      <c r="J125" s="8" t="s">
        <v>1377</v>
      </c>
      <c r="K125" s="8" t="s">
        <v>71</v>
      </c>
      <c r="L125" s="8" t="s">
        <v>1377</v>
      </c>
      <c r="M125" s="15" t="s">
        <v>1377</v>
      </c>
      <c r="N125" s="17" t="s">
        <v>1483</v>
      </c>
      <c r="O125" s="19"/>
      <c r="P125" s="8"/>
      <c r="R125" t="str">
        <f t="shared" si="2"/>
        <v>INSERT INTO TransformationEngine_Field (FieldName, FieldDescription, SourceFieldName, DetailField, Length, Required, OutputFieldName, AllowedChars) VALUES ('Output UB Box 41b', 'Value Codes - Code 3b', 'OCRValueCodes3B',0, 2, 0, 'CLM-HOSP-VALUE-CODES', 'A-Z,0-9')</v>
      </c>
    </row>
    <row r="126" spans="1:18" x14ac:dyDescent="0.35">
      <c r="A126" s="8"/>
      <c r="B126" s="8" t="s">
        <v>1493</v>
      </c>
      <c r="C126" s="8" t="s">
        <v>344</v>
      </c>
      <c r="D126" s="8" t="s">
        <v>345</v>
      </c>
      <c r="E126" s="8" t="s">
        <v>1377</v>
      </c>
      <c r="F126" s="8" t="s">
        <v>1377</v>
      </c>
      <c r="G126" s="8">
        <v>0</v>
      </c>
      <c r="H126" s="8">
        <v>9</v>
      </c>
      <c r="I126" s="8">
        <v>0</v>
      </c>
      <c r="J126" s="8" t="s">
        <v>1377</v>
      </c>
      <c r="K126" s="8" t="s">
        <v>27</v>
      </c>
      <c r="L126" s="8" t="s">
        <v>1377</v>
      </c>
      <c r="M126" s="15" t="s">
        <v>1377</v>
      </c>
      <c r="N126" s="17" t="s">
        <v>1484</v>
      </c>
      <c r="O126" s="19"/>
      <c r="P126" s="8"/>
      <c r="R126" t="str">
        <f t="shared" si="2"/>
        <v>INSERT INTO TransformationEngine_Field (FieldName, FieldDescription, SourceFieldName, DetailField, Length, Required, OutputFieldName, AllowedChars) VALUES ('Output UB Box 41b', 'Value Codes - Amount 3b', 'OCRValueAmts3B',0, 9, 0, 'CLM-HOSP-VALUE-AMOUNT', '0-9')</v>
      </c>
    </row>
    <row r="127" spans="1:18" x14ac:dyDescent="0.35">
      <c r="A127" s="8"/>
      <c r="B127" s="8" t="s">
        <v>1494</v>
      </c>
      <c r="C127" s="8" t="s">
        <v>347</v>
      </c>
      <c r="D127" s="8" t="s">
        <v>348</v>
      </c>
      <c r="E127" s="8" t="s">
        <v>1377</v>
      </c>
      <c r="F127" s="8" t="s">
        <v>1377</v>
      </c>
      <c r="G127" s="8">
        <v>0</v>
      </c>
      <c r="H127" s="8">
        <v>2</v>
      </c>
      <c r="I127" s="8">
        <v>0</v>
      </c>
      <c r="J127" s="8" t="s">
        <v>1377</v>
      </c>
      <c r="K127" s="8" t="s">
        <v>71</v>
      </c>
      <c r="L127" s="8" t="s">
        <v>1377</v>
      </c>
      <c r="M127" s="15" t="s">
        <v>1377</v>
      </c>
      <c r="N127" s="17" t="s">
        <v>1483</v>
      </c>
      <c r="O127" s="19"/>
      <c r="P127" s="8"/>
      <c r="R127" t="str">
        <f t="shared" si="2"/>
        <v>INSERT INTO TransformationEngine_Field (FieldName, FieldDescription, SourceFieldName, DetailField, Length, Required, OutputFieldName, AllowedChars) VALUES ('Output UB Box 41c', 'Value Codes - Code 3c', 'OCRValueCodes3C',0, 2, 0, 'CLM-HOSP-VALUE-CODES', 'A-Z,0-9')</v>
      </c>
    </row>
    <row r="128" spans="1:18" x14ac:dyDescent="0.35">
      <c r="A128" s="8"/>
      <c r="B128" s="8" t="s">
        <v>1494</v>
      </c>
      <c r="C128" s="8" t="s">
        <v>349</v>
      </c>
      <c r="D128" s="8" t="s">
        <v>350</v>
      </c>
      <c r="E128" s="8" t="s">
        <v>1377</v>
      </c>
      <c r="F128" s="8" t="s">
        <v>1377</v>
      </c>
      <c r="G128" s="8">
        <v>0</v>
      </c>
      <c r="H128" s="8">
        <v>9</v>
      </c>
      <c r="I128" s="8">
        <v>0</v>
      </c>
      <c r="J128" s="8" t="s">
        <v>1377</v>
      </c>
      <c r="K128" s="8" t="s">
        <v>27</v>
      </c>
      <c r="L128" s="8" t="s">
        <v>1377</v>
      </c>
      <c r="M128" s="15" t="s">
        <v>1377</v>
      </c>
      <c r="N128" s="17" t="s">
        <v>1484</v>
      </c>
      <c r="O128" s="19"/>
      <c r="P128" s="8"/>
      <c r="R128" t="str">
        <f t="shared" si="2"/>
        <v>INSERT INTO TransformationEngine_Field (FieldName, FieldDescription, SourceFieldName, DetailField, Length, Required, OutputFieldName, AllowedChars) VALUES ('Output UB Box 41c', 'Value Codes - Amount 3c', 'OCRValueAmts3C',0, 9, 0, 'CLM-HOSP-VALUE-AMOUNT', '0-9')</v>
      </c>
    </row>
    <row r="129" spans="1:18" x14ac:dyDescent="0.35">
      <c r="A129" s="8"/>
      <c r="B129" s="8" t="s">
        <v>1495</v>
      </c>
      <c r="C129" s="8" t="s">
        <v>352</v>
      </c>
      <c r="D129" s="8" t="s">
        <v>353</v>
      </c>
      <c r="E129" s="8" t="s">
        <v>1377</v>
      </c>
      <c r="F129" s="8" t="s">
        <v>1377</v>
      </c>
      <c r="G129" s="8">
        <v>0</v>
      </c>
      <c r="H129" s="8">
        <v>2</v>
      </c>
      <c r="I129" s="8">
        <v>0</v>
      </c>
      <c r="J129" s="8" t="s">
        <v>1377</v>
      </c>
      <c r="K129" s="8" t="s">
        <v>71</v>
      </c>
      <c r="L129" s="8" t="s">
        <v>1377</v>
      </c>
      <c r="M129" s="15" t="s">
        <v>1377</v>
      </c>
      <c r="N129" s="17" t="s">
        <v>1483</v>
      </c>
      <c r="O129" s="19"/>
      <c r="P129" s="8"/>
      <c r="R129" t="str">
        <f t="shared" si="2"/>
        <v>INSERT INTO TransformationEngine_Field (FieldName, FieldDescription, SourceFieldName, DetailField, Length, Required, OutputFieldName, AllowedChars) VALUES ('Output UB Box 41d', 'Value Codes - Code 3d', 'OCRValueCodes3D',0, 2, 0, 'CLM-HOSP-VALUE-CODES', 'A-Z,0-9')</v>
      </c>
    </row>
    <row r="130" spans="1:18" x14ac:dyDescent="0.35">
      <c r="A130" s="8"/>
      <c r="B130" s="8" t="s">
        <v>1495</v>
      </c>
      <c r="C130" s="8" t="s">
        <v>354</v>
      </c>
      <c r="D130" s="8" t="s">
        <v>355</v>
      </c>
      <c r="E130" s="8" t="s">
        <v>1377</v>
      </c>
      <c r="F130" s="8" t="s">
        <v>1377</v>
      </c>
      <c r="G130" s="8">
        <v>0</v>
      </c>
      <c r="H130" s="8">
        <v>9</v>
      </c>
      <c r="I130" s="8">
        <v>0</v>
      </c>
      <c r="J130" s="8" t="s">
        <v>1377</v>
      </c>
      <c r="K130" s="8" t="s">
        <v>27</v>
      </c>
      <c r="L130" s="8" t="s">
        <v>1377</v>
      </c>
      <c r="M130" s="15" t="s">
        <v>1377</v>
      </c>
      <c r="N130" s="17" t="s">
        <v>1484</v>
      </c>
      <c r="O130" s="19"/>
      <c r="P130" s="8"/>
      <c r="R130" t="str">
        <f t="shared" si="2"/>
        <v>INSERT INTO TransformationEngine_Field (FieldName, FieldDescription, SourceFieldName, DetailField, Length, Required, OutputFieldName, AllowedChars) VALUES ('Output UB Box 41d', 'Value Codes - Amount 3d', 'OCRValueAmts3D',0, 9, 0, 'CLM-HOSP-VALUE-AMOUNT', '0-9')</v>
      </c>
    </row>
    <row r="131" spans="1:18" ht="26" x14ac:dyDescent="0.35">
      <c r="A131" s="8"/>
      <c r="B131" s="8" t="s">
        <v>1496</v>
      </c>
      <c r="C131" s="8" t="s">
        <v>357</v>
      </c>
      <c r="D131" s="8" t="s">
        <v>358</v>
      </c>
      <c r="E131" s="8" t="s">
        <v>1377</v>
      </c>
      <c r="F131" s="8" t="s">
        <v>1377</v>
      </c>
      <c r="G131" s="8">
        <v>1</v>
      </c>
      <c r="H131" s="8">
        <v>4</v>
      </c>
      <c r="I131" s="8">
        <v>0</v>
      </c>
      <c r="J131" s="8" t="s">
        <v>1377</v>
      </c>
      <c r="K131" s="8" t="s">
        <v>27</v>
      </c>
      <c r="L131" s="8" t="s">
        <v>1377</v>
      </c>
      <c r="M131" s="15" t="s">
        <v>1377</v>
      </c>
      <c r="N131" s="17" t="s">
        <v>1497</v>
      </c>
      <c r="O131" s="19"/>
      <c r="P131" s="8"/>
      <c r="R131" t="str">
        <f t="shared" si="2"/>
        <v>INSERT INTO TransformationEngine_Field (FieldName, FieldDescription, SourceFieldName, DetailField, Length, Required, OutputFieldName, AllowedChars) VALUES ('Output UB Box 42', 'Revenue Code', 'OCRRevCodes',1, 4, 0, 'DTL-HOSP-REVENUE-CODE-3 BYTE
DTL-HOSP-REVENUE-CODE-4 BYTE', '0-9')</v>
      </c>
    </row>
    <row r="132" spans="1:18" ht="39" x14ac:dyDescent="0.35">
      <c r="A132" s="8"/>
      <c r="B132" s="8" t="s">
        <v>1498</v>
      </c>
      <c r="C132" s="8" t="s">
        <v>360</v>
      </c>
      <c r="D132" s="8" t="s">
        <v>361</v>
      </c>
      <c r="E132" s="8" t="s">
        <v>1377</v>
      </c>
      <c r="F132" s="8" t="s">
        <v>1377</v>
      </c>
      <c r="G132" s="8">
        <v>1</v>
      </c>
      <c r="H132" s="8">
        <v>30</v>
      </c>
      <c r="I132" s="8">
        <v>0</v>
      </c>
      <c r="J132" s="8" t="s">
        <v>1377</v>
      </c>
      <c r="K132" s="8" t="s">
        <v>1377</v>
      </c>
      <c r="L132" s="8" t="s">
        <v>1377</v>
      </c>
      <c r="M132" s="15" t="s">
        <v>1377</v>
      </c>
      <c r="N132" s="17" t="s">
        <v>1499</v>
      </c>
      <c r="O132" s="19"/>
      <c r="P132" s="8"/>
      <c r="R132" t="str">
        <f t="shared" ref="R132:R195" si="3">CONCATENATE("INSERT INTO TransformationEngine_Field (FieldName, FieldDescription, SourceFieldName, DetailField, Length, Required, OutputFieldName, AllowedChars) VALUES ('", B132, "', '", C132, "', '", D132, "',", G132, ", ", H132, ", ", I132, ", '", N132, "', '", K132,"')")</f>
        <v>INSERT INTO TransformationEngine_Field (FieldName, FieldDescription, SourceFieldName, DetailField, Length, Required, OutputFieldName, AllowedChars) VALUES ('Output UB Box 43', 'Description', 'OCRDescriptions',1, 30, 0, 'DTL-HOSP-NDC
DTL-HOSP-UNITS-QUALIFIER
DTL-HOSP-NDC-UNITS', 'NULL')</v>
      </c>
    </row>
    <row r="133" spans="1:18" ht="78" x14ac:dyDescent="0.35">
      <c r="A133" s="8"/>
      <c r="B133" s="8" t="s">
        <v>1500</v>
      </c>
      <c r="C133" s="8" t="s">
        <v>375</v>
      </c>
      <c r="D133" s="8" t="s">
        <v>376</v>
      </c>
      <c r="E133" s="8" t="s">
        <v>1377</v>
      </c>
      <c r="F133" s="8" t="s">
        <v>1377</v>
      </c>
      <c r="G133" s="8">
        <v>1</v>
      </c>
      <c r="H133" s="8">
        <v>18</v>
      </c>
      <c r="I133" s="8">
        <v>0</v>
      </c>
      <c r="J133" s="8" t="s">
        <v>1377</v>
      </c>
      <c r="K133" s="8" t="s">
        <v>1377</v>
      </c>
      <c r="L133" s="8" t="s">
        <v>1377</v>
      </c>
      <c r="M133" s="15" t="s">
        <v>1377</v>
      </c>
      <c r="N133" s="17" t="s">
        <v>1501</v>
      </c>
      <c r="O133" s="19"/>
      <c r="P133" s="8"/>
      <c r="R133" t="str">
        <f t="shared" si="3"/>
        <v>INSERT INTO TransformationEngine_Field (FieldName, FieldDescription, SourceFieldName, DetailField, Length, Required, OutputFieldName, AllowedChars) VALUES ('Output UB Box 44', 'HCPCS/Rate/HIPPS Code', 'OCRProcCodes',1, 18, 0, 'DTL-HOSP-PROCEDURE-CODE
DTL-HOSP-PROC-MODIFIER
DTL-HOSP-PROC-MODIFIER_1
DTL-HOSP-PROC-MODIFIER_2
DTL-HOSP-PROC-MODIFIER_3
DTL-HOSP-PROC-MODIFIER_4', 'NULL')</v>
      </c>
    </row>
    <row r="134" spans="1:18" x14ac:dyDescent="0.35">
      <c r="A134" s="8"/>
      <c r="B134" s="8" t="s">
        <v>1502</v>
      </c>
      <c r="C134" s="8" t="s">
        <v>389</v>
      </c>
      <c r="D134" s="8" t="s">
        <v>390</v>
      </c>
      <c r="E134" s="8" t="s">
        <v>1377</v>
      </c>
      <c r="F134" s="8" t="s">
        <v>1377</v>
      </c>
      <c r="G134" s="8">
        <v>1</v>
      </c>
      <c r="H134" s="14">
        <v>10</v>
      </c>
      <c r="I134" s="8">
        <v>0</v>
      </c>
      <c r="J134" s="8" t="s">
        <v>1377</v>
      </c>
      <c r="K134" s="8" t="s">
        <v>27</v>
      </c>
      <c r="L134" s="8" t="s">
        <v>1377</v>
      </c>
      <c r="M134" s="15" t="s">
        <v>1377</v>
      </c>
      <c r="N134" s="17" t="s">
        <v>1503</v>
      </c>
      <c r="O134" s="19" t="s">
        <v>1403</v>
      </c>
      <c r="P134" s="8"/>
      <c r="R134" t="str">
        <f t="shared" si="3"/>
        <v>INSERT INTO TransformationEngine_Field (FieldName, FieldDescription, SourceFieldName, DetailField, Length, Required, OutputFieldName, AllowedChars) VALUES ('Output UB Box 45', 'Service Date', 'OCRServiceDates',1, 10, 0, 'DTL-HOSP-PROCEDURE-DATE', '0-9')</v>
      </c>
    </row>
    <row r="135" spans="1:18" ht="26" x14ac:dyDescent="0.35">
      <c r="A135" s="8"/>
      <c r="B135" s="8" t="s">
        <v>1504</v>
      </c>
      <c r="C135" s="8" t="s">
        <v>392</v>
      </c>
      <c r="D135" s="8" t="s">
        <v>393</v>
      </c>
      <c r="E135" s="8" t="s">
        <v>1377</v>
      </c>
      <c r="F135" s="8" t="s">
        <v>1377</v>
      </c>
      <c r="G135" s="8">
        <v>1</v>
      </c>
      <c r="H135" s="8">
        <v>9</v>
      </c>
      <c r="I135" s="8">
        <v>0</v>
      </c>
      <c r="J135" s="8" t="s">
        <v>1377</v>
      </c>
      <c r="K135" s="8" t="s">
        <v>27</v>
      </c>
      <c r="L135" s="8" t="s">
        <v>1377</v>
      </c>
      <c r="M135" s="15" t="s">
        <v>1377</v>
      </c>
      <c r="N135" s="17" t="s">
        <v>1505</v>
      </c>
      <c r="O135" s="19"/>
      <c r="P135" s="8"/>
      <c r="R135" t="str">
        <f t="shared" si="3"/>
        <v>INSERT INTO TransformationEngine_Field (FieldName, FieldDescription, SourceFieldName, DetailField, Length, Required, OutputFieldName, AllowedChars) VALUES ('Output UB Box 46', 'Service Units', 'OCRServiceUnits',1, 9, 0, 'DTL-HOSP-NUM-OF-SERVICES
DTL-HOSP-NDC-UNITS', '0-9')</v>
      </c>
    </row>
    <row r="136" spans="1:18" x14ac:dyDescent="0.35">
      <c r="A136" s="8"/>
      <c r="B136" s="8" t="s">
        <v>1506</v>
      </c>
      <c r="C136" s="8" t="s">
        <v>396</v>
      </c>
      <c r="D136" s="8" t="s">
        <v>397</v>
      </c>
      <c r="E136" s="8" t="s">
        <v>1377</v>
      </c>
      <c r="F136" s="8" t="s">
        <v>1377</v>
      </c>
      <c r="G136" s="8">
        <v>1</v>
      </c>
      <c r="H136" s="14">
        <v>9</v>
      </c>
      <c r="I136" s="8">
        <v>0</v>
      </c>
      <c r="J136" s="8" t="s">
        <v>1377</v>
      </c>
      <c r="K136" s="8" t="s">
        <v>27</v>
      </c>
      <c r="L136" s="8" t="s">
        <v>1377</v>
      </c>
      <c r="M136" s="15" t="s">
        <v>1377</v>
      </c>
      <c r="N136" s="17" t="s">
        <v>1507</v>
      </c>
      <c r="O136" s="19"/>
      <c r="P136" s="8"/>
      <c r="R136" t="str">
        <f t="shared" si="3"/>
        <v>INSERT INTO TransformationEngine_Field (FieldName, FieldDescription, SourceFieldName, DetailField, Length, Required, OutputFieldName, AllowedChars) VALUES ('Output UB Box 47', 'Total Charges', 'OCRDetailCharges',1, 9, 0, 'DTL-HOSP-SUBMITTED-AMOUNT', '0-9')</v>
      </c>
    </row>
    <row r="137" spans="1:18" x14ac:dyDescent="0.35">
      <c r="A137" s="8"/>
      <c r="B137" s="8" t="s">
        <v>1508</v>
      </c>
      <c r="C137" s="8" t="s">
        <v>400</v>
      </c>
      <c r="D137" s="8" t="s">
        <v>401</v>
      </c>
      <c r="E137" s="8" t="s">
        <v>1377</v>
      </c>
      <c r="F137" s="8" t="s">
        <v>1377</v>
      </c>
      <c r="G137" s="8">
        <v>1</v>
      </c>
      <c r="H137" s="14">
        <v>9</v>
      </c>
      <c r="I137" s="8">
        <v>0</v>
      </c>
      <c r="J137" s="8" t="s">
        <v>1377</v>
      </c>
      <c r="K137" s="8" t="s">
        <v>27</v>
      </c>
      <c r="L137" s="8" t="s">
        <v>1377</v>
      </c>
      <c r="M137" s="15" t="s">
        <v>1377</v>
      </c>
      <c r="N137" s="17" t="s">
        <v>1509</v>
      </c>
      <c r="O137" s="19"/>
      <c r="P137" s="8"/>
      <c r="R137" t="str">
        <f t="shared" si="3"/>
        <v>INSERT INTO TransformationEngine_Field (FieldName, FieldDescription, SourceFieldName, DetailField, Length, Required, OutputFieldName, AllowedChars) VALUES ('Output UB Box 48', 'Non-Covered Charges', 'OCRNonCvdChgs',1, 9, 0, 'DTL-HOSP-NON-COVERED-CHARGES', '0-9')</v>
      </c>
    </row>
    <row r="138" spans="1:18" x14ac:dyDescent="0.35">
      <c r="A138" s="8"/>
      <c r="B138" s="8" t="s">
        <v>1510</v>
      </c>
      <c r="C138" s="13" t="s">
        <v>198</v>
      </c>
      <c r="D138" s="8" t="s">
        <v>403</v>
      </c>
      <c r="E138" s="8" t="s">
        <v>1377</v>
      </c>
      <c r="F138" s="8" t="s">
        <v>1377</v>
      </c>
      <c r="G138" s="8">
        <v>1</v>
      </c>
      <c r="H138" s="14">
        <v>9</v>
      </c>
      <c r="I138" s="8">
        <v>0</v>
      </c>
      <c r="J138" s="8" t="s">
        <v>1377</v>
      </c>
      <c r="K138" s="8" t="s">
        <v>27</v>
      </c>
      <c r="L138" s="8" t="s">
        <v>1377</v>
      </c>
      <c r="M138" s="15" t="s">
        <v>1377</v>
      </c>
      <c r="N138" s="17"/>
      <c r="O138" s="19"/>
      <c r="P138" s="8"/>
      <c r="Q138" t="s">
        <v>1406</v>
      </c>
      <c r="R138" t="str">
        <f t="shared" si="3"/>
        <v>INSERT INTO TransformationEngine_Field (FieldName, FieldDescription, SourceFieldName, DetailField, Length, Required, OutputFieldName, AllowedChars) VALUES ('Output UB Box 49', '???', 'OCRNotUsedBlock491',1, 9, 0, '', '0-9')</v>
      </c>
    </row>
    <row r="139" spans="1:18" x14ac:dyDescent="0.35">
      <c r="A139" s="8"/>
      <c r="B139" s="8" t="s">
        <v>1126</v>
      </c>
      <c r="C139" s="8" t="s">
        <v>405</v>
      </c>
      <c r="D139" s="8" t="s">
        <v>406</v>
      </c>
      <c r="E139" s="8" t="s">
        <v>1377</v>
      </c>
      <c r="F139" s="8" t="s">
        <v>1377</v>
      </c>
      <c r="G139" s="8">
        <v>0</v>
      </c>
      <c r="H139" s="8">
        <v>4</v>
      </c>
      <c r="I139" s="8">
        <v>0</v>
      </c>
      <c r="J139" s="8" t="s">
        <v>1377</v>
      </c>
      <c r="K139" s="8" t="s">
        <v>27</v>
      </c>
      <c r="L139" s="8" t="s">
        <v>1377</v>
      </c>
      <c r="M139" s="15" t="s">
        <v>1377</v>
      </c>
      <c r="N139" s="31" t="s">
        <v>198</v>
      </c>
      <c r="O139" s="19"/>
      <c r="P139" s="8"/>
      <c r="R139" t="str">
        <f t="shared" si="3"/>
        <v>INSERT INTO TransformationEngine_Field (FieldName, FieldDescription, SourceFieldName, DetailField, Length, Required, OutputFieldName, AllowedChars) VALUES ('Totals', 'Revenue Code - Total', 'OCRRevCodes_TotalChg',0, 4, 0, '???', '0-9')</v>
      </c>
    </row>
    <row r="140" spans="1:18" x14ac:dyDescent="0.35">
      <c r="A140" s="8"/>
      <c r="B140" s="8" t="s">
        <v>1126</v>
      </c>
      <c r="C140" s="8" t="s">
        <v>407</v>
      </c>
      <c r="D140" s="8" t="s">
        <v>408</v>
      </c>
      <c r="E140" s="8" t="s">
        <v>1377</v>
      </c>
      <c r="F140" s="8" t="s">
        <v>1377</v>
      </c>
      <c r="G140" s="8">
        <v>0</v>
      </c>
      <c r="H140" s="8">
        <v>2</v>
      </c>
      <c r="I140" s="8">
        <v>0</v>
      </c>
      <c r="J140" s="8" t="s">
        <v>1377</v>
      </c>
      <c r="K140" s="8" t="s">
        <v>27</v>
      </c>
      <c r="L140" s="8" t="s">
        <v>1377</v>
      </c>
      <c r="M140" s="15" t="s">
        <v>1377</v>
      </c>
      <c r="N140" s="31" t="s">
        <v>198</v>
      </c>
      <c r="O140" s="19"/>
      <c r="P140" s="8"/>
      <c r="R140" t="str">
        <f t="shared" si="3"/>
        <v>INSERT INTO TransformationEngine_Field (FieldName, FieldDescription, SourceFieldName, DetailField, Length, Required, OutputFieldName, AllowedChars) VALUES ('Totals', 'Page Number', 'OCRPageCurrent',0, 2, 0, '???', '0-9')</v>
      </c>
    </row>
    <row r="141" spans="1:18" x14ac:dyDescent="0.35">
      <c r="A141" s="8"/>
      <c r="B141" s="8" t="s">
        <v>1126</v>
      </c>
      <c r="C141" s="8" t="s">
        <v>409</v>
      </c>
      <c r="D141" s="8" t="s">
        <v>410</v>
      </c>
      <c r="E141" s="8" t="s">
        <v>1377</v>
      </c>
      <c r="F141" s="8" t="s">
        <v>1377</v>
      </c>
      <c r="G141" s="8">
        <v>0</v>
      </c>
      <c r="H141" s="8">
        <v>2</v>
      </c>
      <c r="I141" s="8">
        <v>0</v>
      </c>
      <c r="J141" s="8" t="s">
        <v>1377</v>
      </c>
      <c r="K141" s="8" t="s">
        <v>27</v>
      </c>
      <c r="L141" s="8" t="s">
        <v>1377</v>
      </c>
      <c r="M141" s="15" t="s">
        <v>1377</v>
      </c>
      <c r="N141" s="31" t="s">
        <v>198</v>
      </c>
      <c r="O141" s="19"/>
      <c r="P141" s="8"/>
      <c r="R141" t="str">
        <f t="shared" si="3"/>
        <v>INSERT INTO TransformationEngine_Field (FieldName, FieldDescription, SourceFieldName, DetailField, Length, Required, OutputFieldName, AllowedChars) VALUES ('Totals', 'Total Pages', 'OCRPageTotal',0, 2, 0, '???', '0-9')</v>
      </c>
    </row>
    <row r="142" spans="1:18" x14ac:dyDescent="0.35">
      <c r="A142" s="8"/>
      <c r="B142" s="8" t="s">
        <v>1126</v>
      </c>
      <c r="C142" s="8" t="s">
        <v>411</v>
      </c>
      <c r="D142" s="8" t="s">
        <v>412</v>
      </c>
      <c r="E142" s="8" t="s">
        <v>1377</v>
      </c>
      <c r="F142" s="8" t="s">
        <v>1377</v>
      </c>
      <c r="G142" s="8">
        <v>0</v>
      </c>
      <c r="H142" s="8">
        <v>10</v>
      </c>
      <c r="I142" s="8">
        <v>0</v>
      </c>
      <c r="J142" s="8" t="s">
        <v>1377</v>
      </c>
      <c r="K142" s="8" t="s">
        <v>27</v>
      </c>
      <c r="L142" s="8" t="s">
        <v>1377</v>
      </c>
      <c r="M142" s="15" t="s">
        <v>1377</v>
      </c>
      <c r="N142" s="31" t="s">
        <v>198</v>
      </c>
      <c r="O142" s="19" t="s">
        <v>1403</v>
      </c>
      <c r="P142" s="8"/>
      <c r="R142" t="str">
        <f t="shared" si="3"/>
        <v>INSERT INTO TransformationEngine_Field (FieldName, FieldDescription, SourceFieldName, DetailField, Length, Required, OutputFieldName, AllowedChars) VALUES ('Totals', 'Creation Date', 'OCRCreationDate',0, 10, 0, '???', '0-9')</v>
      </c>
    </row>
    <row r="143" spans="1:18" x14ac:dyDescent="0.35">
      <c r="A143" s="8"/>
      <c r="B143" s="8" t="s">
        <v>1126</v>
      </c>
      <c r="C143" s="8" t="s">
        <v>396</v>
      </c>
      <c r="D143" s="8" t="s">
        <v>413</v>
      </c>
      <c r="E143" s="8" t="s">
        <v>1377</v>
      </c>
      <c r="F143" s="8" t="s">
        <v>1377</v>
      </c>
      <c r="G143" s="8">
        <v>0</v>
      </c>
      <c r="H143" s="8">
        <v>13</v>
      </c>
      <c r="I143" s="8">
        <v>0</v>
      </c>
      <c r="J143" s="8" t="s">
        <v>1377</v>
      </c>
      <c r="K143" s="8" t="s">
        <v>27</v>
      </c>
      <c r="L143" s="8" t="s">
        <v>1377</v>
      </c>
      <c r="M143" s="15" t="s">
        <v>1377</v>
      </c>
      <c r="N143" s="31" t="s">
        <v>198</v>
      </c>
      <c r="O143" s="19"/>
      <c r="P143" s="8"/>
      <c r="R143" t="str">
        <f t="shared" si="3"/>
        <v>INSERT INTO TransformationEngine_Field (FieldName, FieldDescription, SourceFieldName, DetailField, Length, Required, OutputFieldName, AllowedChars) VALUES ('Totals', 'Total Charges', 'OCRTotalCharge',0, 13, 0, '???', '0-9')</v>
      </c>
    </row>
    <row r="144" spans="1:18" x14ac:dyDescent="0.35">
      <c r="A144" s="8"/>
      <c r="B144" s="8" t="s">
        <v>1126</v>
      </c>
      <c r="C144" s="8" t="s">
        <v>414</v>
      </c>
      <c r="D144" s="8" t="s">
        <v>415</v>
      </c>
      <c r="E144" s="8" t="s">
        <v>1377</v>
      </c>
      <c r="F144" s="8" t="s">
        <v>1377</v>
      </c>
      <c r="G144" s="8">
        <v>0</v>
      </c>
      <c r="H144" s="8">
        <v>13</v>
      </c>
      <c r="I144" s="8">
        <v>0</v>
      </c>
      <c r="J144" s="8" t="s">
        <v>1377</v>
      </c>
      <c r="K144" s="8" t="s">
        <v>27</v>
      </c>
      <c r="L144" s="8" t="s">
        <v>1377</v>
      </c>
      <c r="M144" s="15" t="s">
        <v>1377</v>
      </c>
      <c r="N144" s="31" t="s">
        <v>198</v>
      </c>
      <c r="O144" s="19"/>
      <c r="P144" s="8"/>
      <c r="R144" t="str">
        <f t="shared" si="3"/>
        <v>INSERT INTO TransformationEngine_Field (FieldName, FieldDescription, SourceFieldName, DetailField, Length, Required, OutputFieldName, AllowedChars) VALUES ('Totals', 'Total Non-Covered Charges', 'OCRNONCovTotalCharge',0, 13, 0, '???', '0-9')</v>
      </c>
    </row>
    <row r="145" spans="1:18" x14ac:dyDescent="0.35">
      <c r="A145" s="8"/>
      <c r="B145" s="8" t="s">
        <v>1126</v>
      </c>
      <c r="C145" s="8" t="s">
        <v>198</v>
      </c>
      <c r="D145" s="8" t="s">
        <v>416</v>
      </c>
      <c r="E145" s="8" t="s">
        <v>1377</v>
      </c>
      <c r="F145" s="8" t="s">
        <v>1377</v>
      </c>
      <c r="G145" s="8">
        <v>0</v>
      </c>
      <c r="H145" s="14">
        <v>13</v>
      </c>
      <c r="I145" s="8">
        <v>0</v>
      </c>
      <c r="J145" s="8" t="s">
        <v>1377</v>
      </c>
      <c r="K145" s="8" t="s">
        <v>27</v>
      </c>
      <c r="L145" s="8" t="s">
        <v>1377</v>
      </c>
      <c r="M145" s="15" t="s">
        <v>1377</v>
      </c>
      <c r="N145" s="17"/>
      <c r="O145" s="19"/>
      <c r="P145" s="8"/>
      <c r="Q145" t="s">
        <v>1406</v>
      </c>
      <c r="R145" t="str">
        <f t="shared" si="3"/>
        <v>INSERT INTO TransformationEngine_Field (FieldName, FieldDescription, SourceFieldName, DetailField, Length, Required, OutputFieldName, AllowedChars) VALUES ('Totals', '???', 'OCRNotUsedBlock4923',0, 13, 0, '', '0-9')</v>
      </c>
    </row>
    <row r="146" spans="1:18" ht="39" x14ac:dyDescent="0.35">
      <c r="A146" s="8"/>
      <c r="B146" s="8" t="s">
        <v>1511</v>
      </c>
      <c r="C146" s="8" t="s">
        <v>418</v>
      </c>
      <c r="D146" s="8" t="s">
        <v>419</v>
      </c>
      <c r="E146" s="8" t="s">
        <v>1377</v>
      </c>
      <c r="F146" s="8" t="s">
        <v>1377</v>
      </c>
      <c r="G146" s="8">
        <v>0</v>
      </c>
      <c r="H146" s="8">
        <v>30</v>
      </c>
      <c r="I146" s="8">
        <v>0</v>
      </c>
      <c r="J146" s="8" t="s">
        <v>1377</v>
      </c>
      <c r="K146" s="8" t="s">
        <v>1377</v>
      </c>
      <c r="L146" s="8" t="s">
        <v>1377</v>
      </c>
      <c r="M146" s="15" t="s">
        <v>1377</v>
      </c>
      <c r="N146" s="17" t="s">
        <v>1512</v>
      </c>
      <c r="O146" s="19"/>
      <c r="P146" s="8"/>
      <c r="R146" t="str">
        <f t="shared" si="3"/>
        <v>INSERT INTO TransformationEngine_Field (FieldName, FieldDescription, SourceFieldName, DetailField, Length, Required, OutputFieldName, AllowedChars) VALUES ('Output UB Box 50A', 'Payer Name A', 'OCRPayersA',0, 30, 0, 'CLM-INS-PLAN-NAME
CLM-COB-OTHER-PLAN-NAME
CLM-COB-OTHER-INS-IND', 'NULL')</v>
      </c>
    </row>
    <row r="147" spans="1:18" ht="39" x14ac:dyDescent="0.35">
      <c r="A147" s="8"/>
      <c r="B147" s="8" t="s">
        <v>1513</v>
      </c>
      <c r="C147" s="8" t="s">
        <v>422</v>
      </c>
      <c r="D147" s="8" t="s">
        <v>423</v>
      </c>
      <c r="E147" s="8" t="s">
        <v>1377</v>
      </c>
      <c r="F147" s="8" t="s">
        <v>1377</v>
      </c>
      <c r="G147" s="8">
        <v>0</v>
      </c>
      <c r="H147" s="8">
        <v>30</v>
      </c>
      <c r="I147" s="8">
        <v>0</v>
      </c>
      <c r="J147" s="8" t="s">
        <v>1377</v>
      </c>
      <c r="K147" s="8" t="s">
        <v>1377</v>
      </c>
      <c r="L147" s="8" t="s">
        <v>1377</v>
      </c>
      <c r="M147" s="15" t="s">
        <v>1377</v>
      </c>
      <c r="N147" s="17" t="s">
        <v>1512</v>
      </c>
      <c r="O147" s="19"/>
      <c r="P147" s="8"/>
      <c r="R147" t="str">
        <f t="shared" si="3"/>
        <v>INSERT INTO TransformationEngine_Field (FieldName, FieldDescription, SourceFieldName, DetailField, Length, Required, OutputFieldName, AllowedChars) VALUES ('Output UB Box 50B', 'Payer Name B', 'OCRPayersB',0, 30, 0, 'CLM-INS-PLAN-NAME
CLM-COB-OTHER-PLAN-NAME
CLM-COB-OTHER-INS-IND', 'NULL')</v>
      </c>
    </row>
    <row r="148" spans="1:18" ht="39" x14ac:dyDescent="0.35">
      <c r="A148" s="8"/>
      <c r="B148" s="8" t="s">
        <v>1514</v>
      </c>
      <c r="C148" s="8" t="s">
        <v>425</v>
      </c>
      <c r="D148" s="8" t="s">
        <v>426</v>
      </c>
      <c r="E148" s="8" t="s">
        <v>1377</v>
      </c>
      <c r="F148" s="8" t="s">
        <v>1377</v>
      </c>
      <c r="G148" s="8">
        <v>0</v>
      </c>
      <c r="H148" s="8">
        <v>30</v>
      </c>
      <c r="I148" s="8">
        <v>0</v>
      </c>
      <c r="J148" s="8" t="s">
        <v>1377</v>
      </c>
      <c r="K148" s="8" t="s">
        <v>1377</v>
      </c>
      <c r="L148" s="8" t="s">
        <v>1377</v>
      </c>
      <c r="M148" s="15" t="s">
        <v>1377</v>
      </c>
      <c r="N148" s="17" t="s">
        <v>1512</v>
      </c>
      <c r="O148" s="19"/>
      <c r="P148" s="8"/>
      <c r="R148" t="str">
        <f t="shared" si="3"/>
        <v>INSERT INTO TransformationEngine_Field (FieldName, FieldDescription, SourceFieldName, DetailField, Length, Required, OutputFieldName, AllowedChars) VALUES ('Output UB Box 50C', 'Payer Name C', 'OCRPayersC',0, 30, 0, 'CLM-INS-PLAN-NAME
CLM-COB-OTHER-PLAN-NAME
CLM-COB-OTHER-INS-IND', 'NULL')</v>
      </c>
    </row>
    <row r="149" spans="1:18" x14ac:dyDescent="0.35">
      <c r="A149" s="8"/>
      <c r="B149" s="8" t="s">
        <v>1515</v>
      </c>
      <c r="C149" s="8" t="s">
        <v>433</v>
      </c>
      <c r="D149" s="8" t="s">
        <v>434</v>
      </c>
      <c r="E149" s="8" t="s">
        <v>1377</v>
      </c>
      <c r="F149" s="8" t="s">
        <v>1377</v>
      </c>
      <c r="G149" s="8">
        <v>0</v>
      </c>
      <c r="H149" s="8">
        <v>15</v>
      </c>
      <c r="I149" s="8">
        <v>0</v>
      </c>
      <c r="J149" s="8" t="s">
        <v>1377</v>
      </c>
      <c r="K149" s="8" t="s">
        <v>71</v>
      </c>
      <c r="L149" s="8" t="s">
        <v>1377</v>
      </c>
      <c r="M149" s="15" t="s">
        <v>1377</v>
      </c>
      <c r="N149" s="17" t="s">
        <v>1516</v>
      </c>
      <c r="O149" s="19"/>
      <c r="P149" s="8"/>
      <c r="R149" t="str">
        <f t="shared" si="3"/>
        <v>INSERT INTO TransformationEngine_Field (FieldName, FieldDescription, SourceFieldName, DetailField, Length, Required, OutputFieldName, AllowedChars) VALUES ('Output UB Box 51A', 'Health Plan ID A', 'OCRProviderNosA',0, 15, 0, 'CLM-SERV-PROV-UPIN', 'A-Z,0-9')</v>
      </c>
    </row>
    <row r="150" spans="1:18" x14ac:dyDescent="0.35">
      <c r="A150" s="8"/>
      <c r="B150" s="8" t="s">
        <v>1517</v>
      </c>
      <c r="C150" s="8" t="s">
        <v>436</v>
      </c>
      <c r="D150" s="8" t="s">
        <v>434</v>
      </c>
      <c r="E150" s="8" t="s">
        <v>1377</v>
      </c>
      <c r="F150" s="8" t="s">
        <v>1377</v>
      </c>
      <c r="G150" s="8">
        <v>0</v>
      </c>
      <c r="H150" s="8">
        <v>15</v>
      </c>
      <c r="I150" s="8">
        <v>0</v>
      </c>
      <c r="J150" s="8" t="s">
        <v>1377</v>
      </c>
      <c r="K150" s="8" t="s">
        <v>71</v>
      </c>
      <c r="L150" s="8" t="s">
        <v>1377</v>
      </c>
      <c r="M150" s="15" t="s">
        <v>1377</v>
      </c>
      <c r="N150" s="17" t="s">
        <v>1516</v>
      </c>
      <c r="O150" s="19"/>
      <c r="P150" s="8"/>
      <c r="R150" t="str">
        <f t="shared" si="3"/>
        <v>INSERT INTO TransformationEngine_Field (FieldName, FieldDescription, SourceFieldName, DetailField, Length, Required, OutputFieldName, AllowedChars) VALUES ('Output UB Box 51B', 'Health Plan ID B', 'OCRProviderNosA',0, 15, 0, 'CLM-SERV-PROV-UPIN', 'A-Z,0-9')</v>
      </c>
    </row>
    <row r="151" spans="1:18" x14ac:dyDescent="0.35">
      <c r="A151" s="8"/>
      <c r="B151" s="8" t="s">
        <v>1518</v>
      </c>
      <c r="C151" s="8" t="s">
        <v>436</v>
      </c>
      <c r="D151" s="8" t="s">
        <v>434</v>
      </c>
      <c r="E151" s="8" t="s">
        <v>1377</v>
      </c>
      <c r="F151" s="8" t="s">
        <v>1377</v>
      </c>
      <c r="G151" s="8">
        <v>0</v>
      </c>
      <c r="H151" s="8">
        <v>15</v>
      </c>
      <c r="I151" s="8">
        <v>0</v>
      </c>
      <c r="J151" s="8" t="s">
        <v>1377</v>
      </c>
      <c r="K151" s="8" t="s">
        <v>71</v>
      </c>
      <c r="L151" s="8" t="s">
        <v>1377</v>
      </c>
      <c r="M151" s="15" t="s">
        <v>1377</v>
      </c>
      <c r="N151" s="17" t="s">
        <v>1516</v>
      </c>
      <c r="O151" s="19"/>
      <c r="P151" s="8"/>
      <c r="R151" t="str">
        <f t="shared" si="3"/>
        <v>INSERT INTO TransformationEngine_Field (FieldName, FieldDescription, SourceFieldName, DetailField, Length, Required, OutputFieldName, AllowedChars) VALUES ('Output UB Box 51C', 'Health Plan ID B', 'OCRProviderNosA',0, 15, 0, 'CLM-SERV-PROV-UPIN', 'A-Z,0-9')</v>
      </c>
    </row>
    <row r="152" spans="1:18" x14ac:dyDescent="0.35">
      <c r="A152" s="8"/>
      <c r="B152" s="8" t="s">
        <v>1519</v>
      </c>
      <c r="C152" s="8" t="s">
        <v>442</v>
      </c>
      <c r="D152" s="8" t="s">
        <v>443</v>
      </c>
      <c r="E152" s="8" t="s">
        <v>1377</v>
      </c>
      <c r="F152" s="8" t="s">
        <v>1377</v>
      </c>
      <c r="G152" s="8">
        <v>0</v>
      </c>
      <c r="H152" s="8">
        <v>1</v>
      </c>
      <c r="I152" s="8">
        <v>0</v>
      </c>
      <c r="J152" s="8" t="s">
        <v>1377</v>
      </c>
      <c r="K152" s="8" t="s">
        <v>1520</v>
      </c>
      <c r="L152" s="8" t="s">
        <v>1377</v>
      </c>
      <c r="M152" s="15" t="s">
        <v>1377</v>
      </c>
      <c r="N152" s="17" t="s">
        <v>1521</v>
      </c>
      <c r="O152" s="19"/>
      <c r="P152" s="8"/>
      <c r="R152" t="str">
        <f t="shared" si="3"/>
        <v>INSERT INTO TransformationEngine_Field (FieldName, FieldDescription, SourceFieldName, DetailField, Length, Required, OutputFieldName, AllowedChars) VALUES ('Output UB Box 52A', 'Release Info A', 'OCRRelInfoIndsA',0, 1, 0, 'CLM-RELEASE-OF-INFO-IND', 'Y, ,N')</v>
      </c>
    </row>
    <row r="153" spans="1:18" x14ac:dyDescent="0.35">
      <c r="A153" s="8"/>
      <c r="B153" s="8" t="s">
        <v>1522</v>
      </c>
      <c r="C153" s="8" t="s">
        <v>445</v>
      </c>
      <c r="D153" s="8" t="s">
        <v>446</v>
      </c>
      <c r="E153" s="8" t="s">
        <v>1377</v>
      </c>
      <c r="F153" s="8" t="s">
        <v>1377</v>
      </c>
      <c r="G153" s="8">
        <v>0</v>
      </c>
      <c r="H153" s="8">
        <v>1</v>
      </c>
      <c r="I153" s="8">
        <v>0</v>
      </c>
      <c r="J153" s="8" t="s">
        <v>1377</v>
      </c>
      <c r="K153" s="8" t="s">
        <v>1520</v>
      </c>
      <c r="L153" s="8" t="s">
        <v>1377</v>
      </c>
      <c r="M153" s="15" t="s">
        <v>1377</v>
      </c>
      <c r="N153" s="17" t="s">
        <v>1521</v>
      </c>
      <c r="O153" s="19"/>
      <c r="P153" s="8"/>
      <c r="R153" t="str">
        <f t="shared" si="3"/>
        <v>INSERT INTO TransformationEngine_Field (FieldName, FieldDescription, SourceFieldName, DetailField, Length, Required, OutputFieldName, AllowedChars) VALUES ('Output UB Box 52B', 'Release Info B', 'OCRRelInfoIndsB',0, 1, 0, 'CLM-RELEASE-OF-INFO-IND', 'Y, ,N')</v>
      </c>
    </row>
    <row r="154" spans="1:18" x14ac:dyDescent="0.35">
      <c r="A154" s="8"/>
      <c r="B154" s="8" t="s">
        <v>1523</v>
      </c>
      <c r="C154" s="8" t="s">
        <v>448</v>
      </c>
      <c r="D154" s="8" t="s">
        <v>449</v>
      </c>
      <c r="E154" s="8" t="s">
        <v>1377</v>
      </c>
      <c r="F154" s="8" t="s">
        <v>1377</v>
      </c>
      <c r="G154" s="8">
        <v>0</v>
      </c>
      <c r="H154" s="8">
        <v>1</v>
      </c>
      <c r="I154" s="8">
        <v>0</v>
      </c>
      <c r="J154" s="8" t="s">
        <v>1377</v>
      </c>
      <c r="K154" s="8" t="s">
        <v>1520</v>
      </c>
      <c r="L154" s="8" t="s">
        <v>1377</v>
      </c>
      <c r="M154" s="15" t="s">
        <v>1377</v>
      </c>
      <c r="N154" s="17" t="s">
        <v>1521</v>
      </c>
      <c r="O154" s="19"/>
      <c r="P154" s="8"/>
      <c r="R154" t="str">
        <f t="shared" si="3"/>
        <v>INSERT INTO TransformationEngine_Field (FieldName, FieldDescription, SourceFieldName, DetailField, Length, Required, OutputFieldName, AllowedChars) VALUES ('Output UB Box 52C', 'Release Info C', 'OCRRelInfoIndsC',0, 1, 0, 'CLM-RELEASE-OF-INFO-IND', 'Y, ,N')</v>
      </c>
    </row>
    <row r="155" spans="1:18" x14ac:dyDescent="0.35">
      <c r="A155" s="8"/>
      <c r="B155" s="8" t="s">
        <v>1524</v>
      </c>
      <c r="C155" s="8" t="s">
        <v>451</v>
      </c>
      <c r="D155" s="8" t="s">
        <v>452</v>
      </c>
      <c r="E155" s="8" t="s">
        <v>1377</v>
      </c>
      <c r="F155" s="8" t="s">
        <v>1377</v>
      </c>
      <c r="G155" s="8">
        <v>0</v>
      </c>
      <c r="H155" s="8">
        <v>1</v>
      </c>
      <c r="I155" s="8">
        <v>0</v>
      </c>
      <c r="J155" s="8" t="s">
        <v>1377</v>
      </c>
      <c r="K155" s="8" t="s">
        <v>1520</v>
      </c>
      <c r="L155" s="8" t="s">
        <v>1377</v>
      </c>
      <c r="M155" s="15" t="s">
        <v>1377</v>
      </c>
      <c r="N155" s="17" t="s">
        <v>1525</v>
      </c>
      <c r="O155" s="19"/>
      <c r="P155" s="8"/>
      <c r="R155" t="str">
        <f t="shared" si="3"/>
        <v>INSERT INTO TransformationEngine_Field (FieldName, FieldDescription, SourceFieldName, DetailField, Length, Required, OutputFieldName, AllowedChars) VALUES ('Output UB Box 53A', 'Assignment of Benefits A', 'OCRBenAssignIndsA',0, 1, 0, 'CLM-PROVIDER-ASSIGNMENT-CODE', 'Y, ,N')</v>
      </c>
    </row>
    <row r="156" spans="1:18" x14ac:dyDescent="0.35">
      <c r="A156" s="8"/>
      <c r="B156" s="8" t="s">
        <v>1526</v>
      </c>
      <c r="C156" s="8" t="s">
        <v>454</v>
      </c>
      <c r="D156" s="8" t="s">
        <v>455</v>
      </c>
      <c r="E156" s="8" t="s">
        <v>1377</v>
      </c>
      <c r="F156" s="8" t="s">
        <v>1377</v>
      </c>
      <c r="G156" s="8">
        <v>0</v>
      </c>
      <c r="H156" s="8">
        <v>1</v>
      </c>
      <c r="I156" s="8">
        <v>0</v>
      </c>
      <c r="J156" s="8" t="s">
        <v>1377</v>
      </c>
      <c r="K156" s="8" t="s">
        <v>1520</v>
      </c>
      <c r="L156" s="8" t="s">
        <v>1377</v>
      </c>
      <c r="M156" s="15" t="s">
        <v>1377</v>
      </c>
      <c r="N156" s="17" t="s">
        <v>1525</v>
      </c>
      <c r="O156" s="19"/>
      <c r="P156" s="8"/>
      <c r="R156" t="str">
        <f t="shared" si="3"/>
        <v>INSERT INTO TransformationEngine_Field (FieldName, FieldDescription, SourceFieldName, DetailField, Length, Required, OutputFieldName, AllowedChars) VALUES ('Output UB Box 53B', 'Assignment of Benefits B', 'OCRBenAssignIndsB',0, 1, 0, 'CLM-PROVIDER-ASSIGNMENT-CODE', 'Y, ,N')</v>
      </c>
    </row>
    <row r="157" spans="1:18" x14ac:dyDescent="0.35">
      <c r="A157" s="8"/>
      <c r="B157" s="8" t="s">
        <v>1527</v>
      </c>
      <c r="C157" s="8" t="s">
        <v>457</v>
      </c>
      <c r="D157" s="8" t="s">
        <v>458</v>
      </c>
      <c r="E157" s="8" t="s">
        <v>1377</v>
      </c>
      <c r="F157" s="8" t="s">
        <v>1377</v>
      </c>
      <c r="G157" s="8">
        <v>0</v>
      </c>
      <c r="H157" s="8">
        <v>1</v>
      </c>
      <c r="I157" s="8">
        <v>0</v>
      </c>
      <c r="J157" s="8" t="s">
        <v>1377</v>
      </c>
      <c r="K157" s="8" t="s">
        <v>1520</v>
      </c>
      <c r="L157" s="8" t="s">
        <v>1377</v>
      </c>
      <c r="M157" s="15" t="s">
        <v>1377</v>
      </c>
      <c r="N157" s="17" t="s">
        <v>1525</v>
      </c>
      <c r="O157" s="19"/>
      <c r="P157" s="8"/>
      <c r="R157" t="str">
        <f t="shared" si="3"/>
        <v>INSERT INTO TransformationEngine_Field (FieldName, FieldDescription, SourceFieldName, DetailField, Length, Required, OutputFieldName, AllowedChars) VALUES ('Output UB Box 53C', 'Assignment of Benefits C', 'OCRBenAssignIndsC',0, 1, 0, 'CLM-PROVIDER-ASSIGNMENT-CODE', 'Y, ,N')</v>
      </c>
    </row>
    <row r="158" spans="1:18" x14ac:dyDescent="0.35">
      <c r="A158" s="8"/>
      <c r="B158" s="8" t="s">
        <v>1528</v>
      </c>
      <c r="C158" s="8" t="s">
        <v>460</v>
      </c>
      <c r="D158" s="8" t="s">
        <v>461</v>
      </c>
      <c r="E158" s="8" t="s">
        <v>1377</v>
      </c>
      <c r="F158" s="8" t="s">
        <v>1377</v>
      </c>
      <c r="G158" s="8">
        <v>0</v>
      </c>
      <c r="H158" s="14">
        <v>13</v>
      </c>
      <c r="I158" s="8">
        <v>0</v>
      </c>
      <c r="J158" s="8" t="s">
        <v>1377</v>
      </c>
      <c r="K158" s="8" t="s">
        <v>27</v>
      </c>
      <c r="L158" s="8" t="s">
        <v>1377</v>
      </c>
      <c r="M158" s="15" t="s">
        <v>1377</v>
      </c>
      <c r="N158" s="17" t="s">
        <v>1529</v>
      </c>
      <c r="O158" s="19"/>
      <c r="P158" s="8"/>
      <c r="R158" t="str">
        <f t="shared" si="3"/>
        <v>INSERT INTO TransformationEngine_Field (FieldName, FieldDescription, SourceFieldName, DetailField, Length, Required, OutputFieldName, AllowedChars) VALUES ('Output UB Box 54A', 'Prior Payments A', 'OCRPriorPaymentsA',0, 13, 0, 'CLM-COB-OTHER-INSURED-AMT', '0-9')</v>
      </c>
    </row>
    <row r="159" spans="1:18" x14ac:dyDescent="0.35">
      <c r="A159" s="8"/>
      <c r="B159" s="8" t="s">
        <v>1530</v>
      </c>
      <c r="C159" s="8" t="s">
        <v>463</v>
      </c>
      <c r="D159" s="8" t="s">
        <v>464</v>
      </c>
      <c r="E159" s="8" t="s">
        <v>1377</v>
      </c>
      <c r="F159" s="8" t="s">
        <v>1377</v>
      </c>
      <c r="G159" s="8">
        <v>0</v>
      </c>
      <c r="H159" s="14">
        <v>13</v>
      </c>
      <c r="I159" s="8">
        <v>0</v>
      </c>
      <c r="J159" s="8" t="s">
        <v>1377</v>
      </c>
      <c r="K159" s="8" t="s">
        <v>27</v>
      </c>
      <c r="L159" s="8" t="s">
        <v>1377</v>
      </c>
      <c r="M159" s="15" t="s">
        <v>1377</v>
      </c>
      <c r="N159" s="17" t="s">
        <v>1529</v>
      </c>
      <c r="O159" s="19"/>
      <c r="P159" s="8"/>
      <c r="R159" t="str">
        <f t="shared" si="3"/>
        <v>INSERT INTO TransformationEngine_Field (FieldName, FieldDescription, SourceFieldName, DetailField, Length, Required, OutputFieldName, AllowedChars) VALUES ('Output UB Box 54B', 'Prior Payments B', 'OCRPriorPaymentsB',0, 13, 0, 'CLM-COB-OTHER-INSURED-AMT', '0-9')</v>
      </c>
    </row>
    <row r="160" spans="1:18" x14ac:dyDescent="0.35">
      <c r="A160" s="8"/>
      <c r="B160" s="8" t="s">
        <v>1531</v>
      </c>
      <c r="C160" s="8" t="s">
        <v>466</v>
      </c>
      <c r="D160" s="8" t="s">
        <v>467</v>
      </c>
      <c r="E160" s="8" t="s">
        <v>1377</v>
      </c>
      <c r="F160" s="8" t="s">
        <v>1377</v>
      </c>
      <c r="G160" s="8">
        <v>0</v>
      </c>
      <c r="H160" s="14">
        <v>13</v>
      </c>
      <c r="I160" s="8">
        <v>0</v>
      </c>
      <c r="J160" s="8" t="s">
        <v>1377</v>
      </c>
      <c r="K160" s="8" t="s">
        <v>27</v>
      </c>
      <c r="L160" s="8" t="s">
        <v>1377</v>
      </c>
      <c r="M160" s="15" t="s">
        <v>1377</v>
      </c>
      <c r="N160" s="17" t="s">
        <v>1529</v>
      </c>
      <c r="O160" s="19"/>
      <c r="P160" s="8"/>
      <c r="R160" t="str">
        <f t="shared" si="3"/>
        <v>INSERT INTO TransformationEngine_Field (FieldName, FieldDescription, SourceFieldName, DetailField, Length, Required, OutputFieldName, AllowedChars) VALUES ('Output UB Box 54C', 'Prior Payments C', 'OCRPriorPaymentsC',0, 13, 0, 'CLM-COB-OTHER-INSURED-AMT', '0-9')</v>
      </c>
    </row>
    <row r="161" spans="1:18" ht="26" x14ac:dyDescent="0.35">
      <c r="A161" s="8"/>
      <c r="B161" s="8" t="s">
        <v>1532</v>
      </c>
      <c r="C161" s="8" t="s">
        <v>469</v>
      </c>
      <c r="D161" s="8" t="s">
        <v>470</v>
      </c>
      <c r="E161" s="8" t="s">
        <v>1377</v>
      </c>
      <c r="F161" s="8" t="s">
        <v>1377</v>
      </c>
      <c r="G161" s="8">
        <v>0</v>
      </c>
      <c r="H161" s="14">
        <v>13</v>
      </c>
      <c r="I161" s="8">
        <v>0</v>
      </c>
      <c r="J161" s="8" t="s">
        <v>1377</v>
      </c>
      <c r="K161" s="8" t="s">
        <v>27</v>
      </c>
      <c r="L161" s="8" t="s">
        <v>1377</v>
      </c>
      <c r="M161" s="15" t="s">
        <v>1377</v>
      </c>
      <c r="N161" s="17" t="s">
        <v>1533</v>
      </c>
      <c r="O161" s="19"/>
      <c r="P161" s="8"/>
      <c r="R161" t="str">
        <f t="shared" si="3"/>
        <v>INSERT INTO TransformationEngine_Field (FieldName, FieldDescription, SourceFieldName, DetailField, Length, Required, OutputFieldName, AllowedChars) VALUES ('Output UB Box 55A', 'Estimated Amounts Due A', 'OCREstAmtsDueA',0, 13, 0, 'CLM-HOSP-EST-AMT-DUE
CLM-HOSP-MDCR-PART-A-DED', '0-9')</v>
      </c>
    </row>
    <row r="162" spans="1:18" ht="26" x14ac:dyDescent="0.35">
      <c r="A162" s="8"/>
      <c r="B162" s="8" t="s">
        <v>1534</v>
      </c>
      <c r="C162" s="8" t="s">
        <v>472</v>
      </c>
      <c r="D162" s="8" t="s">
        <v>473</v>
      </c>
      <c r="E162" s="8" t="s">
        <v>1377</v>
      </c>
      <c r="F162" s="8" t="s">
        <v>1377</v>
      </c>
      <c r="G162" s="8">
        <v>0</v>
      </c>
      <c r="H162" s="14">
        <v>13</v>
      </c>
      <c r="I162" s="8">
        <v>0</v>
      </c>
      <c r="J162" s="8" t="s">
        <v>1377</v>
      </c>
      <c r="K162" s="8" t="s">
        <v>27</v>
      </c>
      <c r="L162" s="8" t="s">
        <v>1377</v>
      </c>
      <c r="M162" s="15" t="s">
        <v>1377</v>
      </c>
      <c r="N162" s="17" t="s">
        <v>1533</v>
      </c>
      <c r="O162" s="19"/>
      <c r="P162" s="8"/>
      <c r="R162" t="str">
        <f t="shared" si="3"/>
        <v>INSERT INTO TransformationEngine_Field (FieldName, FieldDescription, SourceFieldName, DetailField, Length, Required, OutputFieldName, AllowedChars) VALUES ('Output UB Box 55B', 'Estimated Amounts Due B', 'OCREstAmtsDueB',0, 13, 0, 'CLM-HOSP-EST-AMT-DUE
CLM-HOSP-MDCR-PART-A-DED', '0-9')</v>
      </c>
    </row>
    <row r="163" spans="1:18" ht="26" x14ac:dyDescent="0.35">
      <c r="A163" s="8"/>
      <c r="B163" s="8" t="s">
        <v>1535</v>
      </c>
      <c r="C163" s="8" t="s">
        <v>475</v>
      </c>
      <c r="D163" s="8" t="s">
        <v>476</v>
      </c>
      <c r="E163" s="8" t="s">
        <v>1377</v>
      </c>
      <c r="F163" s="8" t="s">
        <v>1377</v>
      </c>
      <c r="G163" s="8">
        <v>0</v>
      </c>
      <c r="H163" s="14">
        <v>13</v>
      </c>
      <c r="I163" s="8">
        <v>0</v>
      </c>
      <c r="J163" s="8" t="s">
        <v>1377</v>
      </c>
      <c r="K163" s="8" t="s">
        <v>27</v>
      </c>
      <c r="L163" s="8" t="s">
        <v>1377</v>
      </c>
      <c r="M163" s="15" t="s">
        <v>1377</v>
      </c>
      <c r="N163" s="17" t="s">
        <v>1533</v>
      </c>
      <c r="O163" s="19"/>
      <c r="P163" s="8"/>
      <c r="R163" t="str">
        <f t="shared" si="3"/>
        <v>INSERT INTO TransformationEngine_Field (FieldName, FieldDescription, SourceFieldName, DetailField, Length, Required, OutputFieldName, AllowedChars) VALUES ('Output UB Box 55C', 'Estimated Amounts Due C', 'OCREstAmtsDueC',0, 13, 0, 'CLM-HOSP-EST-AMT-DUE
CLM-HOSP-MDCR-PART-A-DED', '0-9')</v>
      </c>
    </row>
    <row r="164" spans="1:18" x14ac:dyDescent="0.35">
      <c r="A164" s="8"/>
      <c r="B164" s="8" t="s">
        <v>1536</v>
      </c>
      <c r="C164" s="8" t="s">
        <v>478</v>
      </c>
      <c r="D164" s="8" t="s">
        <v>479</v>
      </c>
      <c r="E164" s="8" t="s">
        <v>1377</v>
      </c>
      <c r="F164" s="8" t="s">
        <v>1377</v>
      </c>
      <c r="G164" s="8">
        <v>0</v>
      </c>
      <c r="H164" s="14">
        <v>10</v>
      </c>
      <c r="I164" s="8">
        <v>0</v>
      </c>
      <c r="J164" s="8" t="s">
        <v>1377</v>
      </c>
      <c r="K164" s="8" t="s">
        <v>27</v>
      </c>
      <c r="L164" s="8" t="s">
        <v>1377</v>
      </c>
      <c r="M164" s="15" t="s">
        <v>1377</v>
      </c>
      <c r="N164" s="17" t="s">
        <v>1537</v>
      </c>
      <c r="O164" s="19"/>
      <c r="P164" s="8"/>
      <c r="R164" t="str">
        <f t="shared" si="3"/>
        <v>INSERT INTO TransformationEngine_Field (FieldName, FieldDescription, SourceFieldName, DetailField, Length, Required, OutputFieldName, AllowedChars) VALUES ('Output UB Box 56', 'NPI', 'OCRNPI',0, 10, 0, 'CLM-BILL-PROV-NATIONAL-ID', '0-9')</v>
      </c>
    </row>
    <row r="165" spans="1:18" x14ac:dyDescent="0.35">
      <c r="A165" s="8"/>
      <c r="B165" s="8" t="s">
        <v>1538</v>
      </c>
      <c r="C165" s="8" t="s">
        <v>481</v>
      </c>
      <c r="D165" s="8" t="s">
        <v>482</v>
      </c>
      <c r="E165" s="8" t="s">
        <v>1377</v>
      </c>
      <c r="F165" s="8" t="s">
        <v>1377</v>
      </c>
      <c r="G165" s="8">
        <v>0</v>
      </c>
      <c r="H165" s="8">
        <v>15</v>
      </c>
      <c r="I165" s="8">
        <v>0</v>
      </c>
      <c r="J165" s="8" t="s">
        <v>1377</v>
      </c>
      <c r="K165" s="8" t="s">
        <v>71</v>
      </c>
      <c r="L165" s="8" t="s">
        <v>1377</v>
      </c>
      <c r="M165" s="15" t="s">
        <v>1377</v>
      </c>
      <c r="N165" s="17" t="s">
        <v>1539</v>
      </c>
      <c r="O165" s="19"/>
      <c r="P165" s="8"/>
      <c r="R165" t="str">
        <f t="shared" si="3"/>
        <v>INSERT INTO TransformationEngine_Field (FieldName, FieldDescription, SourceFieldName, DetailField, Length, Required, OutputFieldName, AllowedChars) VALUES ('Output UB Box 57A', 'Other Provider ID A', 'OCROtherProvIDA',0, 15, 0, 'CLM-BILL-PROV-PIN', 'A-Z,0-9')</v>
      </c>
    </row>
    <row r="166" spans="1:18" x14ac:dyDescent="0.35">
      <c r="A166" s="8"/>
      <c r="B166" s="8" t="s">
        <v>1540</v>
      </c>
      <c r="C166" s="8" t="s">
        <v>484</v>
      </c>
      <c r="D166" s="8" t="s">
        <v>482</v>
      </c>
      <c r="E166" s="8" t="s">
        <v>1377</v>
      </c>
      <c r="F166" s="8" t="s">
        <v>1377</v>
      </c>
      <c r="G166" s="8">
        <v>0</v>
      </c>
      <c r="H166" s="8">
        <v>15</v>
      </c>
      <c r="I166" s="8">
        <v>0</v>
      </c>
      <c r="J166" s="8" t="s">
        <v>1377</v>
      </c>
      <c r="K166" s="8" t="s">
        <v>71</v>
      </c>
      <c r="L166" s="8" t="s">
        <v>1377</v>
      </c>
      <c r="M166" s="15" t="s">
        <v>1377</v>
      </c>
      <c r="N166" s="17" t="s">
        <v>1539</v>
      </c>
      <c r="O166" s="19"/>
      <c r="P166" s="8"/>
      <c r="R166" t="str">
        <f t="shared" si="3"/>
        <v>INSERT INTO TransformationEngine_Field (FieldName, FieldDescription, SourceFieldName, DetailField, Length, Required, OutputFieldName, AllowedChars) VALUES ('Output UB Box 57B', 'Other Provider ID B', 'OCROtherProvIDA',0, 15, 0, 'CLM-BILL-PROV-PIN', 'A-Z,0-9')</v>
      </c>
    </row>
    <row r="167" spans="1:18" x14ac:dyDescent="0.35">
      <c r="A167" s="8"/>
      <c r="B167" s="8" t="s">
        <v>1541</v>
      </c>
      <c r="C167" s="8" t="s">
        <v>487</v>
      </c>
      <c r="D167" s="8" t="s">
        <v>482</v>
      </c>
      <c r="E167" s="8" t="s">
        <v>1377</v>
      </c>
      <c r="F167" s="8" t="s">
        <v>1377</v>
      </c>
      <c r="G167" s="8">
        <v>0</v>
      </c>
      <c r="H167" s="8">
        <v>15</v>
      </c>
      <c r="I167" s="8">
        <v>0</v>
      </c>
      <c r="J167" s="8" t="s">
        <v>1377</v>
      </c>
      <c r="K167" s="8" t="s">
        <v>71</v>
      </c>
      <c r="L167" s="8" t="s">
        <v>1377</v>
      </c>
      <c r="M167" s="15" t="s">
        <v>1377</v>
      </c>
      <c r="N167" s="17" t="s">
        <v>1539</v>
      </c>
      <c r="O167" s="19"/>
      <c r="P167" s="8"/>
      <c r="R167" t="str">
        <f t="shared" si="3"/>
        <v>INSERT INTO TransformationEngine_Field (FieldName, FieldDescription, SourceFieldName, DetailField, Length, Required, OutputFieldName, AllowedChars) VALUES ('Output UB Box 57C', 'Other Provider ID C', 'OCROtherProvIDA',0, 15, 0, 'CLM-BILL-PROV-PIN', 'A-Z,0-9')</v>
      </c>
    </row>
    <row r="168" spans="1:18" ht="26" x14ac:dyDescent="0.35">
      <c r="A168" s="8"/>
      <c r="B168" s="8" t="s">
        <v>1542</v>
      </c>
      <c r="C168" s="8" t="s">
        <v>490</v>
      </c>
      <c r="D168" s="8" t="s">
        <v>491</v>
      </c>
      <c r="E168" s="8" t="s">
        <v>1377</v>
      </c>
      <c r="F168" s="8" t="s">
        <v>1377</v>
      </c>
      <c r="G168" s="8">
        <v>0</v>
      </c>
      <c r="H168" s="8">
        <v>55</v>
      </c>
      <c r="I168" s="8">
        <v>0</v>
      </c>
      <c r="J168" s="8" t="s">
        <v>1377</v>
      </c>
      <c r="K168" s="8" t="s">
        <v>107</v>
      </c>
      <c r="L168" s="8" t="s">
        <v>1377</v>
      </c>
      <c r="M168" s="15" t="s">
        <v>1377</v>
      </c>
      <c r="N168" s="17" t="s">
        <v>1543</v>
      </c>
      <c r="O168" s="19"/>
      <c r="P168" s="8"/>
      <c r="R168" t="str">
        <f t="shared" si="3"/>
        <v>INSERT INTO TransformationEngine_Field (FieldName, FieldDescription, SourceFieldName, DetailField, Length, Required, OutputFieldName, AllowedChars) VALUES ('Output UB Box 58A', 'Insured Name A', 'OCRInsNamesA',0, 55, 0, 'CLM-SUBS-NAME-LAST
CLM- SUBS-NAME-FIRST', 'A-Z')</v>
      </c>
    </row>
    <row r="169" spans="1:18" ht="26" x14ac:dyDescent="0.35">
      <c r="A169" s="8"/>
      <c r="B169" s="8" t="s">
        <v>1544</v>
      </c>
      <c r="C169" s="8" t="s">
        <v>495</v>
      </c>
      <c r="D169" s="8" t="s">
        <v>496</v>
      </c>
      <c r="E169" s="8" t="s">
        <v>1377</v>
      </c>
      <c r="F169" s="8" t="s">
        <v>1377</v>
      </c>
      <c r="G169" s="8">
        <v>0</v>
      </c>
      <c r="H169" s="8">
        <v>55</v>
      </c>
      <c r="I169" s="8">
        <v>0</v>
      </c>
      <c r="J169" s="8" t="s">
        <v>1377</v>
      </c>
      <c r="K169" s="8" t="s">
        <v>107</v>
      </c>
      <c r="L169" s="8" t="s">
        <v>1377</v>
      </c>
      <c r="M169" s="15" t="s">
        <v>1377</v>
      </c>
      <c r="N169" s="17" t="s">
        <v>1543</v>
      </c>
      <c r="O169" s="19"/>
      <c r="P169" s="8"/>
      <c r="R169" t="str">
        <f t="shared" si="3"/>
        <v>INSERT INTO TransformationEngine_Field (FieldName, FieldDescription, SourceFieldName, DetailField, Length, Required, OutputFieldName, AllowedChars) VALUES ('Output UB Box 58B', 'Insured Name B', 'OCRInsNamesB',0, 55, 0, 'CLM-SUBS-NAME-LAST
CLM- SUBS-NAME-FIRST', 'A-Z')</v>
      </c>
    </row>
    <row r="170" spans="1:18" ht="26" x14ac:dyDescent="0.35">
      <c r="A170" s="8"/>
      <c r="B170" s="8" t="s">
        <v>1545</v>
      </c>
      <c r="C170" s="8" t="s">
        <v>499</v>
      </c>
      <c r="D170" s="8" t="s">
        <v>500</v>
      </c>
      <c r="E170" s="8" t="s">
        <v>1377</v>
      </c>
      <c r="F170" s="8" t="s">
        <v>1377</v>
      </c>
      <c r="G170" s="8">
        <v>0</v>
      </c>
      <c r="H170" s="8">
        <v>55</v>
      </c>
      <c r="I170" s="8">
        <v>0</v>
      </c>
      <c r="J170" s="8" t="s">
        <v>1377</v>
      </c>
      <c r="K170" s="8" t="s">
        <v>107</v>
      </c>
      <c r="L170" s="8" t="s">
        <v>1377</v>
      </c>
      <c r="M170" s="15" t="s">
        <v>1377</v>
      </c>
      <c r="N170" s="17" t="s">
        <v>1543</v>
      </c>
      <c r="O170" s="19"/>
      <c r="P170" s="8"/>
      <c r="R170" t="str">
        <f t="shared" si="3"/>
        <v>INSERT INTO TransformationEngine_Field (FieldName, FieldDescription, SourceFieldName, DetailField, Length, Required, OutputFieldName, AllowedChars) VALUES ('Output UB Box 58C', 'Insured Name C', 'OCRInsNamesC',0, 55, 0, 'CLM-SUBS-NAME-LAST
CLM- SUBS-NAME-FIRST', 'A-Z')</v>
      </c>
    </row>
    <row r="171" spans="1:18" x14ac:dyDescent="0.35">
      <c r="A171" s="8"/>
      <c r="B171" s="8" t="s">
        <v>1546</v>
      </c>
      <c r="C171" s="8" t="s">
        <v>539</v>
      </c>
      <c r="D171" s="8" t="s">
        <v>540</v>
      </c>
      <c r="E171" s="8" t="s">
        <v>1377</v>
      </c>
      <c r="F171" s="8" t="s">
        <v>1377</v>
      </c>
      <c r="G171" s="8">
        <v>0</v>
      </c>
      <c r="H171" s="8">
        <v>2</v>
      </c>
      <c r="I171" s="8">
        <v>0</v>
      </c>
      <c r="J171" s="8" t="s">
        <v>1377</v>
      </c>
      <c r="K171" s="8" t="s">
        <v>71</v>
      </c>
      <c r="L171" s="8" t="s">
        <v>1377</v>
      </c>
      <c r="M171" s="15" t="s">
        <v>1377</v>
      </c>
      <c r="N171" s="17" t="s">
        <v>1547</v>
      </c>
      <c r="O171" s="19"/>
      <c r="P171" s="8"/>
      <c r="R171" t="str">
        <f t="shared" si="3"/>
        <v>INSERT INTO TransformationEngine_Field (FieldName, FieldDescription, SourceFieldName, DetailField, Length, Required, OutputFieldName, AllowedChars) VALUES ('Output UB Box 59A', 'Patient Relationship A', 'OCRPatRelsA',0, 2, 0, 'CLM-PAT-RELATION', 'A-Z,0-9')</v>
      </c>
    </row>
    <row r="172" spans="1:18" x14ac:dyDescent="0.35">
      <c r="A172" s="8"/>
      <c r="B172" s="8" t="s">
        <v>1548</v>
      </c>
      <c r="C172" s="8" t="s">
        <v>542</v>
      </c>
      <c r="D172" s="8" t="s">
        <v>543</v>
      </c>
      <c r="E172" s="8" t="s">
        <v>1377</v>
      </c>
      <c r="F172" s="8" t="s">
        <v>1377</v>
      </c>
      <c r="G172" s="8">
        <v>0</v>
      </c>
      <c r="H172" s="8">
        <v>2</v>
      </c>
      <c r="I172" s="8">
        <v>0</v>
      </c>
      <c r="J172" s="8" t="s">
        <v>1377</v>
      </c>
      <c r="K172" s="8" t="s">
        <v>71</v>
      </c>
      <c r="L172" s="8" t="s">
        <v>1377</v>
      </c>
      <c r="M172" s="15" t="s">
        <v>1377</v>
      </c>
      <c r="N172" s="17" t="s">
        <v>1547</v>
      </c>
      <c r="O172" s="19"/>
      <c r="P172" s="8"/>
      <c r="R172" t="str">
        <f t="shared" si="3"/>
        <v>INSERT INTO TransformationEngine_Field (FieldName, FieldDescription, SourceFieldName, DetailField, Length, Required, OutputFieldName, AllowedChars) VALUES ('Output UB Box 59B', 'Patient Relationship B', 'OCRPatRelsB',0, 2, 0, 'CLM-PAT-RELATION', 'A-Z,0-9')</v>
      </c>
    </row>
    <row r="173" spans="1:18" x14ac:dyDescent="0.35">
      <c r="A173" s="8"/>
      <c r="B173" s="8" t="s">
        <v>1549</v>
      </c>
      <c r="C173" s="8" t="s">
        <v>545</v>
      </c>
      <c r="D173" s="8" t="s">
        <v>546</v>
      </c>
      <c r="E173" s="8" t="s">
        <v>1377</v>
      </c>
      <c r="F173" s="8" t="s">
        <v>1377</v>
      </c>
      <c r="G173" s="8">
        <v>0</v>
      </c>
      <c r="H173" s="8">
        <v>2</v>
      </c>
      <c r="I173" s="8">
        <v>0</v>
      </c>
      <c r="J173" s="8" t="s">
        <v>1377</v>
      </c>
      <c r="K173" s="8" t="s">
        <v>71</v>
      </c>
      <c r="L173" s="8" t="s">
        <v>1377</v>
      </c>
      <c r="M173" s="15" t="s">
        <v>1377</v>
      </c>
      <c r="N173" s="17" t="s">
        <v>1547</v>
      </c>
      <c r="O173" s="19"/>
      <c r="P173" s="8"/>
      <c r="R173" t="str">
        <f t="shared" si="3"/>
        <v>INSERT INTO TransformationEngine_Field (FieldName, FieldDescription, SourceFieldName, DetailField, Length, Required, OutputFieldName, AllowedChars) VALUES ('Output UB Box 59C', 'Patient Relationship C', 'OCRPatRelsC',0, 2, 0, 'CLM-PAT-RELATION', 'A-Z,0-9')</v>
      </c>
    </row>
    <row r="174" spans="1:18" x14ac:dyDescent="0.35">
      <c r="A174" s="8"/>
      <c r="B174" s="8" t="s">
        <v>1550</v>
      </c>
      <c r="C174" s="8" t="s">
        <v>548</v>
      </c>
      <c r="D174" s="8" t="s">
        <v>549</v>
      </c>
      <c r="E174" s="8" t="s">
        <v>1377</v>
      </c>
      <c r="F174" s="8" t="s">
        <v>1377</v>
      </c>
      <c r="G174" s="8">
        <v>0</v>
      </c>
      <c r="H174" s="8">
        <v>17</v>
      </c>
      <c r="I174" s="8">
        <v>0</v>
      </c>
      <c r="J174" s="8" t="s">
        <v>1377</v>
      </c>
      <c r="K174" s="8" t="s">
        <v>71</v>
      </c>
      <c r="L174" s="8" t="s">
        <v>1377</v>
      </c>
      <c r="M174" s="15" t="s">
        <v>1377</v>
      </c>
      <c r="N174" s="17" t="s">
        <v>1551</v>
      </c>
      <c r="O174" s="19"/>
      <c r="P174" s="8"/>
      <c r="R174" t="str">
        <f t="shared" si="3"/>
        <v>INSERT INTO TransformationEngine_Field (FieldName, FieldDescription, SourceFieldName, DetailField, Length, Required, OutputFieldName, AllowedChars) VALUES ('Output UB Box 60A', 'Insured Unique ID A', 'OCRInsIDsA',0, 17, 0, 'CLM-SUBS-ID', 'A-Z,0-9')</v>
      </c>
    </row>
    <row r="175" spans="1:18" x14ac:dyDescent="0.35">
      <c r="A175" s="8"/>
      <c r="B175" s="8" t="s">
        <v>1552</v>
      </c>
      <c r="C175" s="8" t="s">
        <v>551</v>
      </c>
      <c r="D175" s="8" t="s">
        <v>552</v>
      </c>
      <c r="E175" s="8" t="s">
        <v>1377</v>
      </c>
      <c r="F175" s="8" t="s">
        <v>1377</v>
      </c>
      <c r="G175" s="8">
        <v>0</v>
      </c>
      <c r="H175" s="8">
        <v>17</v>
      </c>
      <c r="I175" s="8">
        <v>0</v>
      </c>
      <c r="J175" s="8" t="s">
        <v>1377</v>
      </c>
      <c r="K175" s="8" t="s">
        <v>71</v>
      </c>
      <c r="L175" s="8" t="s">
        <v>1377</v>
      </c>
      <c r="M175" s="15" t="s">
        <v>1377</v>
      </c>
      <c r="N175" s="17" t="s">
        <v>1551</v>
      </c>
      <c r="O175" s="19"/>
      <c r="P175" s="8"/>
      <c r="R175" t="str">
        <f t="shared" si="3"/>
        <v>INSERT INTO TransformationEngine_Field (FieldName, FieldDescription, SourceFieldName, DetailField, Length, Required, OutputFieldName, AllowedChars) VALUES ('Output UB Box 60B', 'Insured Unique ID B', 'OCRInsIDsB',0, 17, 0, 'CLM-SUBS-ID', 'A-Z,0-9')</v>
      </c>
    </row>
    <row r="176" spans="1:18" x14ac:dyDescent="0.35">
      <c r="A176" s="8"/>
      <c r="B176" s="8" t="s">
        <v>1553</v>
      </c>
      <c r="C176" s="8" t="s">
        <v>554</v>
      </c>
      <c r="D176" s="8" t="s">
        <v>555</v>
      </c>
      <c r="E176" s="8" t="s">
        <v>1377</v>
      </c>
      <c r="F176" s="8" t="s">
        <v>1377</v>
      </c>
      <c r="G176" s="8">
        <v>0</v>
      </c>
      <c r="H176" s="8">
        <v>17</v>
      </c>
      <c r="I176" s="8">
        <v>0</v>
      </c>
      <c r="J176" s="8" t="s">
        <v>1377</v>
      </c>
      <c r="K176" s="8" t="s">
        <v>71</v>
      </c>
      <c r="L176" s="8" t="s">
        <v>1377</v>
      </c>
      <c r="M176" s="15" t="s">
        <v>1377</v>
      </c>
      <c r="N176" s="17" t="s">
        <v>1551</v>
      </c>
      <c r="O176" s="19"/>
      <c r="P176" s="8"/>
      <c r="R176" t="str">
        <f t="shared" si="3"/>
        <v>INSERT INTO TransformationEngine_Field (FieldName, FieldDescription, SourceFieldName, DetailField, Length, Required, OutputFieldName, AllowedChars) VALUES ('Output UB Box 60D', 'Insured Unique ID C', 'OCRInsIDsC',0, 17, 0, 'CLM-SUBS-ID', 'A-Z,0-9')</v>
      </c>
    </row>
    <row r="177" spans="1:18" x14ac:dyDescent="0.35">
      <c r="A177" s="8"/>
      <c r="B177" s="8" t="s">
        <v>1554</v>
      </c>
      <c r="C177" s="8" t="s">
        <v>562</v>
      </c>
      <c r="D177" s="8" t="s">
        <v>563</v>
      </c>
      <c r="E177" s="8" t="s">
        <v>1377</v>
      </c>
      <c r="F177" s="8" t="s">
        <v>1377</v>
      </c>
      <c r="G177" s="8">
        <v>0</v>
      </c>
      <c r="H177" s="8">
        <v>15</v>
      </c>
      <c r="I177" s="8">
        <v>0</v>
      </c>
      <c r="J177" s="8" t="s">
        <v>1377</v>
      </c>
      <c r="K177" s="8" t="s">
        <v>71</v>
      </c>
      <c r="L177" s="8" t="s">
        <v>1377</v>
      </c>
      <c r="M177" s="15" t="s">
        <v>1377</v>
      </c>
      <c r="N177" s="17" t="s">
        <v>1555</v>
      </c>
      <c r="O177" s="19"/>
      <c r="P177" s="8"/>
      <c r="R177" t="str">
        <f t="shared" si="3"/>
        <v>INSERT INTO TransformationEngine_Field (FieldName, FieldDescription, SourceFieldName, DetailField, Length, Required, OutputFieldName, AllowedChars) VALUES ('Output UB Box 61A', 'Group Name A', 'OCRGroupsA',0, 15, 0, 'CLM-COB-OTHER-EMPLOYER-NAME', 'A-Z,0-9')</v>
      </c>
    </row>
    <row r="178" spans="1:18" x14ac:dyDescent="0.35">
      <c r="A178" s="8"/>
      <c r="B178" s="8" t="s">
        <v>1556</v>
      </c>
      <c r="C178" s="8" t="s">
        <v>566</v>
      </c>
      <c r="D178" s="8" t="s">
        <v>567</v>
      </c>
      <c r="E178" s="8" t="s">
        <v>1377</v>
      </c>
      <c r="F178" s="8" t="s">
        <v>1377</v>
      </c>
      <c r="G178" s="8">
        <v>0</v>
      </c>
      <c r="H178" s="8">
        <v>15</v>
      </c>
      <c r="I178" s="8">
        <v>0</v>
      </c>
      <c r="J178" s="8" t="s">
        <v>1377</v>
      </c>
      <c r="K178" s="8" t="s">
        <v>71</v>
      </c>
      <c r="L178" s="8" t="s">
        <v>1377</v>
      </c>
      <c r="M178" s="15" t="s">
        <v>1377</v>
      </c>
      <c r="N178" s="17" t="s">
        <v>1555</v>
      </c>
      <c r="O178" s="19"/>
      <c r="P178" s="8"/>
      <c r="R178" t="str">
        <f t="shared" si="3"/>
        <v>INSERT INTO TransformationEngine_Field (FieldName, FieldDescription, SourceFieldName, DetailField, Length, Required, OutputFieldName, AllowedChars) VALUES ('Output UB Box 61B', 'Group Name B', 'OCRGroupsB',0, 15, 0, 'CLM-COB-OTHER-EMPLOYER-NAME', 'A-Z,0-9')</v>
      </c>
    </row>
    <row r="179" spans="1:18" x14ac:dyDescent="0.35">
      <c r="A179" s="8"/>
      <c r="B179" s="8" t="s">
        <v>1557</v>
      </c>
      <c r="C179" s="8" t="s">
        <v>569</v>
      </c>
      <c r="D179" s="8" t="s">
        <v>570</v>
      </c>
      <c r="E179" s="8" t="s">
        <v>1377</v>
      </c>
      <c r="F179" s="8" t="s">
        <v>1377</v>
      </c>
      <c r="G179" s="8">
        <v>0</v>
      </c>
      <c r="H179" s="8">
        <v>15</v>
      </c>
      <c r="I179" s="8">
        <v>0</v>
      </c>
      <c r="J179" s="8" t="s">
        <v>1377</v>
      </c>
      <c r="K179" s="8" t="s">
        <v>71</v>
      </c>
      <c r="L179" s="8" t="s">
        <v>1377</v>
      </c>
      <c r="M179" s="15" t="s">
        <v>1377</v>
      </c>
      <c r="N179" s="17" t="s">
        <v>1555</v>
      </c>
      <c r="O179" s="19"/>
      <c r="P179" s="8"/>
      <c r="R179" t="str">
        <f t="shared" si="3"/>
        <v>INSERT INTO TransformationEngine_Field (FieldName, FieldDescription, SourceFieldName, DetailField, Length, Required, OutputFieldName, AllowedChars) VALUES ('Output UB Box 61C', 'Group Name C', 'OCRGroupsC',0, 15, 0, 'CLM-COB-OTHER-EMPLOYER-NAME', 'A-Z,0-9')</v>
      </c>
    </row>
    <row r="180" spans="1:18" x14ac:dyDescent="0.35">
      <c r="A180" s="8"/>
      <c r="B180" s="8" t="s">
        <v>1558</v>
      </c>
      <c r="C180" s="8" t="s">
        <v>572</v>
      </c>
      <c r="D180" s="8" t="s">
        <v>573</v>
      </c>
      <c r="E180" s="8" t="s">
        <v>1377</v>
      </c>
      <c r="F180" s="8" t="s">
        <v>1377</v>
      </c>
      <c r="G180" s="8">
        <v>0</v>
      </c>
      <c r="H180" s="8">
        <v>17</v>
      </c>
      <c r="I180" s="8">
        <v>0</v>
      </c>
      <c r="J180" s="8" t="s">
        <v>1377</v>
      </c>
      <c r="K180" s="8" t="s">
        <v>71</v>
      </c>
      <c r="L180" s="8" t="s">
        <v>1377</v>
      </c>
      <c r="M180" s="15" t="s">
        <v>1377</v>
      </c>
      <c r="N180" s="17" t="s">
        <v>1559</v>
      </c>
      <c r="O180" s="19"/>
      <c r="P180" s="8"/>
      <c r="R180" t="str">
        <f t="shared" si="3"/>
        <v>INSERT INTO TransformationEngine_Field (FieldName, FieldDescription, SourceFieldName, DetailField, Length, Required, OutputFieldName, AllowedChars) VALUES ('Output UB Box 62A', 'Insurance Group No A', 'OCRGroupNosA',0, 17, 0, 'CLM-INS-SUBMITTED-GROUP', 'A-Z,0-9')</v>
      </c>
    </row>
    <row r="181" spans="1:18" x14ac:dyDescent="0.35">
      <c r="A181" s="8"/>
      <c r="B181" s="8" t="s">
        <v>1560</v>
      </c>
      <c r="C181" s="8" t="s">
        <v>575</v>
      </c>
      <c r="D181" s="8" t="s">
        <v>576</v>
      </c>
      <c r="E181" s="8" t="s">
        <v>1377</v>
      </c>
      <c r="F181" s="8" t="s">
        <v>1377</v>
      </c>
      <c r="G181" s="8">
        <v>0</v>
      </c>
      <c r="H181" s="8">
        <v>17</v>
      </c>
      <c r="I181" s="8">
        <v>0</v>
      </c>
      <c r="J181" s="8" t="s">
        <v>1377</v>
      </c>
      <c r="K181" s="8" t="s">
        <v>71</v>
      </c>
      <c r="L181" s="8" t="s">
        <v>1377</v>
      </c>
      <c r="M181" s="15" t="s">
        <v>1377</v>
      </c>
      <c r="N181" s="17" t="s">
        <v>1559</v>
      </c>
      <c r="O181" s="19"/>
      <c r="P181" s="8"/>
      <c r="R181" t="str">
        <f t="shared" si="3"/>
        <v>INSERT INTO TransformationEngine_Field (FieldName, FieldDescription, SourceFieldName, DetailField, Length, Required, OutputFieldName, AllowedChars) VALUES ('Output UB Box 62B', 'Insurance Group No B', 'OCRGroupNosB',0, 17, 0, 'CLM-INS-SUBMITTED-GROUP', 'A-Z,0-9')</v>
      </c>
    </row>
    <row r="182" spans="1:18" x14ac:dyDescent="0.35">
      <c r="A182" s="8"/>
      <c r="B182" s="8" t="s">
        <v>1561</v>
      </c>
      <c r="C182" s="8" t="s">
        <v>578</v>
      </c>
      <c r="D182" s="8" t="s">
        <v>579</v>
      </c>
      <c r="E182" s="8" t="s">
        <v>1377</v>
      </c>
      <c r="F182" s="8" t="s">
        <v>1377</v>
      </c>
      <c r="G182" s="8">
        <v>0</v>
      </c>
      <c r="H182" s="8">
        <v>17</v>
      </c>
      <c r="I182" s="8">
        <v>0</v>
      </c>
      <c r="J182" s="8" t="s">
        <v>1377</v>
      </c>
      <c r="K182" s="8" t="s">
        <v>71</v>
      </c>
      <c r="L182" s="8" t="s">
        <v>1377</v>
      </c>
      <c r="M182" s="15" t="s">
        <v>1377</v>
      </c>
      <c r="N182" s="17" t="s">
        <v>1559</v>
      </c>
      <c r="O182" s="19"/>
      <c r="P182" s="8"/>
      <c r="R182" t="str">
        <f t="shared" si="3"/>
        <v>INSERT INTO TransformationEngine_Field (FieldName, FieldDescription, SourceFieldName, DetailField, Length, Required, OutputFieldName, AllowedChars) VALUES ('Output UB Box 62C', 'Insurance Group No C', 'OCRGroupNosC',0, 17, 0, 'CLM-INS-SUBMITTED-GROUP', 'A-Z,0-9')</v>
      </c>
    </row>
    <row r="183" spans="1:18" x14ac:dyDescent="0.35">
      <c r="A183" s="8"/>
      <c r="B183" s="8" t="s">
        <v>1562</v>
      </c>
      <c r="C183" s="8" t="s">
        <v>581</v>
      </c>
      <c r="D183" s="8" t="s">
        <v>582</v>
      </c>
      <c r="E183" s="8" t="s">
        <v>1377</v>
      </c>
      <c r="F183" s="8" t="s">
        <v>1377</v>
      </c>
      <c r="G183" s="8">
        <v>0</v>
      </c>
      <c r="H183" s="8">
        <v>20</v>
      </c>
      <c r="I183" s="8">
        <v>0</v>
      </c>
      <c r="J183" s="8" t="s">
        <v>1377</v>
      </c>
      <c r="K183" s="8" t="s">
        <v>71</v>
      </c>
      <c r="L183" s="8" t="s">
        <v>1377</v>
      </c>
      <c r="M183" s="15" t="s">
        <v>1377</v>
      </c>
      <c r="N183" s="17" t="s">
        <v>1563</v>
      </c>
      <c r="O183" s="19"/>
      <c r="P183" s="8"/>
      <c r="R183" t="str">
        <f t="shared" si="3"/>
        <v>INSERT INTO TransformationEngine_Field (FieldName, FieldDescription, SourceFieldName, DetailField, Length, Required, OutputFieldName, AllowedChars) VALUES ('Output UB Box 63A', 'Treatment Authorization Codes A', 'OCRTreatAuthCdsA',0, 20, 0, 'CLM-AUTHORIZATION-NUMBER', 'A-Z,0-9')</v>
      </c>
    </row>
    <row r="184" spans="1:18" x14ac:dyDescent="0.35">
      <c r="A184" s="8"/>
      <c r="B184" s="8" t="s">
        <v>1564</v>
      </c>
      <c r="C184" s="8" t="s">
        <v>584</v>
      </c>
      <c r="D184" s="8" t="s">
        <v>585</v>
      </c>
      <c r="E184" s="8" t="s">
        <v>1377</v>
      </c>
      <c r="F184" s="8" t="s">
        <v>1377</v>
      </c>
      <c r="G184" s="8">
        <v>0</v>
      </c>
      <c r="H184" s="8">
        <v>20</v>
      </c>
      <c r="I184" s="8">
        <v>0</v>
      </c>
      <c r="J184" s="8" t="s">
        <v>1377</v>
      </c>
      <c r="K184" s="8" t="s">
        <v>71</v>
      </c>
      <c r="L184" s="8" t="s">
        <v>1377</v>
      </c>
      <c r="M184" s="15" t="s">
        <v>1377</v>
      </c>
      <c r="N184" s="17" t="s">
        <v>1563</v>
      </c>
      <c r="O184" s="19"/>
      <c r="P184" s="8"/>
      <c r="R184" t="str">
        <f t="shared" si="3"/>
        <v>INSERT INTO TransformationEngine_Field (FieldName, FieldDescription, SourceFieldName, DetailField, Length, Required, OutputFieldName, AllowedChars) VALUES ('Output UB Box 63B', 'Treatment Authorization Codes B', 'OCRTreatAuthCdsB',0, 20, 0, 'CLM-AUTHORIZATION-NUMBER', 'A-Z,0-9')</v>
      </c>
    </row>
    <row r="185" spans="1:18" x14ac:dyDescent="0.35">
      <c r="A185" s="8"/>
      <c r="B185" s="8" t="s">
        <v>1565</v>
      </c>
      <c r="C185" s="8" t="s">
        <v>587</v>
      </c>
      <c r="D185" s="8" t="s">
        <v>588</v>
      </c>
      <c r="E185" s="8" t="s">
        <v>1377</v>
      </c>
      <c r="F185" s="8" t="s">
        <v>1377</v>
      </c>
      <c r="G185" s="8">
        <v>0</v>
      </c>
      <c r="H185" s="8">
        <v>20</v>
      </c>
      <c r="I185" s="8">
        <v>0</v>
      </c>
      <c r="J185" s="8" t="s">
        <v>1377</v>
      </c>
      <c r="K185" s="8" t="s">
        <v>71</v>
      </c>
      <c r="L185" s="8" t="s">
        <v>1377</v>
      </c>
      <c r="M185" s="15" t="s">
        <v>1377</v>
      </c>
      <c r="N185" s="17" t="s">
        <v>1563</v>
      </c>
      <c r="O185" s="19"/>
      <c r="P185" s="8"/>
      <c r="R185" t="str">
        <f t="shared" si="3"/>
        <v>INSERT INTO TransformationEngine_Field (FieldName, FieldDescription, SourceFieldName, DetailField, Length, Required, OutputFieldName, AllowedChars) VALUES ('Output UB Box 63C', 'Treatment Authorization Codes C', 'OCRTreatAuthCdsC',0, 20, 0, 'CLM-AUTHORIZATION-NUMBER', 'A-Z,0-9')</v>
      </c>
    </row>
    <row r="186" spans="1:18" x14ac:dyDescent="0.35">
      <c r="A186" s="8"/>
      <c r="B186" s="8" t="s">
        <v>1566</v>
      </c>
      <c r="C186" s="8" t="s">
        <v>1567</v>
      </c>
      <c r="D186" s="8" t="s">
        <v>591</v>
      </c>
      <c r="E186" s="8" t="s">
        <v>1377</v>
      </c>
      <c r="F186" s="8" t="s">
        <v>1377</v>
      </c>
      <c r="G186" s="8">
        <v>0</v>
      </c>
      <c r="H186" s="8">
        <v>25</v>
      </c>
      <c r="I186" s="8">
        <v>0</v>
      </c>
      <c r="J186" s="8" t="s">
        <v>1377</v>
      </c>
      <c r="K186" s="8" t="s">
        <v>71</v>
      </c>
      <c r="L186" s="8" t="s">
        <v>1377</v>
      </c>
      <c r="M186" s="15" t="s">
        <v>1377</v>
      </c>
      <c r="N186" s="17" t="s">
        <v>1568</v>
      </c>
      <c r="O186" s="19"/>
      <c r="P186" s="8"/>
      <c r="R186" t="str">
        <f t="shared" si="3"/>
        <v>INSERT INTO TransformationEngine_Field (FieldName, FieldDescription, SourceFieldName, DetailField, Length, Required, OutputFieldName, AllowedChars) VALUES ('Output UB Box 64A', 'Claim Payer Control Number A', 'OCRDocCtlNumA',0, 25, 0, 'CLM-PAYER-CONTROL-NO ', 'A-Z,0-9')</v>
      </c>
    </row>
    <row r="187" spans="1:18" x14ac:dyDescent="0.35">
      <c r="A187" s="8"/>
      <c r="B187" s="8" t="s">
        <v>1569</v>
      </c>
      <c r="C187" s="8" t="s">
        <v>1570</v>
      </c>
      <c r="D187" s="8" t="s">
        <v>594</v>
      </c>
      <c r="E187" s="8" t="s">
        <v>1377</v>
      </c>
      <c r="F187" s="8" t="s">
        <v>1377</v>
      </c>
      <c r="G187" s="8">
        <v>0</v>
      </c>
      <c r="H187" s="8">
        <v>25</v>
      </c>
      <c r="I187" s="8">
        <v>0</v>
      </c>
      <c r="J187" s="8" t="s">
        <v>1377</v>
      </c>
      <c r="K187" s="8" t="s">
        <v>71</v>
      </c>
      <c r="L187" s="8" t="s">
        <v>1377</v>
      </c>
      <c r="M187" s="15" t="s">
        <v>1377</v>
      </c>
      <c r="N187" s="17" t="s">
        <v>1568</v>
      </c>
      <c r="O187" s="19"/>
      <c r="P187" s="8"/>
      <c r="R187" t="str">
        <f t="shared" si="3"/>
        <v>INSERT INTO TransformationEngine_Field (FieldName, FieldDescription, SourceFieldName, DetailField, Length, Required, OutputFieldName, AllowedChars) VALUES ('Output UB Box 64B', 'Claim Payer Control Number B', 'OCRDocCtlNumB',0, 25, 0, 'CLM-PAYER-CONTROL-NO ', 'A-Z,0-9')</v>
      </c>
    </row>
    <row r="188" spans="1:18" x14ac:dyDescent="0.35">
      <c r="A188" s="8"/>
      <c r="B188" s="8" t="s">
        <v>1571</v>
      </c>
      <c r="C188" s="8" t="s">
        <v>1572</v>
      </c>
      <c r="D188" s="8" t="s">
        <v>597</v>
      </c>
      <c r="E188" s="8" t="s">
        <v>1377</v>
      </c>
      <c r="F188" s="8" t="s">
        <v>1377</v>
      </c>
      <c r="G188" s="8">
        <v>0</v>
      </c>
      <c r="H188" s="8">
        <v>25</v>
      </c>
      <c r="I188" s="8">
        <v>0</v>
      </c>
      <c r="J188" s="8" t="s">
        <v>1377</v>
      </c>
      <c r="K188" s="8" t="s">
        <v>71</v>
      </c>
      <c r="L188" s="8" t="s">
        <v>1377</v>
      </c>
      <c r="M188" s="15" t="s">
        <v>1377</v>
      </c>
      <c r="N188" s="17" t="s">
        <v>1568</v>
      </c>
      <c r="O188" s="19"/>
      <c r="P188" s="8"/>
      <c r="R188" t="str">
        <f t="shared" si="3"/>
        <v>INSERT INTO TransformationEngine_Field (FieldName, FieldDescription, SourceFieldName, DetailField, Length, Required, OutputFieldName, AllowedChars) VALUES ('Output UB Box 64C', 'Claim Payer Control Number C', 'OCRDocCtlNumC',0, 25, 0, 'CLM-PAYER-CONTROL-NO ', 'A-Z,0-9')</v>
      </c>
    </row>
    <row r="189" spans="1:18" x14ac:dyDescent="0.35">
      <c r="A189" s="8"/>
      <c r="B189" s="8" t="s">
        <v>1573</v>
      </c>
      <c r="C189" s="8" t="s">
        <v>599</v>
      </c>
      <c r="D189" s="8" t="s">
        <v>600</v>
      </c>
      <c r="E189" s="8" t="s">
        <v>1377</v>
      </c>
      <c r="F189" s="8" t="s">
        <v>1377</v>
      </c>
      <c r="G189" s="8">
        <v>0</v>
      </c>
      <c r="H189" s="8">
        <v>60</v>
      </c>
      <c r="I189" s="8">
        <v>0</v>
      </c>
      <c r="J189" s="8" t="s">
        <v>1377</v>
      </c>
      <c r="K189" s="8" t="s">
        <v>71</v>
      </c>
      <c r="L189" s="8" t="s">
        <v>1377</v>
      </c>
      <c r="M189" s="15" t="s">
        <v>1377</v>
      </c>
      <c r="N189" s="31" t="s">
        <v>198</v>
      </c>
      <c r="O189" s="19"/>
      <c r="P189" s="8"/>
      <c r="Q189" t="s">
        <v>1574</v>
      </c>
      <c r="R189" t="str">
        <f t="shared" si="3"/>
        <v>INSERT INTO TransformationEngine_Field (FieldName, FieldDescription, SourceFieldName, DetailField, Length, Required, OutputFieldName, AllowedChars) VALUES ('Output UB Box 65A', 'Employer Name A', 'OCREmpNamesA',0, 60, 0, '???', 'A-Z,0-9')</v>
      </c>
    </row>
    <row r="190" spans="1:18" x14ac:dyDescent="0.35">
      <c r="A190" s="8"/>
      <c r="B190" s="8" t="s">
        <v>1575</v>
      </c>
      <c r="C190" s="8" t="s">
        <v>603</v>
      </c>
      <c r="D190" s="8" t="s">
        <v>604</v>
      </c>
      <c r="E190" s="8" t="s">
        <v>1377</v>
      </c>
      <c r="F190" s="8" t="s">
        <v>1377</v>
      </c>
      <c r="G190" s="8">
        <v>0</v>
      </c>
      <c r="H190" s="8">
        <v>60</v>
      </c>
      <c r="I190" s="8">
        <v>0</v>
      </c>
      <c r="J190" s="8" t="s">
        <v>1377</v>
      </c>
      <c r="K190" s="8" t="s">
        <v>71</v>
      </c>
      <c r="L190" s="8" t="s">
        <v>1377</v>
      </c>
      <c r="M190" s="15" t="s">
        <v>1377</v>
      </c>
      <c r="N190" s="31" t="s">
        <v>198</v>
      </c>
      <c r="O190" s="19"/>
      <c r="P190" s="8"/>
      <c r="Q190" t="s">
        <v>1574</v>
      </c>
      <c r="R190" t="str">
        <f t="shared" si="3"/>
        <v>INSERT INTO TransformationEngine_Field (FieldName, FieldDescription, SourceFieldName, DetailField, Length, Required, OutputFieldName, AllowedChars) VALUES ('Output UB Box 65B', 'Employer Name B', 'OCREmpNamesB',0, 60, 0, '???', 'A-Z,0-9')</v>
      </c>
    </row>
    <row r="191" spans="1:18" x14ac:dyDescent="0.35">
      <c r="A191" s="8"/>
      <c r="B191" s="8" t="s">
        <v>1576</v>
      </c>
      <c r="C191" s="8" t="s">
        <v>606</v>
      </c>
      <c r="D191" s="8" t="s">
        <v>607</v>
      </c>
      <c r="E191" s="8" t="s">
        <v>1377</v>
      </c>
      <c r="F191" s="8" t="s">
        <v>1377</v>
      </c>
      <c r="G191" s="8">
        <v>0</v>
      </c>
      <c r="H191" s="8">
        <v>60</v>
      </c>
      <c r="I191" s="8">
        <v>0</v>
      </c>
      <c r="J191" s="8" t="s">
        <v>1377</v>
      </c>
      <c r="K191" s="8" t="s">
        <v>71</v>
      </c>
      <c r="L191" s="8" t="s">
        <v>1377</v>
      </c>
      <c r="M191" s="15" t="s">
        <v>1377</v>
      </c>
      <c r="N191" s="31" t="s">
        <v>198</v>
      </c>
      <c r="O191" s="19"/>
      <c r="P191" s="8"/>
      <c r="Q191" t="s">
        <v>1574</v>
      </c>
      <c r="R191" t="str">
        <f t="shared" si="3"/>
        <v>INSERT INTO TransformationEngine_Field (FieldName, FieldDescription, SourceFieldName, DetailField, Length, Required, OutputFieldName, AllowedChars) VALUES ('Output UB Box 65C', 'Employer Name C', 'OCREmpNamesC',0, 60, 0, '???', 'A-Z,0-9')</v>
      </c>
    </row>
    <row r="192" spans="1:18" x14ac:dyDescent="0.35">
      <c r="A192" s="8"/>
      <c r="B192" s="8" t="s">
        <v>1577</v>
      </c>
      <c r="C192" s="8" t="s">
        <v>609</v>
      </c>
      <c r="D192" s="8" t="s">
        <v>610</v>
      </c>
      <c r="E192" s="8" t="s">
        <v>1377</v>
      </c>
      <c r="F192" s="8" t="s">
        <v>1377</v>
      </c>
      <c r="G192" s="8">
        <v>0</v>
      </c>
      <c r="H192" s="8">
        <v>1</v>
      </c>
      <c r="I192" s="8">
        <v>0</v>
      </c>
      <c r="J192" s="8" t="s">
        <v>1377</v>
      </c>
      <c r="K192" s="8" t="s">
        <v>71</v>
      </c>
      <c r="L192" s="8" t="s">
        <v>1377</v>
      </c>
      <c r="M192" s="15" t="s">
        <v>1377</v>
      </c>
      <c r="N192" s="17" t="s">
        <v>1578</v>
      </c>
      <c r="O192" s="19"/>
      <c r="P192" s="8"/>
      <c r="R192" t="str">
        <f t="shared" si="3"/>
        <v>INSERT INTO TransformationEngine_Field (FieldName, FieldDescription, SourceFieldName, DetailField, Length, Required, OutputFieldName, AllowedChars) VALUES ('Output UB Box 66', 'DX', 'OCRDXsignifier',0, 1, 0, 'CLM-HOSP-PROC-CODING-METHOD', 'A-Z,0-9')</v>
      </c>
    </row>
    <row r="193" spans="1:18" x14ac:dyDescent="0.35">
      <c r="A193" s="8"/>
      <c r="B193" s="8" t="s">
        <v>1579</v>
      </c>
      <c r="C193" s="8" t="s">
        <v>614</v>
      </c>
      <c r="D193" s="8" t="s">
        <v>615</v>
      </c>
      <c r="E193" s="8" t="s">
        <v>1377</v>
      </c>
      <c r="F193" s="8" t="s">
        <v>1377</v>
      </c>
      <c r="G193" s="8">
        <v>0</v>
      </c>
      <c r="H193" s="8">
        <v>9</v>
      </c>
      <c r="I193" s="8">
        <v>0</v>
      </c>
      <c r="J193" s="8" t="s">
        <v>1377</v>
      </c>
      <c r="K193" s="8" t="s">
        <v>71</v>
      </c>
      <c r="L193" s="8" t="s">
        <v>1377</v>
      </c>
      <c r="M193" s="15" t="s">
        <v>1377</v>
      </c>
      <c r="N193" s="17" t="s">
        <v>1580</v>
      </c>
      <c r="O193" s="19"/>
      <c r="P193" s="8"/>
      <c r="R193" t="str">
        <f t="shared" si="3"/>
        <v>INSERT INTO TransformationEngine_Field (FieldName, FieldDescription, SourceFieldName, DetailField, Length, Required, OutputFieldName, AllowedChars) VALUES ('Output UB Box 67', 'Principal Diag Code', 'OCRPrinDiagCode',0, 9, 0, 'CLM-DIAGNOSIS-CODE-1', 'A-Z,0-9')</v>
      </c>
    </row>
    <row r="194" spans="1:18" ht="26" x14ac:dyDescent="0.35">
      <c r="A194" s="8"/>
      <c r="B194" s="8" t="s">
        <v>1579</v>
      </c>
      <c r="C194" s="8" t="s">
        <v>616</v>
      </c>
      <c r="D194" s="8" t="s">
        <v>617</v>
      </c>
      <c r="E194" s="8" t="s">
        <v>1377</v>
      </c>
      <c r="F194" s="8" t="s">
        <v>1377</v>
      </c>
      <c r="G194" s="8">
        <v>0</v>
      </c>
      <c r="H194" s="8">
        <v>1</v>
      </c>
      <c r="I194" s="8">
        <v>0</v>
      </c>
      <c r="J194" s="8" t="s">
        <v>1377</v>
      </c>
      <c r="K194" s="8" t="s">
        <v>1520</v>
      </c>
      <c r="L194" s="8" t="s">
        <v>1377</v>
      </c>
      <c r="M194" s="15" t="s">
        <v>1377</v>
      </c>
      <c r="N194" s="17" t="s">
        <v>1581</v>
      </c>
      <c r="O194" s="19"/>
      <c r="P194" s="8"/>
      <c r="R194" t="str">
        <f t="shared" si="3"/>
        <v>INSERT INTO TransformationEngine_Field (FieldName, FieldDescription, SourceFieldName, DetailField, Length, Required, OutputFieldName, AllowedChars) VALUES ('Output UB Box 67', 'Principal Diag Code POA', 'OCRPrinDiagPOA',0, 1, 0, 'CLM-CODE-TYPE-IND_CODE-1
CLM-POA-IND_CODE-1', 'Y, ,N')</v>
      </c>
    </row>
    <row r="195" spans="1:18" ht="26" x14ac:dyDescent="0.35">
      <c r="A195" s="8"/>
      <c r="B195" s="8" t="s">
        <v>1582</v>
      </c>
      <c r="C195" s="8" t="s">
        <v>620</v>
      </c>
      <c r="D195" s="8" t="s">
        <v>621</v>
      </c>
      <c r="E195" s="8" t="s">
        <v>1377</v>
      </c>
      <c r="F195" s="8" t="s">
        <v>1377</v>
      </c>
      <c r="G195" s="8">
        <v>0</v>
      </c>
      <c r="H195" s="8">
        <v>9</v>
      </c>
      <c r="I195" s="8">
        <v>0</v>
      </c>
      <c r="J195" s="8" t="s">
        <v>1377</v>
      </c>
      <c r="K195" s="8" t="s">
        <v>71</v>
      </c>
      <c r="L195" s="8" t="s">
        <v>1377</v>
      </c>
      <c r="M195" s="15" t="s">
        <v>1377</v>
      </c>
      <c r="N195" s="17" t="s">
        <v>1583</v>
      </c>
      <c r="O195" s="19"/>
      <c r="P195" s="8"/>
      <c r="R195" t="str">
        <f t="shared" si="3"/>
        <v>INSERT INTO TransformationEngine_Field (FieldName, FieldDescription, SourceFieldName, DetailField, Length, Required, OutputFieldName, AllowedChars) VALUES ('Output UB Box 67 A', 'Other DX Codes A', 'OCROthDiagCode1',0, 9, 0, 'CLM-DIAGNOSIS-CODE-2
CLM-CODE-TYPE-IND_CODE-2', 'A-Z,0-9')</v>
      </c>
    </row>
    <row r="196" spans="1:18" x14ac:dyDescent="0.35">
      <c r="A196" s="8"/>
      <c r="B196" s="8" t="s">
        <v>1582</v>
      </c>
      <c r="C196" s="8" t="s">
        <v>622</v>
      </c>
      <c r="D196" s="8" t="s">
        <v>623</v>
      </c>
      <c r="E196" s="8" t="s">
        <v>1377</v>
      </c>
      <c r="F196" s="8" t="s">
        <v>1377</v>
      </c>
      <c r="G196" s="8">
        <v>0</v>
      </c>
      <c r="H196" s="8">
        <v>1</v>
      </c>
      <c r="I196" s="8">
        <v>0</v>
      </c>
      <c r="J196" s="8" t="s">
        <v>1377</v>
      </c>
      <c r="K196" s="8" t="s">
        <v>1520</v>
      </c>
      <c r="L196" s="8" t="s">
        <v>1377</v>
      </c>
      <c r="M196" s="15" t="s">
        <v>1377</v>
      </c>
      <c r="N196" s="17" t="s">
        <v>1584</v>
      </c>
      <c r="O196" s="19"/>
      <c r="P196" s="8"/>
      <c r="R196" t="str">
        <f t="shared" ref="R196:R259" si="4">CONCATENATE("INSERT INTO TransformationEngine_Field (FieldName, FieldDescription, SourceFieldName, DetailField, Length, Required, OutputFieldName, AllowedChars) VALUES ('", B196, "', '", C196, "', '", D196, "',", G196, ", ", H196, ", ", I196, ", '", N196, "', '", K196,"')")</f>
        <v>INSERT INTO TransformationEngine_Field (FieldName, FieldDescription, SourceFieldName, DetailField, Length, Required, OutputFieldName, AllowedChars) VALUES ('Output UB Box 67 A', 'Other DX Codes POA A', 'OCROthDiagPOA1',0, 1, 0, 'CLM-POA-IND_CODE-2', 'Y, ,N')</v>
      </c>
    </row>
    <row r="197" spans="1:18" ht="26" x14ac:dyDescent="0.35">
      <c r="A197" s="8"/>
      <c r="B197" s="8" t="s">
        <v>1585</v>
      </c>
      <c r="C197" s="8" t="s">
        <v>625</v>
      </c>
      <c r="D197" s="8" t="s">
        <v>626</v>
      </c>
      <c r="E197" s="8" t="s">
        <v>1377</v>
      </c>
      <c r="F197" s="8" t="s">
        <v>1377</v>
      </c>
      <c r="G197" s="8">
        <v>0</v>
      </c>
      <c r="H197" s="8">
        <v>9</v>
      </c>
      <c r="I197" s="8">
        <v>0</v>
      </c>
      <c r="J197" s="8" t="s">
        <v>1377</v>
      </c>
      <c r="K197" s="8" t="s">
        <v>71</v>
      </c>
      <c r="L197" s="8" t="s">
        <v>1377</v>
      </c>
      <c r="M197" s="15" t="s">
        <v>1377</v>
      </c>
      <c r="N197" s="17" t="s">
        <v>1586</v>
      </c>
      <c r="O197" s="19"/>
      <c r="P197" s="8"/>
      <c r="R197" t="str">
        <f t="shared" si="4"/>
        <v>INSERT INTO TransformationEngine_Field (FieldName, FieldDescription, SourceFieldName, DetailField, Length, Required, OutputFieldName, AllowedChars) VALUES ('Output UB Box 67 B', 'Other DX Codes B', 'OCROthDiagCode2',0, 9, 0, 'CLM-DIAGNOSIS-CODE-3
CLM-CODE-TYPE-IND_CODE-3', 'A-Z,0-9')</v>
      </c>
    </row>
    <row r="198" spans="1:18" x14ac:dyDescent="0.35">
      <c r="A198" s="8"/>
      <c r="B198" s="8" t="s">
        <v>1585</v>
      </c>
      <c r="C198" s="8" t="s">
        <v>627</v>
      </c>
      <c r="D198" s="8" t="s">
        <v>628</v>
      </c>
      <c r="E198" s="8" t="s">
        <v>1377</v>
      </c>
      <c r="F198" s="8" t="s">
        <v>1377</v>
      </c>
      <c r="G198" s="8">
        <v>0</v>
      </c>
      <c r="H198" s="8">
        <v>1</v>
      </c>
      <c r="I198" s="8">
        <v>0</v>
      </c>
      <c r="J198" s="8" t="s">
        <v>1377</v>
      </c>
      <c r="K198" s="8" t="s">
        <v>1520</v>
      </c>
      <c r="L198" s="8" t="s">
        <v>1377</v>
      </c>
      <c r="M198" s="15" t="s">
        <v>1377</v>
      </c>
      <c r="N198" s="17" t="s">
        <v>1587</v>
      </c>
      <c r="O198" s="19"/>
      <c r="P198" s="8"/>
      <c r="R198" t="str">
        <f t="shared" si="4"/>
        <v>INSERT INTO TransformationEngine_Field (FieldName, FieldDescription, SourceFieldName, DetailField, Length, Required, OutputFieldName, AllowedChars) VALUES ('Output UB Box 67 B', 'Other DX Codes POA B', 'OCROthDiagPOA2',0, 1, 0, 'CLM-POA-IND_CODE-3', 'Y, ,N')</v>
      </c>
    </row>
    <row r="199" spans="1:18" ht="26" x14ac:dyDescent="0.35">
      <c r="A199" s="8"/>
      <c r="B199" s="8" t="s">
        <v>1588</v>
      </c>
      <c r="C199" s="8" t="s">
        <v>630</v>
      </c>
      <c r="D199" s="8" t="s">
        <v>631</v>
      </c>
      <c r="E199" s="8" t="s">
        <v>1377</v>
      </c>
      <c r="F199" s="8" t="s">
        <v>1377</v>
      </c>
      <c r="G199" s="8">
        <v>0</v>
      </c>
      <c r="H199" s="8">
        <v>9</v>
      </c>
      <c r="I199" s="8">
        <v>0</v>
      </c>
      <c r="J199" s="8" t="s">
        <v>1377</v>
      </c>
      <c r="K199" s="8" t="s">
        <v>71</v>
      </c>
      <c r="L199" s="8" t="s">
        <v>1377</v>
      </c>
      <c r="M199" s="15" t="s">
        <v>1377</v>
      </c>
      <c r="N199" s="17" t="s">
        <v>1589</v>
      </c>
      <c r="O199" s="19"/>
      <c r="P199" s="8"/>
      <c r="R199" t="str">
        <f t="shared" si="4"/>
        <v>INSERT INTO TransformationEngine_Field (FieldName, FieldDescription, SourceFieldName, DetailField, Length, Required, OutputFieldName, AllowedChars) VALUES ('Output UB Box 67 C', 'Other DX Codes C', 'OCROthDiagCode3',0, 9, 0, 'CLM-DIAGNOSIS-CODE-4
CLM-CODE-TYPE-IND_CODE-4', 'A-Z,0-9')</v>
      </c>
    </row>
    <row r="200" spans="1:18" x14ac:dyDescent="0.35">
      <c r="A200" s="8"/>
      <c r="B200" s="8" t="s">
        <v>1588</v>
      </c>
      <c r="C200" s="8" t="s">
        <v>632</v>
      </c>
      <c r="D200" s="8" t="s">
        <v>633</v>
      </c>
      <c r="E200" s="8" t="s">
        <v>1377</v>
      </c>
      <c r="F200" s="8" t="s">
        <v>1377</v>
      </c>
      <c r="G200" s="8">
        <v>0</v>
      </c>
      <c r="H200" s="8">
        <v>1</v>
      </c>
      <c r="I200" s="8">
        <v>0</v>
      </c>
      <c r="J200" s="8" t="s">
        <v>1377</v>
      </c>
      <c r="K200" s="8" t="s">
        <v>1520</v>
      </c>
      <c r="L200" s="8" t="s">
        <v>1377</v>
      </c>
      <c r="M200" s="15" t="s">
        <v>1377</v>
      </c>
      <c r="N200" s="17" t="s">
        <v>1590</v>
      </c>
      <c r="O200" s="19"/>
      <c r="P200" s="8"/>
      <c r="R200" t="str">
        <f t="shared" si="4"/>
        <v>INSERT INTO TransformationEngine_Field (FieldName, FieldDescription, SourceFieldName, DetailField, Length, Required, OutputFieldName, AllowedChars) VALUES ('Output UB Box 67 C', 'Other DX Codes POA C', 'OCROthDiagPOA3',0, 1, 0, 'CLM-POA-IND_CODE-4', 'Y, ,N')</v>
      </c>
    </row>
    <row r="201" spans="1:18" ht="26" x14ac:dyDescent="0.35">
      <c r="A201" s="8"/>
      <c r="B201" s="8" t="s">
        <v>1591</v>
      </c>
      <c r="C201" s="8" t="s">
        <v>635</v>
      </c>
      <c r="D201" s="8" t="s">
        <v>636</v>
      </c>
      <c r="E201" s="8" t="s">
        <v>1377</v>
      </c>
      <c r="F201" s="8" t="s">
        <v>1377</v>
      </c>
      <c r="G201" s="8">
        <v>0</v>
      </c>
      <c r="H201" s="8">
        <v>9</v>
      </c>
      <c r="I201" s="8">
        <v>0</v>
      </c>
      <c r="J201" s="8" t="s">
        <v>1377</v>
      </c>
      <c r="K201" s="8" t="s">
        <v>71</v>
      </c>
      <c r="L201" s="8" t="s">
        <v>1377</v>
      </c>
      <c r="M201" s="15" t="s">
        <v>1377</v>
      </c>
      <c r="N201" s="17" t="s">
        <v>1592</v>
      </c>
      <c r="O201" s="19"/>
      <c r="P201" s="8"/>
      <c r="R201" t="str">
        <f t="shared" si="4"/>
        <v>INSERT INTO TransformationEngine_Field (FieldName, FieldDescription, SourceFieldName, DetailField, Length, Required, OutputFieldName, AllowedChars) VALUES ('Output UB Box 67 D', 'Other DX Codes D', 'OCROthDiagCode4',0, 9, 0, 'CLM-DIAGNOSIS-CODE-5
CLM-CODE-TYPE-IND_CODE-5', 'A-Z,0-9')</v>
      </c>
    </row>
    <row r="202" spans="1:18" x14ac:dyDescent="0.35">
      <c r="A202" s="8"/>
      <c r="B202" s="8" t="s">
        <v>1591</v>
      </c>
      <c r="C202" s="8" t="s">
        <v>637</v>
      </c>
      <c r="D202" s="8" t="s">
        <v>638</v>
      </c>
      <c r="E202" s="8" t="s">
        <v>1377</v>
      </c>
      <c r="F202" s="8" t="s">
        <v>1377</v>
      </c>
      <c r="G202" s="8">
        <v>0</v>
      </c>
      <c r="H202" s="8">
        <v>1</v>
      </c>
      <c r="I202" s="8">
        <v>0</v>
      </c>
      <c r="J202" s="8" t="s">
        <v>1377</v>
      </c>
      <c r="K202" s="8" t="s">
        <v>1520</v>
      </c>
      <c r="L202" s="8" t="s">
        <v>1377</v>
      </c>
      <c r="M202" s="15" t="s">
        <v>1377</v>
      </c>
      <c r="N202" s="17" t="s">
        <v>1593</v>
      </c>
      <c r="O202" s="19"/>
      <c r="P202" s="8"/>
      <c r="R202" t="str">
        <f t="shared" si="4"/>
        <v>INSERT INTO TransformationEngine_Field (FieldName, FieldDescription, SourceFieldName, DetailField, Length, Required, OutputFieldName, AllowedChars) VALUES ('Output UB Box 67 D', 'Other DX Codes POA D', 'OCROthDiagPOA4',0, 1, 0, 'CLM-POA-IND_CODE-5', 'Y, ,N')</v>
      </c>
    </row>
    <row r="203" spans="1:18" ht="26" x14ac:dyDescent="0.35">
      <c r="A203" s="8"/>
      <c r="B203" s="8" t="s">
        <v>1594</v>
      </c>
      <c r="C203" s="8" t="s">
        <v>640</v>
      </c>
      <c r="D203" s="8" t="s">
        <v>641</v>
      </c>
      <c r="E203" s="8" t="s">
        <v>1377</v>
      </c>
      <c r="F203" s="8" t="s">
        <v>1377</v>
      </c>
      <c r="G203" s="8">
        <v>0</v>
      </c>
      <c r="H203" s="8">
        <v>9</v>
      </c>
      <c r="I203" s="8">
        <v>0</v>
      </c>
      <c r="J203" s="8" t="s">
        <v>1377</v>
      </c>
      <c r="K203" s="8" t="s">
        <v>71</v>
      </c>
      <c r="L203" s="8" t="s">
        <v>1377</v>
      </c>
      <c r="M203" s="15" t="s">
        <v>1377</v>
      </c>
      <c r="N203" s="17" t="s">
        <v>1595</v>
      </c>
      <c r="O203" s="19"/>
      <c r="P203" s="8"/>
      <c r="R203" t="str">
        <f t="shared" si="4"/>
        <v>INSERT INTO TransformationEngine_Field (FieldName, FieldDescription, SourceFieldName, DetailField, Length, Required, OutputFieldName, AllowedChars) VALUES ('Output UB Box 67 E', 'Other DX Codes E', 'OCROthDiagCode5',0, 9, 0, 'CLM-DIAGNOSIS-CODE-6
CLM-CODE-TYPE-IND_CODE-6', 'A-Z,0-9')</v>
      </c>
    </row>
    <row r="204" spans="1:18" x14ac:dyDescent="0.35">
      <c r="A204" s="8"/>
      <c r="B204" s="8" t="s">
        <v>1594</v>
      </c>
      <c r="C204" s="8" t="s">
        <v>642</v>
      </c>
      <c r="D204" s="8" t="s">
        <v>643</v>
      </c>
      <c r="E204" s="8" t="s">
        <v>1377</v>
      </c>
      <c r="F204" s="8" t="s">
        <v>1377</v>
      </c>
      <c r="G204" s="8">
        <v>0</v>
      </c>
      <c r="H204" s="8">
        <v>1</v>
      </c>
      <c r="I204" s="8">
        <v>0</v>
      </c>
      <c r="J204" s="8" t="s">
        <v>1377</v>
      </c>
      <c r="K204" s="8" t="s">
        <v>1520</v>
      </c>
      <c r="L204" s="8" t="s">
        <v>1377</v>
      </c>
      <c r="M204" s="15" t="s">
        <v>1377</v>
      </c>
      <c r="N204" s="17" t="s">
        <v>1596</v>
      </c>
      <c r="O204" s="19"/>
      <c r="P204" s="8"/>
      <c r="R204" t="str">
        <f t="shared" si="4"/>
        <v>INSERT INTO TransformationEngine_Field (FieldName, FieldDescription, SourceFieldName, DetailField, Length, Required, OutputFieldName, AllowedChars) VALUES ('Output UB Box 67 E', 'Other DX Codes POA E', 'OCROthDiagPOA5',0, 1, 0, 'CLM-POA-IND_CODE-6', 'Y, ,N')</v>
      </c>
    </row>
    <row r="205" spans="1:18" ht="26" x14ac:dyDescent="0.35">
      <c r="A205" s="8"/>
      <c r="B205" s="8" t="s">
        <v>1597</v>
      </c>
      <c r="C205" s="8" t="s">
        <v>645</v>
      </c>
      <c r="D205" s="8" t="s">
        <v>646</v>
      </c>
      <c r="E205" s="8" t="s">
        <v>1377</v>
      </c>
      <c r="F205" s="8" t="s">
        <v>1377</v>
      </c>
      <c r="G205" s="8">
        <v>0</v>
      </c>
      <c r="H205" s="8">
        <v>9</v>
      </c>
      <c r="I205" s="8">
        <v>0</v>
      </c>
      <c r="J205" s="8" t="s">
        <v>1377</v>
      </c>
      <c r="K205" s="8" t="s">
        <v>71</v>
      </c>
      <c r="L205" s="8" t="s">
        <v>1377</v>
      </c>
      <c r="M205" s="15" t="s">
        <v>1377</v>
      </c>
      <c r="N205" s="17" t="s">
        <v>1598</v>
      </c>
      <c r="O205" s="19"/>
      <c r="P205" s="8"/>
      <c r="R205" t="str">
        <f t="shared" si="4"/>
        <v>INSERT INTO TransformationEngine_Field (FieldName, FieldDescription, SourceFieldName, DetailField, Length, Required, OutputFieldName, AllowedChars) VALUES ('Output UB Box 67 F', 'Other DX Codes F', 'OCROthDiagCode6',0, 9, 0, 'CLM-DIAGNOSIS-CODE-7
CLM-CODE-TYPE-IND_CODE-7', 'A-Z,0-9')</v>
      </c>
    </row>
    <row r="206" spans="1:18" x14ac:dyDescent="0.35">
      <c r="A206" s="8"/>
      <c r="B206" s="8" t="s">
        <v>1597</v>
      </c>
      <c r="C206" s="8" t="s">
        <v>647</v>
      </c>
      <c r="D206" s="8" t="s">
        <v>648</v>
      </c>
      <c r="E206" s="8" t="s">
        <v>1377</v>
      </c>
      <c r="F206" s="8" t="s">
        <v>1377</v>
      </c>
      <c r="G206" s="8">
        <v>0</v>
      </c>
      <c r="H206" s="8">
        <v>1</v>
      </c>
      <c r="I206" s="8">
        <v>0</v>
      </c>
      <c r="J206" s="8" t="s">
        <v>1377</v>
      </c>
      <c r="K206" s="8" t="s">
        <v>1520</v>
      </c>
      <c r="L206" s="8" t="s">
        <v>1377</v>
      </c>
      <c r="M206" s="15" t="s">
        <v>1377</v>
      </c>
      <c r="N206" s="17" t="s">
        <v>1599</v>
      </c>
      <c r="O206" s="19"/>
      <c r="P206" s="8"/>
      <c r="R206" t="str">
        <f t="shared" si="4"/>
        <v>INSERT INTO TransformationEngine_Field (FieldName, FieldDescription, SourceFieldName, DetailField, Length, Required, OutputFieldName, AllowedChars) VALUES ('Output UB Box 67 F', 'Other DX Codes POA F', 'OCROthDiagPOA6',0, 1, 0, 'CLM-POA-IND_CODE-7', 'Y, ,N')</v>
      </c>
    </row>
    <row r="207" spans="1:18" ht="26" x14ac:dyDescent="0.35">
      <c r="A207" s="8"/>
      <c r="B207" s="8" t="s">
        <v>1600</v>
      </c>
      <c r="C207" s="8" t="s">
        <v>650</v>
      </c>
      <c r="D207" s="8" t="s">
        <v>651</v>
      </c>
      <c r="E207" s="8" t="s">
        <v>1377</v>
      </c>
      <c r="F207" s="8" t="s">
        <v>1377</v>
      </c>
      <c r="G207" s="8">
        <v>0</v>
      </c>
      <c r="H207" s="8">
        <v>9</v>
      </c>
      <c r="I207" s="8">
        <v>0</v>
      </c>
      <c r="J207" s="8" t="s">
        <v>1377</v>
      </c>
      <c r="K207" s="8" t="s">
        <v>71</v>
      </c>
      <c r="L207" s="8" t="s">
        <v>1377</v>
      </c>
      <c r="M207" s="15" t="s">
        <v>1377</v>
      </c>
      <c r="N207" s="17" t="s">
        <v>1601</v>
      </c>
      <c r="O207" s="19"/>
      <c r="P207" s="8"/>
      <c r="R207" t="str">
        <f t="shared" si="4"/>
        <v>INSERT INTO TransformationEngine_Field (FieldName, FieldDescription, SourceFieldName, DetailField, Length, Required, OutputFieldName, AllowedChars) VALUES ('Output UB Box 67 G', 'Other DX Codes G', 'OCROthDiagCode7',0, 9, 0, 'CLM-DIAGNOSIS-CODE-8
CLM-CODE-TYPE-IND_CODE-8', 'A-Z,0-9')</v>
      </c>
    </row>
    <row r="208" spans="1:18" x14ac:dyDescent="0.35">
      <c r="A208" s="8"/>
      <c r="B208" s="8" t="s">
        <v>1600</v>
      </c>
      <c r="C208" s="8" t="s">
        <v>652</v>
      </c>
      <c r="D208" s="8" t="s">
        <v>653</v>
      </c>
      <c r="E208" s="8" t="s">
        <v>1377</v>
      </c>
      <c r="F208" s="8" t="s">
        <v>1377</v>
      </c>
      <c r="G208" s="8">
        <v>0</v>
      </c>
      <c r="H208" s="8">
        <v>1</v>
      </c>
      <c r="I208" s="8">
        <v>0</v>
      </c>
      <c r="J208" s="8" t="s">
        <v>1377</v>
      </c>
      <c r="K208" s="8" t="s">
        <v>1520</v>
      </c>
      <c r="L208" s="8" t="s">
        <v>1377</v>
      </c>
      <c r="M208" s="15" t="s">
        <v>1377</v>
      </c>
      <c r="N208" s="17" t="s">
        <v>1602</v>
      </c>
      <c r="O208" s="19"/>
      <c r="P208" s="8"/>
      <c r="R208" t="str">
        <f t="shared" si="4"/>
        <v>INSERT INTO TransformationEngine_Field (FieldName, FieldDescription, SourceFieldName, DetailField, Length, Required, OutputFieldName, AllowedChars) VALUES ('Output UB Box 67 G', 'Other DX Codes POA G', 'OCROthDiagPOA7',0, 1, 0, 'CLM-POA-IND_CODE-8', 'Y, ,N')</v>
      </c>
    </row>
    <row r="209" spans="1:18" ht="26" x14ac:dyDescent="0.35">
      <c r="A209" s="8"/>
      <c r="B209" s="8" t="s">
        <v>1603</v>
      </c>
      <c r="C209" s="8" t="s">
        <v>655</v>
      </c>
      <c r="D209" s="8" t="s">
        <v>656</v>
      </c>
      <c r="E209" s="8" t="s">
        <v>1377</v>
      </c>
      <c r="F209" s="8" t="s">
        <v>1377</v>
      </c>
      <c r="G209" s="8">
        <v>0</v>
      </c>
      <c r="H209" s="8">
        <v>9</v>
      </c>
      <c r="I209" s="8">
        <v>0</v>
      </c>
      <c r="J209" s="8" t="s">
        <v>1377</v>
      </c>
      <c r="K209" s="8" t="s">
        <v>71</v>
      </c>
      <c r="L209" s="8" t="s">
        <v>1377</v>
      </c>
      <c r="M209" s="15" t="s">
        <v>1377</v>
      </c>
      <c r="N209" s="17" t="s">
        <v>1604</v>
      </c>
      <c r="O209" s="19"/>
      <c r="P209" s="8"/>
      <c r="R209" t="str">
        <f t="shared" si="4"/>
        <v>INSERT INTO TransformationEngine_Field (FieldName, FieldDescription, SourceFieldName, DetailField, Length, Required, OutputFieldName, AllowedChars) VALUES ('Output UB Box 67 H', 'Other DX Codes H', 'OCROthDiagCode8',0, 9, 0, 'CLM-DIAGNOSIS-CODE-9
CLM-CODE-TYPE-IND_CODE-9', 'A-Z,0-9')</v>
      </c>
    </row>
    <row r="210" spans="1:18" x14ac:dyDescent="0.35">
      <c r="A210" s="8"/>
      <c r="B210" s="8" t="s">
        <v>1603</v>
      </c>
      <c r="C210" s="8" t="s">
        <v>657</v>
      </c>
      <c r="D210" s="8" t="s">
        <v>658</v>
      </c>
      <c r="E210" s="8" t="s">
        <v>1377</v>
      </c>
      <c r="F210" s="8" t="s">
        <v>1377</v>
      </c>
      <c r="G210" s="8">
        <v>0</v>
      </c>
      <c r="H210" s="8">
        <v>1</v>
      </c>
      <c r="I210" s="8">
        <v>0</v>
      </c>
      <c r="J210" s="8" t="s">
        <v>1377</v>
      </c>
      <c r="K210" s="8" t="s">
        <v>1520</v>
      </c>
      <c r="L210" s="8" t="s">
        <v>1377</v>
      </c>
      <c r="M210" s="15" t="s">
        <v>1377</v>
      </c>
      <c r="N210" s="17" t="s">
        <v>1605</v>
      </c>
      <c r="O210" s="19"/>
      <c r="P210" s="8"/>
      <c r="R210" t="str">
        <f t="shared" si="4"/>
        <v>INSERT INTO TransformationEngine_Field (FieldName, FieldDescription, SourceFieldName, DetailField, Length, Required, OutputFieldName, AllowedChars) VALUES ('Output UB Box 67 H', 'Other DX Codes POA H', 'OCROthDiagPOA8',0, 1, 0, 'CLM-POA-IND_CODE-9', 'Y, ,N')</v>
      </c>
    </row>
    <row r="211" spans="1:18" ht="26" x14ac:dyDescent="0.35">
      <c r="A211" s="8"/>
      <c r="B211" s="8" t="s">
        <v>1606</v>
      </c>
      <c r="C211" s="8" t="s">
        <v>660</v>
      </c>
      <c r="D211" s="8" t="s">
        <v>662</v>
      </c>
      <c r="E211" s="8" t="s">
        <v>1377</v>
      </c>
      <c r="F211" s="8" t="s">
        <v>1377</v>
      </c>
      <c r="G211" s="8">
        <v>0</v>
      </c>
      <c r="H211" s="8">
        <v>9</v>
      </c>
      <c r="I211" s="8">
        <v>0</v>
      </c>
      <c r="J211" s="8" t="s">
        <v>1377</v>
      </c>
      <c r="K211" s="8" t="s">
        <v>71</v>
      </c>
      <c r="L211" s="8" t="s">
        <v>1377</v>
      </c>
      <c r="M211" s="15" t="s">
        <v>1377</v>
      </c>
      <c r="N211" s="17" t="s">
        <v>1607</v>
      </c>
      <c r="O211" s="19"/>
      <c r="P211" s="8"/>
      <c r="R211" t="str">
        <f t="shared" si="4"/>
        <v>INSERT INTO TransformationEngine_Field (FieldName, FieldDescription, SourceFieldName, DetailField, Length, Required, OutputFieldName, AllowedChars) VALUES ('Output UB Box 67 I', 'Other DX Codes I', 'OCROthDiagCode9',0, 9, 0, 'CLM-DIAGNOSIS-CODE-10
CLM-CODE-TYPE-IND_CODE-10', 'A-Z,0-9')</v>
      </c>
    </row>
    <row r="212" spans="1:18" x14ac:dyDescent="0.35">
      <c r="A212" s="8"/>
      <c r="B212" s="8" t="s">
        <v>1606</v>
      </c>
      <c r="C212" s="8" t="s">
        <v>663</v>
      </c>
      <c r="D212" s="8" t="s">
        <v>665</v>
      </c>
      <c r="E212" s="8" t="s">
        <v>1377</v>
      </c>
      <c r="F212" s="8" t="s">
        <v>1377</v>
      </c>
      <c r="G212" s="8">
        <v>0</v>
      </c>
      <c r="H212" s="8">
        <v>1</v>
      </c>
      <c r="I212" s="8">
        <v>0</v>
      </c>
      <c r="J212" s="8" t="s">
        <v>1377</v>
      </c>
      <c r="K212" s="8" t="s">
        <v>1520</v>
      </c>
      <c r="L212" s="8" t="s">
        <v>1377</v>
      </c>
      <c r="M212" s="15" t="s">
        <v>1377</v>
      </c>
      <c r="N212" s="17" t="s">
        <v>1608</v>
      </c>
      <c r="O212" s="19"/>
      <c r="P212" s="8"/>
      <c r="R212" t="str">
        <f t="shared" si="4"/>
        <v>INSERT INTO TransformationEngine_Field (FieldName, FieldDescription, SourceFieldName, DetailField, Length, Required, OutputFieldName, AllowedChars) VALUES ('Output UB Box 67 I', 'Other DX Codes POA I', 'OCROthDiagPOA9',0, 1, 0, 'CLM-POA-IND_CODE-10', 'Y, ,N')</v>
      </c>
    </row>
    <row r="213" spans="1:18" ht="26" x14ac:dyDescent="0.35">
      <c r="A213" s="8"/>
      <c r="B213" s="8" t="s">
        <v>1609</v>
      </c>
      <c r="C213" s="8" t="s">
        <v>667</v>
      </c>
      <c r="D213" s="8" t="s">
        <v>669</v>
      </c>
      <c r="E213" s="8" t="s">
        <v>1377</v>
      </c>
      <c r="F213" s="8" t="s">
        <v>1377</v>
      </c>
      <c r="G213" s="8">
        <v>0</v>
      </c>
      <c r="H213" s="8">
        <v>9</v>
      </c>
      <c r="I213" s="8">
        <v>0</v>
      </c>
      <c r="J213" s="8" t="s">
        <v>1377</v>
      </c>
      <c r="K213" s="8" t="s">
        <v>71</v>
      </c>
      <c r="L213" s="8" t="s">
        <v>1377</v>
      </c>
      <c r="M213" s="15" t="s">
        <v>1377</v>
      </c>
      <c r="N213" s="17" t="s">
        <v>1610</v>
      </c>
      <c r="O213" s="19"/>
      <c r="P213" s="8"/>
      <c r="R213" t="str">
        <f t="shared" si="4"/>
        <v>INSERT INTO TransformationEngine_Field (FieldName, FieldDescription, SourceFieldName, DetailField, Length, Required, OutputFieldName, AllowedChars) VALUES ('Output UB Box 67 J', 'Other DX Codes J', 'OCROthDiagCode10',0, 9, 0, 'CLM-DIAGNOSIS-CODE-11
CLM-CODE-TYPE-IND_CODE-11', 'A-Z,0-9')</v>
      </c>
    </row>
    <row r="214" spans="1:18" x14ac:dyDescent="0.35">
      <c r="A214" s="8"/>
      <c r="B214" s="8" t="s">
        <v>1609</v>
      </c>
      <c r="C214" s="8" t="s">
        <v>670</v>
      </c>
      <c r="D214" s="8" t="s">
        <v>672</v>
      </c>
      <c r="E214" s="8" t="s">
        <v>1377</v>
      </c>
      <c r="F214" s="8" t="s">
        <v>1377</v>
      </c>
      <c r="G214" s="8">
        <v>0</v>
      </c>
      <c r="H214" s="8">
        <v>1</v>
      </c>
      <c r="I214" s="8">
        <v>0</v>
      </c>
      <c r="J214" s="8" t="s">
        <v>1377</v>
      </c>
      <c r="K214" s="8" t="s">
        <v>1520</v>
      </c>
      <c r="L214" s="8" t="s">
        <v>1377</v>
      </c>
      <c r="M214" s="15" t="s">
        <v>1377</v>
      </c>
      <c r="N214" s="17" t="s">
        <v>1611</v>
      </c>
      <c r="O214" s="19"/>
      <c r="P214" s="8"/>
      <c r="R214" t="str">
        <f t="shared" si="4"/>
        <v>INSERT INTO TransformationEngine_Field (FieldName, FieldDescription, SourceFieldName, DetailField, Length, Required, OutputFieldName, AllowedChars) VALUES ('Output UB Box 67 J', 'Other DX Codes POA J', 'OCROthDiagPOA10',0, 1, 0, 'CLM-POA-IND_CODE-11', 'Y, ,N')</v>
      </c>
    </row>
    <row r="215" spans="1:18" ht="26" x14ac:dyDescent="0.35">
      <c r="A215" s="8"/>
      <c r="B215" s="8" t="s">
        <v>1612</v>
      </c>
      <c r="C215" s="8" t="s">
        <v>674</v>
      </c>
      <c r="D215" s="8" t="s">
        <v>676</v>
      </c>
      <c r="E215" s="8" t="s">
        <v>1377</v>
      </c>
      <c r="F215" s="8" t="s">
        <v>1377</v>
      </c>
      <c r="G215" s="8">
        <v>0</v>
      </c>
      <c r="H215" s="8">
        <v>9</v>
      </c>
      <c r="I215" s="8">
        <v>0</v>
      </c>
      <c r="J215" s="8" t="s">
        <v>1377</v>
      </c>
      <c r="K215" s="8" t="s">
        <v>71</v>
      </c>
      <c r="L215" s="8" t="s">
        <v>1377</v>
      </c>
      <c r="M215" s="15" t="s">
        <v>1377</v>
      </c>
      <c r="N215" s="17" t="s">
        <v>1613</v>
      </c>
      <c r="O215" s="19"/>
      <c r="P215" s="8"/>
      <c r="R215" t="str">
        <f t="shared" si="4"/>
        <v>INSERT INTO TransformationEngine_Field (FieldName, FieldDescription, SourceFieldName, DetailField, Length, Required, OutputFieldName, AllowedChars) VALUES ('Output UB Box 67 K', 'Other DX Codes K', 'OCROthDiagCode11',0, 9, 0, 'CLM-DIAGNOSIS-CODE-12
CLM-CODE-TYPE-IND_CODE-12', 'A-Z,0-9')</v>
      </c>
    </row>
    <row r="216" spans="1:18" x14ac:dyDescent="0.35">
      <c r="A216" s="8"/>
      <c r="B216" s="8" t="s">
        <v>1612</v>
      </c>
      <c r="C216" s="8" t="s">
        <v>677</v>
      </c>
      <c r="D216" s="8" t="s">
        <v>679</v>
      </c>
      <c r="E216" s="8" t="s">
        <v>1377</v>
      </c>
      <c r="F216" s="8" t="s">
        <v>1377</v>
      </c>
      <c r="G216" s="8">
        <v>0</v>
      </c>
      <c r="H216" s="8">
        <v>1</v>
      </c>
      <c r="I216" s="8">
        <v>0</v>
      </c>
      <c r="J216" s="8" t="s">
        <v>1377</v>
      </c>
      <c r="K216" s="8" t="s">
        <v>1520</v>
      </c>
      <c r="L216" s="8" t="s">
        <v>1377</v>
      </c>
      <c r="M216" s="15" t="s">
        <v>1377</v>
      </c>
      <c r="N216" s="17" t="s">
        <v>1614</v>
      </c>
      <c r="O216" s="19"/>
      <c r="P216" s="8"/>
      <c r="R216" t="str">
        <f t="shared" si="4"/>
        <v>INSERT INTO TransformationEngine_Field (FieldName, FieldDescription, SourceFieldName, DetailField, Length, Required, OutputFieldName, AllowedChars) VALUES ('Output UB Box 67 K', 'Other DX Codes POA K', 'OCROthDiagPOA11',0, 1, 0, 'CLM-POA-IND_CODE-12', 'Y, ,N')</v>
      </c>
    </row>
    <row r="217" spans="1:18" ht="26" x14ac:dyDescent="0.35">
      <c r="A217" s="8"/>
      <c r="B217" s="8" t="s">
        <v>1615</v>
      </c>
      <c r="C217" s="8" t="s">
        <v>681</v>
      </c>
      <c r="D217" s="8" t="s">
        <v>683</v>
      </c>
      <c r="E217" s="8" t="s">
        <v>1377</v>
      </c>
      <c r="F217" s="8" t="s">
        <v>1377</v>
      </c>
      <c r="G217" s="8">
        <v>0</v>
      </c>
      <c r="H217" s="8">
        <v>9</v>
      </c>
      <c r="I217" s="8">
        <v>0</v>
      </c>
      <c r="J217" s="8" t="s">
        <v>1377</v>
      </c>
      <c r="K217" s="8" t="s">
        <v>71</v>
      </c>
      <c r="L217" s="8" t="s">
        <v>1377</v>
      </c>
      <c r="M217" s="15" t="s">
        <v>1377</v>
      </c>
      <c r="N217" s="17" t="s">
        <v>1616</v>
      </c>
      <c r="O217" s="19"/>
      <c r="P217" s="8"/>
      <c r="R217" t="str">
        <f t="shared" si="4"/>
        <v>INSERT INTO TransformationEngine_Field (FieldName, FieldDescription, SourceFieldName, DetailField, Length, Required, OutputFieldName, AllowedChars) VALUES ('Output UB Box 67 L', 'Other DX Codes L', 'OCROthDiagCode12',0, 9, 0, 'CLM-DIAGNOSIS-CODE-13
CLM-CODE-TYPE-IND_CODE-13', 'A-Z,0-9')</v>
      </c>
    </row>
    <row r="218" spans="1:18" x14ac:dyDescent="0.35">
      <c r="A218" s="8"/>
      <c r="B218" s="8" t="s">
        <v>1615</v>
      </c>
      <c r="C218" s="8" t="s">
        <v>684</v>
      </c>
      <c r="D218" s="8" t="s">
        <v>686</v>
      </c>
      <c r="E218" s="8" t="s">
        <v>1377</v>
      </c>
      <c r="F218" s="8" t="s">
        <v>1377</v>
      </c>
      <c r="G218" s="8">
        <v>0</v>
      </c>
      <c r="H218" s="8">
        <v>1</v>
      </c>
      <c r="I218" s="8">
        <v>0</v>
      </c>
      <c r="J218" s="8" t="s">
        <v>1377</v>
      </c>
      <c r="K218" s="8" t="s">
        <v>1520</v>
      </c>
      <c r="L218" s="8" t="s">
        <v>1377</v>
      </c>
      <c r="M218" s="15" t="s">
        <v>1377</v>
      </c>
      <c r="N218" s="17" t="s">
        <v>1617</v>
      </c>
      <c r="O218" s="19"/>
      <c r="P218" s="8"/>
      <c r="R218" t="str">
        <f t="shared" si="4"/>
        <v>INSERT INTO TransformationEngine_Field (FieldName, FieldDescription, SourceFieldName, DetailField, Length, Required, OutputFieldName, AllowedChars) VALUES ('Output UB Box 67 L', 'Other DX Codes POA L', 'OCROthDiagPOA12',0, 1, 0, 'CLM-POA-IND_CODE-13', 'Y, ,N')</v>
      </c>
    </row>
    <row r="219" spans="1:18" ht="26" x14ac:dyDescent="0.35">
      <c r="A219" s="8"/>
      <c r="B219" s="8" t="s">
        <v>1618</v>
      </c>
      <c r="C219" s="8" t="s">
        <v>688</v>
      </c>
      <c r="D219" s="8" t="s">
        <v>690</v>
      </c>
      <c r="E219" s="8" t="s">
        <v>1377</v>
      </c>
      <c r="F219" s="8" t="s">
        <v>1377</v>
      </c>
      <c r="G219" s="8">
        <v>0</v>
      </c>
      <c r="H219" s="8">
        <v>9</v>
      </c>
      <c r="I219" s="8">
        <v>0</v>
      </c>
      <c r="J219" s="8" t="s">
        <v>1377</v>
      </c>
      <c r="K219" s="8" t="s">
        <v>71</v>
      </c>
      <c r="L219" s="8" t="s">
        <v>1377</v>
      </c>
      <c r="M219" s="15" t="s">
        <v>1377</v>
      </c>
      <c r="N219" s="17" t="s">
        <v>1619</v>
      </c>
      <c r="O219" s="19"/>
      <c r="P219" s="8"/>
      <c r="R219" t="str">
        <f t="shared" si="4"/>
        <v>INSERT INTO TransformationEngine_Field (FieldName, FieldDescription, SourceFieldName, DetailField, Length, Required, OutputFieldName, AllowedChars) VALUES ('Output UB Box 67 M', 'Other DX Codes M', 'OCROthDiagCode13',0, 9, 0, 'CLM-DIAGNOSIS-CODE-14
CLM-CODE-TYPE-IND_CODE-14', 'A-Z,0-9')</v>
      </c>
    </row>
    <row r="220" spans="1:18" x14ac:dyDescent="0.35">
      <c r="A220" s="8"/>
      <c r="B220" s="8" t="s">
        <v>1618</v>
      </c>
      <c r="C220" s="8" t="s">
        <v>684</v>
      </c>
      <c r="D220" s="8" t="s">
        <v>692</v>
      </c>
      <c r="E220" s="8" t="s">
        <v>1377</v>
      </c>
      <c r="F220" s="8" t="s">
        <v>1377</v>
      </c>
      <c r="G220" s="8">
        <v>0</v>
      </c>
      <c r="H220" s="8">
        <v>1</v>
      </c>
      <c r="I220" s="8">
        <v>0</v>
      </c>
      <c r="J220" s="8" t="s">
        <v>1377</v>
      </c>
      <c r="K220" s="8" t="s">
        <v>1520</v>
      </c>
      <c r="L220" s="8" t="s">
        <v>1377</v>
      </c>
      <c r="M220" s="15" t="s">
        <v>1377</v>
      </c>
      <c r="N220" s="17" t="s">
        <v>1620</v>
      </c>
      <c r="O220" s="19"/>
      <c r="P220" s="8"/>
      <c r="R220" t="str">
        <f t="shared" si="4"/>
        <v>INSERT INTO TransformationEngine_Field (FieldName, FieldDescription, SourceFieldName, DetailField, Length, Required, OutputFieldName, AllowedChars) VALUES ('Output UB Box 67 M', 'Other DX Codes POA L', 'OCROthDiagPOA13',0, 1, 0, 'CLM-POA-IND_CODE-14', 'Y, ,N')</v>
      </c>
    </row>
    <row r="221" spans="1:18" ht="26" x14ac:dyDescent="0.35">
      <c r="A221" s="8"/>
      <c r="B221" s="8" t="s">
        <v>1621</v>
      </c>
      <c r="C221" s="8" t="s">
        <v>694</v>
      </c>
      <c r="D221" s="8" t="s">
        <v>696</v>
      </c>
      <c r="E221" s="8" t="s">
        <v>1377</v>
      </c>
      <c r="F221" s="8" t="s">
        <v>1377</v>
      </c>
      <c r="G221" s="8">
        <v>0</v>
      </c>
      <c r="H221" s="8">
        <v>9</v>
      </c>
      <c r="I221" s="8">
        <v>0</v>
      </c>
      <c r="J221" s="8" t="s">
        <v>1377</v>
      </c>
      <c r="K221" s="8" t="s">
        <v>71</v>
      </c>
      <c r="L221" s="8" t="s">
        <v>1377</v>
      </c>
      <c r="M221" s="15" t="s">
        <v>1377</v>
      </c>
      <c r="N221" s="17" t="s">
        <v>1622</v>
      </c>
      <c r="O221" s="19"/>
      <c r="P221" s="8"/>
      <c r="R221" t="str">
        <f t="shared" si="4"/>
        <v>INSERT INTO TransformationEngine_Field (FieldName, FieldDescription, SourceFieldName, DetailField, Length, Required, OutputFieldName, AllowedChars) VALUES ('Output UB Box 67 N', 'Other DX Codes N', 'OCROthDiagCode14',0, 9, 0, 'CLM-DIAGNOSIS-CODE-15
CLM-CODE-TYPE-IND_CODE-15', 'A-Z,0-9')</v>
      </c>
    </row>
    <row r="222" spans="1:18" x14ac:dyDescent="0.35">
      <c r="A222" s="8"/>
      <c r="B222" s="8" t="s">
        <v>1621</v>
      </c>
      <c r="C222" s="8" t="s">
        <v>697</v>
      </c>
      <c r="D222" s="8" t="s">
        <v>699</v>
      </c>
      <c r="E222" s="8" t="s">
        <v>1377</v>
      </c>
      <c r="F222" s="8" t="s">
        <v>1377</v>
      </c>
      <c r="G222" s="8">
        <v>0</v>
      </c>
      <c r="H222" s="8">
        <v>1</v>
      </c>
      <c r="I222" s="8">
        <v>0</v>
      </c>
      <c r="J222" s="8" t="s">
        <v>1377</v>
      </c>
      <c r="K222" s="8" t="s">
        <v>1520</v>
      </c>
      <c r="L222" s="8" t="s">
        <v>1377</v>
      </c>
      <c r="M222" s="15" t="s">
        <v>1377</v>
      </c>
      <c r="N222" s="17" t="s">
        <v>1623</v>
      </c>
      <c r="O222" s="19"/>
      <c r="P222" s="8"/>
      <c r="R222" t="str">
        <f t="shared" si="4"/>
        <v>INSERT INTO TransformationEngine_Field (FieldName, FieldDescription, SourceFieldName, DetailField, Length, Required, OutputFieldName, AllowedChars) VALUES ('Output UB Box 67 N', 'Other DX Codes POA N', 'OCROthDiagPOA14',0, 1, 0, 'CLM-POA-IND_CODE-15', 'Y, ,N')</v>
      </c>
    </row>
    <row r="223" spans="1:18" ht="26" x14ac:dyDescent="0.35">
      <c r="A223" s="8"/>
      <c r="B223" s="8" t="s">
        <v>1624</v>
      </c>
      <c r="C223" s="8" t="s">
        <v>701</v>
      </c>
      <c r="D223" s="8" t="s">
        <v>703</v>
      </c>
      <c r="E223" s="8" t="s">
        <v>1377</v>
      </c>
      <c r="F223" s="8" t="s">
        <v>1377</v>
      </c>
      <c r="G223" s="8">
        <v>0</v>
      </c>
      <c r="H223" s="8">
        <v>9</v>
      </c>
      <c r="I223" s="8">
        <v>0</v>
      </c>
      <c r="J223" s="8" t="s">
        <v>1377</v>
      </c>
      <c r="K223" s="8" t="s">
        <v>71</v>
      </c>
      <c r="L223" s="8" t="s">
        <v>1377</v>
      </c>
      <c r="M223" s="15" t="s">
        <v>1377</v>
      </c>
      <c r="N223" s="17" t="s">
        <v>1625</v>
      </c>
      <c r="O223" s="19"/>
      <c r="P223" s="8"/>
      <c r="R223" t="str">
        <f t="shared" si="4"/>
        <v>INSERT INTO TransformationEngine_Field (FieldName, FieldDescription, SourceFieldName, DetailField, Length, Required, OutputFieldName, AllowedChars) VALUES ('Output UB Box 67 0', 'Other DX Codes O', 'OCROthDiagCode15',0, 9, 0, 'CLM-DIAGNOSIS-CODE-16
CLM-CODE-TYPE-IND_CODE-16', 'A-Z,0-9')</v>
      </c>
    </row>
    <row r="224" spans="1:18" x14ac:dyDescent="0.35">
      <c r="A224" s="8"/>
      <c r="B224" s="8" t="s">
        <v>1624</v>
      </c>
      <c r="C224" s="8" t="s">
        <v>704</v>
      </c>
      <c r="D224" s="8" t="s">
        <v>706</v>
      </c>
      <c r="E224" s="8" t="s">
        <v>1377</v>
      </c>
      <c r="F224" s="8" t="s">
        <v>1377</v>
      </c>
      <c r="G224" s="8">
        <v>0</v>
      </c>
      <c r="H224" s="8">
        <v>1</v>
      </c>
      <c r="I224" s="8">
        <v>0</v>
      </c>
      <c r="J224" s="8" t="s">
        <v>1377</v>
      </c>
      <c r="K224" s="8" t="s">
        <v>1520</v>
      </c>
      <c r="L224" s="8" t="s">
        <v>1377</v>
      </c>
      <c r="M224" s="15" t="s">
        <v>1377</v>
      </c>
      <c r="N224" s="17" t="s">
        <v>1626</v>
      </c>
      <c r="O224" s="19"/>
      <c r="P224" s="8"/>
      <c r="R224" t="str">
        <f t="shared" si="4"/>
        <v>INSERT INTO TransformationEngine_Field (FieldName, FieldDescription, SourceFieldName, DetailField, Length, Required, OutputFieldName, AllowedChars) VALUES ('Output UB Box 67 0', 'Other DX Codes POA O', 'OCROthDiagPOA15',0, 1, 0, 'CLM-POA-IND_CODE-16', 'Y, ,N')</v>
      </c>
    </row>
    <row r="225" spans="1:18" ht="26" x14ac:dyDescent="0.35">
      <c r="A225" s="8"/>
      <c r="B225" s="8" t="s">
        <v>1627</v>
      </c>
      <c r="C225" s="8" t="s">
        <v>708</v>
      </c>
      <c r="D225" s="8" t="s">
        <v>710</v>
      </c>
      <c r="E225" s="8" t="s">
        <v>1377</v>
      </c>
      <c r="F225" s="8" t="s">
        <v>1377</v>
      </c>
      <c r="G225" s="8">
        <v>0</v>
      </c>
      <c r="H225" s="8">
        <v>9</v>
      </c>
      <c r="I225" s="8">
        <v>0</v>
      </c>
      <c r="J225" s="8" t="s">
        <v>1377</v>
      </c>
      <c r="K225" s="8" t="s">
        <v>71</v>
      </c>
      <c r="L225" s="8" t="s">
        <v>1377</v>
      </c>
      <c r="M225" s="15" t="s">
        <v>1377</v>
      </c>
      <c r="N225" s="17" t="s">
        <v>1628</v>
      </c>
      <c r="O225" s="19"/>
      <c r="P225" s="8"/>
      <c r="R225" t="str">
        <f t="shared" si="4"/>
        <v>INSERT INTO TransformationEngine_Field (FieldName, FieldDescription, SourceFieldName, DetailField, Length, Required, OutputFieldName, AllowedChars) VALUES ('Output UB Box 67 P', 'Other DX Codes P', 'OCROthDiagCode16',0, 9, 0, 'CLM-DIAGNOSIS-CODE-17
CLM-CODE-TYPE-IND_CODE-17', 'A-Z,0-9')</v>
      </c>
    </row>
    <row r="226" spans="1:18" x14ac:dyDescent="0.35">
      <c r="A226" s="8"/>
      <c r="B226" s="8" t="s">
        <v>1627</v>
      </c>
      <c r="C226" s="8" t="s">
        <v>711</v>
      </c>
      <c r="D226" s="8" t="s">
        <v>713</v>
      </c>
      <c r="E226" s="8" t="s">
        <v>1377</v>
      </c>
      <c r="F226" s="8" t="s">
        <v>1377</v>
      </c>
      <c r="G226" s="8">
        <v>0</v>
      </c>
      <c r="H226" s="8">
        <v>1</v>
      </c>
      <c r="I226" s="8">
        <v>0</v>
      </c>
      <c r="J226" s="8" t="s">
        <v>1377</v>
      </c>
      <c r="K226" s="8" t="s">
        <v>1520</v>
      </c>
      <c r="L226" s="8" t="s">
        <v>1377</v>
      </c>
      <c r="M226" s="15" t="s">
        <v>1377</v>
      </c>
      <c r="N226" s="17" t="s">
        <v>1629</v>
      </c>
      <c r="O226" s="19"/>
      <c r="P226" s="8"/>
      <c r="R226" t="str">
        <f t="shared" si="4"/>
        <v>INSERT INTO TransformationEngine_Field (FieldName, FieldDescription, SourceFieldName, DetailField, Length, Required, OutputFieldName, AllowedChars) VALUES ('Output UB Box 67 P', 'Other DX Codes POA P', 'OCROthDiagPOA16',0, 1, 0, 'CLM-POA-IND_CODE-17', 'Y, ,N')</v>
      </c>
    </row>
    <row r="227" spans="1:18" ht="26" x14ac:dyDescent="0.35">
      <c r="A227" s="8"/>
      <c r="B227" s="8" t="s">
        <v>1630</v>
      </c>
      <c r="C227" s="8" t="s">
        <v>715</v>
      </c>
      <c r="D227" s="8" t="s">
        <v>717</v>
      </c>
      <c r="E227" s="8" t="s">
        <v>1377</v>
      </c>
      <c r="F227" s="8" t="s">
        <v>1377</v>
      </c>
      <c r="G227" s="8">
        <v>0</v>
      </c>
      <c r="H227" s="8">
        <v>9</v>
      </c>
      <c r="I227" s="8">
        <v>0</v>
      </c>
      <c r="J227" s="8" t="s">
        <v>1377</v>
      </c>
      <c r="K227" s="8" t="s">
        <v>71</v>
      </c>
      <c r="L227" s="8" t="s">
        <v>1377</v>
      </c>
      <c r="M227" s="15" t="s">
        <v>1377</v>
      </c>
      <c r="N227" s="17" t="s">
        <v>1631</v>
      </c>
      <c r="O227" s="19"/>
      <c r="P227" s="8"/>
      <c r="R227" t="str">
        <f t="shared" si="4"/>
        <v>INSERT INTO TransformationEngine_Field (FieldName, FieldDescription, SourceFieldName, DetailField, Length, Required, OutputFieldName, AllowedChars) VALUES ('Output UB Box 67 Q', 'Other DX Codes Q', 'OCROthDiagCode17',0, 9, 0, 'CLM-DIAGNOSIS-CODE-18
CLM-CODE-TYPE-IND_CODE-18', 'A-Z,0-9')</v>
      </c>
    </row>
    <row r="228" spans="1:18" x14ac:dyDescent="0.35">
      <c r="A228" s="8"/>
      <c r="B228" s="8" t="s">
        <v>1630</v>
      </c>
      <c r="C228" s="8" t="s">
        <v>718</v>
      </c>
      <c r="D228" s="8" t="s">
        <v>720</v>
      </c>
      <c r="E228" s="8" t="s">
        <v>1377</v>
      </c>
      <c r="F228" s="8" t="s">
        <v>1377</v>
      </c>
      <c r="G228" s="8">
        <v>0</v>
      </c>
      <c r="H228" s="8">
        <v>1</v>
      </c>
      <c r="I228" s="8">
        <v>0</v>
      </c>
      <c r="J228" s="8" t="s">
        <v>1377</v>
      </c>
      <c r="K228" s="8" t="s">
        <v>1520</v>
      </c>
      <c r="L228" s="8" t="s">
        <v>1377</v>
      </c>
      <c r="M228" s="15" t="s">
        <v>1377</v>
      </c>
      <c r="N228" s="17" t="s">
        <v>1632</v>
      </c>
      <c r="O228" s="19"/>
      <c r="P228" s="8"/>
      <c r="R228" t="str">
        <f t="shared" si="4"/>
        <v>INSERT INTO TransformationEngine_Field (FieldName, FieldDescription, SourceFieldName, DetailField, Length, Required, OutputFieldName, AllowedChars) VALUES ('Output UB Box 67 Q', 'Other DX Codes POA Q', 'OCROthDiagPOA17',0, 1, 0, 'CLM-POA-IND_CODE-18', 'Y, ,N')</v>
      </c>
    </row>
    <row r="229" spans="1:18" x14ac:dyDescent="0.35">
      <c r="A229" s="8"/>
      <c r="B229" s="8" t="s">
        <v>1633</v>
      </c>
      <c r="C229" s="14" t="s">
        <v>722</v>
      </c>
      <c r="D229" s="14" t="s">
        <v>723</v>
      </c>
      <c r="E229" s="8" t="s">
        <v>1377</v>
      </c>
      <c r="F229" s="8" t="s">
        <v>1377</v>
      </c>
      <c r="G229" s="8">
        <v>0</v>
      </c>
      <c r="H229" s="8">
        <v>9</v>
      </c>
      <c r="I229" s="8">
        <v>0</v>
      </c>
      <c r="J229" s="8" t="s">
        <v>1377</v>
      </c>
      <c r="K229" s="8" t="s">
        <v>71</v>
      </c>
      <c r="L229" s="8" t="s">
        <v>1377</v>
      </c>
      <c r="M229" s="15" t="s">
        <v>1377</v>
      </c>
      <c r="N229" s="17"/>
      <c r="O229" s="19"/>
      <c r="P229" s="8"/>
      <c r="Q229" t="s">
        <v>1406</v>
      </c>
      <c r="R229" t="str">
        <f t="shared" si="4"/>
        <v>INSERT INTO TransformationEngine_Field (FieldName, FieldDescription, SourceFieldName, DetailField, Length, Required, OutputFieldName, AllowedChars) VALUES ('Output UB Box 68 A', 'Admitting Diagnosis Code A', 'OCR68DRGA',0, 9, 0, '', 'A-Z,0-9')</v>
      </c>
    </row>
    <row r="230" spans="1:18" x14ac:dyDescent="0.35">
      <c r="A230" s="8"/>
      <c r="B230" s="8" t="s">
        <v>1634</v>
      </c>
      <c r="C230" s="14" t="s">
        <v>725</v>
      </c>
      <c r="D230" s="14" t="s">
        <v>726</v>
      </c>
      <c r="E230" s="8" t="s">
        <v>1377</v>
      </c>
      <c r="F230" s="8" t="s">
        <v>1377</v>
      </c>
      <c r="G230" s="8">
        <v>0</v>
      </c>
      <c r="H230" s="8">
        <v>9</v>
      </c>
      <c r="I230" s="8">
        <v>0</v>
      </c>
      <c r="J230" s="8" t="s">
        <v>1377</v>
      </c>
      <c r="K230" s="8" t="s">
        <v>71</v>
      </c>
      <c r="L230" s="8" t="s">
        <v>1377</v>
      </c>
      <c r="M230" s="15" t="s">
        <v>1377</v>
      </c>
      <c r="N230" s="17"/>
      <c r="O230" s="19"/>
      <c r="P230" s="8"/>
      <c r="Q230" t="s">
        <v>1406</v>
      </c>
      <c r="R230" t="str">
        <f t="shared" si="4"/>
        <v>INSERT INTO TransformationEngine_Field (FieldName, FieldDescription, SourceFieldName, DetailField, Length, Required, OutputFieldName, AllowedChars) VALUES ('Output UB Box 68 B', 'Admitting Diagnosis Code B', 'OCR68DRGB',0, 9, 0, '', 'A-Z,0-9')</v>
      </c>
    </row>
    <row r="231" spans="1:18" ht="39" x14ac:dyDescent="0.35">
      <c r="A231" s="8"/>
      <c r="B231" s="8" t="s">
        <v>1635</v>
      </c>
      <c r="C231" s="14" t="s">
        <v>728</v>
      </c>
      <c r="D231" s="8" t="s">
        <v>729</v>
      </c>
      <c r="E231" s="8" t="s">
        <v>1377</v>
      </c>
      <c r="F231" s="8" t="s">
        <v>1377</v>
      </c>
      <c r="G231" s="8">
        <v>0</v>
      </c>
      <c r="H231" s="8">
        <v>9</v>
      </c>
      <c r="I231" s="8">
        <v>0</v>
      </c>
      <c r="J231" s="8" t="s">
        <v>1377</v>
      </c>
      <c r="K231" s="8" t="s">
        <v>71</v>
      </c>
      <c r="L231" s="8" t="s">
        <v>1377</v>
      </c>
      <c r="M231" s="15" t="s">
        <v>1377</v>
      </c>
      <c r="N231" s="17" t="s">
        <v>1636</v>
      </c>
      <c r="O231" s="19"/>
      <c r="P231" s="8"/>
      <c r="R231" t="str">
        <f t="shared" si="4"/>
        <v>INSERT INTO TransformationEngine_Field (FieldName, FieldDescription, SourceFieldName, DetailField, Length, Required, OutputFieldName, AllowedChars) VALUES ('Output UB Box 69', 'Admitting Diagnosis', 'OCRAdmitDiagCode',0, 9, 0, 'CLM-HOSP-ADMIT-DIAGNOSIS-CODE
CLM-HOSP-ADMIT-DIAG-CODE-TYPE-IND_CODE', 'A-Z,0-9')</v>
      </c>
    </row>
    <row r="232" spans="1:18" ht="26" x14ac:dyDescent="0.35">
      <c r="A232" s="8"/>
      <c r="B232" s="8" t="s">
        <v>1637</v>
      </c>
      <c r="C232" s="8" t="s">
        <v>731</v>
      </c>
      <c r="D232" s="8" t="s">
        <v>732</v>
      </c>
      <c r="E232" s="8" t="s">
        <v>1377</v>
      </c>
      <c r="F232" s="8" t="s">
        <v>1377</v>
      </c>
      <c r="G232" s="8">
        <v>0</v>
      </c>
      <c r="H232" s="8">
        <v>7</v>
      </c>
      <c r="I232" s="8">
        <v>0</v>
      </c>
      <c r="J232" s="8" t="s">
        <v>1377</v>
      </c>
      <c r="K232" s="8" t="s">
        <v>71</v>
      </c>
      <c r="L232" s="8" t="s">
        <v>1377</v>
      </c>
      <c r="M232" s="15" t="s">
        <v>1377</v>
      </c>
      <c r="N232" s="17" t="s">
        <v>1638</v>
      </c>
      <c r="O232" s="19"/>
      <c r="P232" s="8"/>
      <c r="R232" t="str">
        <f t="shared" si="4"/>
        <v>INSERT INTO TransformationEngine_Field (FieldName, FieldDescription, SourceFieldName, DetailField, Length, Required, OutputFieldName, AllowedChars) VALUES ('Output UB Box 70 a', 'Patient Reason DX Code a', 'OCRPatReasonDX1',0, 7, 0, 'CLM-PAT-RSN-CODE
CLM-PAT-RSN-TYPE-IND_CODE', 'A-Z,0-9')</v>
      </c>
    </row>
    <row r="233" spans="1:18" ht="26" x14ac:dyDescent="0.35">
      <c r="A233" s="8"/>
      <c r="B233" s="8" t="s">
        <v>1639</v>
      </c>
      <c r="C233" s="8" t="s">
        <v>734</v>
      </c>
      <c r="D233" s="8" t="s">
        <v>735</v>
      </c>
      <c r="E233" s="8" t="s">
        <v>1377</v>
      </c>
      <c r="F233" s="8" t="s">
        <v>1377</v>
      </c>
      <c r="G233" s="8">
        <v>0</v>
      </c>
      <c r="H233" s="8">
        <v>7</v>
      </c>
      <c r="I233" s="8">
        <v>0</v>
      </c>
      <c r="J233" s="8" t="s">
        <v>1377</v>
      </c>
      <c r="K233" s="8" t="s">
        <v>71</v>
      </c>
      <c r="L233" s="8" t="s">
        <v>1377</v>
      </c>
      <c r="M233" s="15" t="s">
        <v>1377</v>
      </c>
      <c r="N233" s="17" t="s">
        <v>1638</v>
      </c>
      <c r="O233" s="19"/>
      <c r="P233" s="8"/>
      <c r="R233" t="str">
        <f t="shared" si="4"/>
        <v>INSERT INTO TransformationEngine_Field (FieldName, FieldDescription, SourceFieldName, DetailField, Length, Required, OutputFieldName, AllowedChars) VALUES ('Output UB Box 70 b', 'Patient Reason DX Code b', 'OCRPatReasonDX2',0, 7, 0, 'CLM-PAT-RSN-CODE
CLM-PAT-RSN-TYPE-IND_CODE', 'A-Z,0-9')</v>
      </c>
    </row>
    <row r="234" spans="1:18" ht="26" x14ac:dyDescent="0.35">
      <c r="A234" s="8"/>
      <c r="B234" s="8" t="s">
        <v>1640</v>
      </c>
      <c r="C234" s="8" t="s">
        <v>737</v>
      </c>
      <c r="D234" s="8" t="s">
        <v>738</v>
      </c>
      <c r="E234" s="8" t="s">
        <v>1377</v>
      </c>
      <c r="F234" s="8" t="s">
        <v>1377</v>
      </c>
      <c r="G234" s="8">
        <v>0</v>
      </c>
      <c r="H234" s="8">
        <v>7</v>
      </c>
      <c r="I234" s="8">
        <v>0</v>
      </c>
      <c r="J234" s="8" t="s">
        <v>1377</v>
      </c>
      <c r="K234" s="8" t="s">
        <v>71</v>
      </c>
      <c r="L234" s="8" t="s">
        <v>1377</v>
      </c>
      <c r="M234" s="15" t="s">
        <v>1377</v>
      </c>
      <c r="N234" s="17" t="s">
        <v>1638</v>
      </c>
      <c r="O234" s="19"/>
      <c r="P234" s="8"/>
      <c r="R234" t="str">
        <f t="shared" si="4"/>
        <v>INSERT INTO TransformationEngine_Field (FieldName, FieldDescription, SourceFieldName, DetailField, Length, Required, OutputFieldName, AllowedChars) VALUES ('Output UB Box 70 c', 'Patient Reason DX Code c', 'OCRPatReasonDX3',0, 7, 0, 'CLM-PAT-RSN-CODE
CLM-PAT-RSN-TYPE-IND_CODE', 'A-Z,0-9')</v>
      </c>
    </row>
    <row r="235" spans="1:18" x14ac:dyDescent="0.35">
      <c r="A235" s="8"/>
      <c r="B235" s="8" t="s">
        <v>1641</v>
      </c>
      <c r="C235" s="8" t="s">
        <v>740</v>
      </c>
      <c r="D235" s="8" t="s">
        <v>741</v>
      </c>
      <c r="E235" s="8" t="s">
        <v>1377</v>
      </c>
      <c r="F235" s="8" t="s">
        <v>1377</v>
      </c>
      <c r="G235" s="8">
        <v>0</v>
      </c>
      <c r="H235" s="8">
        <v>7</v>
      </c>
      <c r="I235" s="8">
        <v>0</v>
      </c>
      <c r="J235" s="8" t="s">
        <v>1377</v>
      </c>
      <c r="K235" s="8" t="s">
        <v>71</v>
      </c>
      <c r="L235" s="8" t="s">
        <v>1377</v>
      </c>
      <c r="M235" s="15" t="s">
        <v>1377</v>
      </c>
      <c r="N235" s="17" t="s">
        <v>1642</v>
      </c>
      <c r="O235" s="19"/>
      <c r="P235" s="8"/>
      <c r="R235" t="str">
        <f t="shared" si="4"/>
        <v>INSERT INTO TransformationEngine_Field (FieldName, FieldDescription, SourceFieldName, DetailField, Length, Required, OutputFieldName, AllowedChars) VALUES ('Output UB Box 71', 'PPS Code', 'OCRPPSCode',0, 7, 0, 'CLM-DRG-NUMBER', 'A-Z,0-9')</v>
      </c>
    </row>
    <row r="236" spans="1:18" ht="52" x14ac:dyDescent="0.35">
      <c r="A236" s="8"/>
      <c r="B236" s="8" t="s">
        <v>1643</v>
      </c>
      <c r="C236" s="8" t="s">
        <v>743</v>
      </c>
      <c r="D236" s="8" t="s">
        <v>744</v>
      </c>
      <c r="E236" s="8" t="s">
        <v>1377</v>
      </c>
      <c r="F236" s="8" t="s">
        <v>1377</v>
      </c>
      <c r="G236" s="8">
        <v>0</v>
      </c>
      <c r="H236" s="8">
        <v>7</v>
      </c>
      <c r="I236" s="8">
        <v>0</v>
      </c>
      <c r="J236" s="8" t="s">
        <v>1377</v>
      </c>
      <c r="K236" s="8" t="s">
        <v>71</v>
      </c>
      <c r="L236" s="8" t="s">
        <v>1377</v>
      </c>
      <c r="M236" s="15" t="s">
        <v>1377</v>
      </c>
      <c r="N236" s="17" t="s">
        <v>1644</v>
      </c>
      <c r="O236" s="19"/>
      <c r="P236" s="8"/>
      <c r="R236" t="str">
        <f t="shared" si="4"/>
        <v>INSERT INTO TransformationEngine_Field (FieldName, FieldDescription, SourceFieldName, DetailField, Length, Required, OutputFieldName, AllowedChars) VALUES ('Output UB Box 72 a', 'External Cause of Injury a', 'OCRECode',0, 7, 0, 'CLM-EXTNL-CAUSE-OF-ACCDNT-CD
CLM-EXTNL-CAUSE-OF-ACC-TYPE-IND_CODE
CLM-EXTNL-CAUSE-OF-ACCDNT-IND-CD', 'A-Z,0-9')</v>
      </c>
    </row>
    <row r="237" spans="1:18" x14ac:dyDescent="0.35">
      <c r="A237" s="8"/>
      <c r="B237" s="8" t="s">
        <v>1643</v>
      </c>
      <c r="C237" s="8" t="s">
        <v>745</v>
      </c>
      <c r="D237" s="8" t="s">
        <v>746</v>
      </c>
      <c r="E237" s="8" t="s">
        <v>1377</v>
      </c>
      <c r="F237" s="8" t="s">
        <v>1377</v>
      </c>
      <c r="G237" s="8">
        <v>0</v>
      </c>
      <c r="H237" s="8">
        <v>1</v>
      </c>
      <c r="I237" s="8">
        <v>0</v>
      </c>
      <c r="J237" s="8" t="s">
        <v>1377</v>
      </c>
      <c r="K237" s="8" t="s">
        <v>1520</v>
      </c>
      <c r="L237" s="8" t="s">
        <v>1377</v>
      </c>
      <c r="M237" s="15" t="s">
        <v>1377</v>
      </c>
      <c r="N237" s="17" t="s">
        <v>1645</v>
      </c>
      <c r="O237" s="19"/>
      <c r="P237" s="8"/>
      <c r="R237" t="str">
        <f t="shared" si="4"/>
        <v>INSERT INTO TransformationEngine_Field (FieldName, FieldDescription, SourceFieldName, DetailField, Length, Required, OutputFieldName, AllowedChars) VALUES ('Output UB Box 72 a', 'External Cause of Injury POA a', 'OCRECodePOA',0, 1, 0, 'CLM-EXTNL-CAUSE-OF-ACCDNT-POA-CD', 'Y, ,N')</v>
      </c>
    </row>
    <row r="238" spans="1:18" ht="52" x14ac:dyDescent="0.35">
      <c r="A238" s="8"/>
      <c r="B238" s="8" t="s">
        <v>1646</v>
      </c>
      <c r="C238" s="8" t="s">
        <v>748</v>
      </c>
      <c r="D238" s="8" t="s">
        <v>1647</v>
      </c>
      <c r="E238" s="8" t="s">
        <v>1377</v>
      </c>
      <c r="F238" s="8" t="s">
        <v>1377</v>
      </c>
      <c r="G238" s="8">
        <v>0</v>
      </c>
      <c r="H238" s="8">
        <v>7</v>
      </c>
      <c r="I238" s="8">
        <v>0</v>
      </c>
      <c r="J238" s="8" t="s">
        <v>1377</v>
      </c>
      <c r="K238" s="8" t="s">
        <v>71</v>
      </c>
      <c r="L238" s="8" t="s">
        <v>1377</v>
      </c>
      <c r="M238" s="15" t="s">
        <v>1377</v>
      </c>
      <c r="N238" s="17" t="s">
        <v>1644</v>
      </c>
      <c r="O238" s="19"/>
      <c r="P238" s="8"/>
      <c r="R238" t="str">
        <f t="shared" si="4"/>
        <v>INSERT INTO TransformationEngine_Field (FieldName, FieldDescription, SourceFieldName, DetailField, Length, Required, OutputFieldName, AllowedChars) VALUES ('Output UB Box 72 b', 'External Cause of Injury b', 'OCRECod2',0, 7, 0, 'CLM-EXTNL-CAUSE-OF-ACCDNT-CD
CLM-EXTNL-CAUSE-OF-ACC-TYPE-IND_CODE
CLM-EXTNL-CAUSE-OF-ACCDNT-IND-CD', 'A-Z,0-9')</v>
      </c>
    </row>
    <row r="239" spans="1:18" x14ac:dyDescent="0.35">
      <c r="A239" s="8"/>
      <c r="B239" s="8" t="s">
        <v>1646</v>
      </c>
      <c r="C239" s="8" t="s">
        <v>750</v>
      </c>
      <c r="D239" s="8" t="s">
        <v>751</v>
      </c>
      <c r="E239" s="8" t="s">
        <v>1377</v>
      </c>
      <c r="F239" s="8" t="s">
        <v>1377</v>
      </c>
      <c r="G239" s="8">
        <v>0</v>
      </c>
      <c r="H239" s="8">
        <v>1</v>
      </c>
      <c r="I239" s="8">
        <v>0</v>
      </c>
      <c r="J239" s="8" t="s">
        <v>1377</v>
      </c>
      <c r="K239" s="8" t="s">
        <v>1520</v>
      </c>
      <c r="L239" s="8" t="s">
        <v>1377</v>
      </c>
      <c r="M239" s="15" t="s">
        <v>1377</v>
      </c>
      <c r="N239" s="17" t="s">
        <v>1645</v>
      </c>
      <c r="O239" s="19"/>
      <c r="P239" s="8"/>
      <c r="R239" t="str">
        <f t="shared" si="4"/>
        <v>INSERT INTO TransformationEngine_Field (FieldName, FieldDescription, SourceFieldName, DetailField, Length, Required, OutputFieldName, AllowedChars) VALUES ('Output UB Box 72 b', 'External Cause of Injury POA b', 'OCRECode2POA',0, 1, 0, 'CLM-EXTNL-CAUSE-OF-ACCDNT-POA-CD', 'Y, ,N')</v>
      </c>
    </row>
    <row r="240" spans="1:18" ht="52" x14ac:dyDescent="0.35">
      <c r="A240" s="8"/>
      <c r="B240" s="8" t="s">
        <v>1648</v>
      </c>
      <c r="C240" s="8" t="s">
        <v>753</v>
      </c>
      <c r="D240" s="8" t="s">
        <v>1649</v>
      </c>
      <c r="E240" s="8" t="s">
        <v>1377</v>
      </c>
      <c r="F240" s="8" t="s">
        <v>1377</v>
      </c>
      <c r="G240" s="8">
        <v>0</v>
      </c>
      <c r="H240" s="8">
        <v>7</v>
      </c>
      <c r="I240" s="8">
        <v>0</v>
      </c>
      <c r="J240" s="8" t="s">
        <v>1377</v>
      </c>
      <c r="K240" s="8" t="s">
        <v>71</v>
      </c>
      <c r="L240" s="8" t="s">
        <v>1377</v>
      </c>
      <c r="M240" s="15" t="s">
        <v>1377</v>
      </c>
      <c r="N240" s="17" t="s">
        <v>1644</v>
      </c>
      <c r="O240" s="19"/>
      <c r="P240" s="8"/>
      <c r="R240" t="str">
        <f t="shared" si="4"/>
        <v>INSERT INTO TransformationEngine_Field (FieldName, FieldDescription, SourceFieldName, DetailField, Length, Required, OutputFieldName, AllowedChars) VALUES ('Output UB Box 72 c', 'External Cause of Injury c', 'OCRECod3',0, 7, 0, 'CLM-EXTNL-CAUSE-OF-ACCDNT-CD
CLM-EXTNL-CAUSE-OF-ACC-TYPE-IND_CODE
CLM-EXTNL-CAUSE-OF-ACCDNT-IND-CD', 'A-Z,0-9')</v>
      </c>
    </row>
    <row r="241" spans="1:18" x14ac:dyDescent="0.35">
      <c r="A241" s="8"/>
      <c r="B241" s="8" t="s">
        <v>1648</v>
      </c>
      <c r="C241" s="8" t="s">
        <v>755</v>
      </c>
      <c r="D241" s="8" t="s">
        <v>756</v>
      </c>
      <c r="E241" s="8" t="s">
        <v>1377</v>
      </c>
      <c r="F241" s="8" t="s">
        <v>1377</v>
      </c>
      <c r="G241" s="8">
        <v>0</v>
      </c>
      <c r="H241" s="8">
        <v>1</v>
      </c>
      <c r="I241" s="8">
        <v>0</v>
      </c>
      <c r="J241" s="8" t="s">
        <v>1377</v>
      </c>
      <c r="K241" s="8" t="s">
        <v>1520</v>
      </c>
      <c r="L241" s="8" t="s">
        <v>1377</v>
      </c>
      <c r="M241" s="15" t="s">
        <v>1377</v>
      </c>
      <c r="N241" s="17" t="s">
        <v>1645</v>
      </c>
      <c r="O241" s="19"/>
      <c r="P241" s="8"/>
      <c r="R241" t="str">
        <f t="shared" si="4"/>
        <v>INSERT INTO TransformationEngine_Field (FieldName, FieldDescription, SourceFieldName, DetailField, Length, Required, OutputFieldName, AllowedChars) VALUES ('Output UB Box 72 c', 'External Cause of Injury POA c', 'OCRECode3POA',0, 1, 0, 'CLM-EXTNL-CAUSE-OF-ACCDNT-POA-CD', 'Y, ,N')</v>
      </c>
    </row>
    <row r="242" spans="1:18" x14ac:dyDescent="0.35">
      <c r="A242" s="8"/>
      <c r="B242" s="8" t="s">
        <v>1650</v>
      </c>
      <c r="C242" s="14" t="s">
        <v>758</v>
      </c>
      <c r="D242" s="13" t="s">
        <v>759</v>
      </c>
      <c r="E242" s="8" t="s">
        <v>1377</v>
      </c>
      <c r="F242" s="8" t="s">
        <v>1377</v>
      </c>
      <c r="G242" s="8">
        <v>0</v>
      </c>
      <c r="H242" s="8">
        <v>20</v>
      </c>
      <c r="I242" s="8">
        <v>0</v>
      </c>
      <c r="J242" s="8" t="s">
        <v>1377</v>
      </c>
      <c r="K242" s="8" t="s">
        <v>71</v>
      </c>
      <c r="L242" s="8" t="s">
        <v>1377</v>
      </c>
      <c r="M242" s="15" t="s">
        <v>1377</v>
      </c>
      <c r="N242" s="17"/>
      <c r="O242" s="19"/>
      <c r="P242" s="8"/>
      <c r="R242" t="str">
        <f t="shared" si="4"/>
        <v>INSERT INTO TransformationEngine_Field (FieldName, FieldDescription, SourceFieldName, DetailField, Length, Required, OutputFieldName, AllowedChars) VALUES ('Output UB Box 73', '73 Unlabeled', 'OCRNotUsedBlock78',0, 20, 0, '', 'A-Z,0-9')</v>
      </c>
    </row>
    <row r="243" spans="1:18" ht="26" x14ac:dyDescent="0.35">
      <c r="A243" s="8"/>
      <c r="B243" s="8" t="s">
        <v>1651</v>
      </c>
      <c r="C243" s="8" t="s">
        <v>761</v>
      </c>
      <c r="D243" s="8" t="s">
        <v>762</v>
      </c>
      <c r="E243" s="8" t="s">
        <v>1377</v>
      </c>
      <c r="F243" s="8" t="s">
        <v>1377</v>
      </c>
      <c r="G243" s="8">
        <v>0</v>
      </c>
      <c r="H243" s="14">
        <v>7</v>
      </c>
      <c r="I243" s="8">
        <v>0</v>
      </c>
      <c r="J243" s="8" t="s">
        <v>1377</v>
      </c>
      <c r="K243" s="8" t="s">
        <v>27</v>
      </c>
      <c r="L243" s="8" t="s">
        <v>1377</v>
      </c>
      <c r="M243" s="15" t="s">
        <v>1377</v>
      </c>
      <c r="N243" s="17" t="s">
        <v>1652</v>
      </c>
      <c r="O243" s="19"/>
      <c r="P243" s="8"/>
      <c r="R243" t="str">
        <f t="shared" si="4"/>
        <v>INSERT INTO TransformationEngine_Field (FieldName, FieldDescription, SourceFieldName, DetailField, Length, Required, OutputFieldName, AllowedChars) VALUES ('Output UB Box 74', 'Principal Procedure Code', 'OCRPrinProcCode',0, 7, 0, 'CLM-HOSP-PROC-CODE
CLM-PROC-CODE-TYPE-IND_CODE-1', '0-9')</v>
      </c>
    </row>
    <row r="244" spans="1:18" x14ac:dyDescent="0.35">
      <c r="A244" s="8"/>
      <c r="B244" s="8" t="s">
        <v>1651</v>
      </c>
      <c r="C244" s="8" t="s">
        <v>763</v>
      </c>
      <c r="D244" s="8" t="s">
        <v>764</v>
      </c>
      <c r="E244" s="8" t="s">
        <v>1377</v>
      </c>
      <c r="F244" s="8" t="s">
        <v>1377</v>
      </c>
      <c r="G244" s="8">
        <v>0</v>
      </c>
      <c r="H244" s="14">
        <v>10</v>
      </c>
      <c r="I244" s="8">
        <v>0</v>
      </c>
      <c r="J244" s="8" t="s">
        <v>1377</v>
      </c>
      <c r="K244" s="8" t="s">
        <v>27</v>
      </c>
      <c r="L244" s="8" t="s">
        <v>1377</v>
      </c>
      <c r="M244" s="15" t="s">
        <v>1377</v>
      </c>
      <c r="N244" s="17" t="s">
        <v>1653</v>
      </c>
      <c r="O244" s="19" t="s">
        <v>1403</v>
      </c>
      <c r="P244" s="8"/>
      <c r="R244" t="str">
        <f t="shared" si="4"/>
        <v>INSERT INTO TransformationEngine_Field (FieldName, FieldDescription, SourceFieldName, DetailField, Length, Required, OutputFieldName, AllowedChars) VALUES ('Output UB Box 74', 'Principal Procedure Date', 'OCRPrinProcDate',0, 10, 0, 'CLM-HOSP-PROC-CCYYMMDD', '0-9')</v>
      </c>
    </row>
    <row r="245" spans="1:18" ht="26" x14ac:dyDescent="0.35">
      <c r="A245" s="8"/>
      <c r="B245" s="8" t="s">
        <v>1654</v>
      </c>
      <c r="C245" s="8" t="s">
        <v>766</v>
      </c>
      <c r="D245" s="8" t="s">
        <v>767</v>
      </c>
      <c r="E245" s="8" t="s">
        <v>1377</v>
      </c>
      <c r="F245" s="8" t="s">
        <v>1377</v>
      </c>
      <c r="G245" s="8">
        <v>0</v>
      </c>
      <c r="H245" s="14">
        <v>7</v>
      </c>
      <c r="I245" s="8">
        <v>0</v>
      </c>
      <c r="J245" s="8" t="s">
        <v>1377</v>
      </c>
      <c r="K245" s="8" t="s">
        <v>27</v>
      </c>
      <c r="L245" s="8" t="s">
        <v>1377</v>
      </c>
      <c r="M245" s="15" t="s">
        <v>1377</v>
      </c>
      <c r="N245" s="17" t="s">
        <v>1655</v>
      </c>
      <c r="O245" s="19"/>
      <c r="P245" s="8"/>
      <c r="R245" t="str">
        <f t="shared" si="4"/>
        <v>INSERT INTO TransformationEngine_Field (FieldName, FieldDescription, SourceFieldName, DetailField, Length, Required, OutputFieldName, AllowedChars) VALUES ('Output UB Box 74 a', 'Other Procedure Code a', 'OCRProcCode1',0, 7, 0, 'CLM-HOSP-PROC-CODE (A)
CLM-PROC-CODE-TYPE-IND_CODE-2', '0-9')</v>
      </c>
    </row>
    <row r="246" spans="1:18" x14ac:dyDescent="0.35">
      <c r="A246" s="8"/>
      <c r="B246" s="8" t="s">
        <v>1654</v>
      </c>
      <c r="C246" s="8" t="s">
        <v>768</v>
      </c>
      <c r="D246" s="8" t="s">
        <v>769</v>
      </c>
      <c r="E246" s="8" t="s">
        <v>1377</v>
      </c>
      <c r="F246" s="8" t="s">
        <v>1377</v>
      </c>
      <c r="G246" s="8">
        <v>0</v>
      </c>
      <c r="H246" s="14">
        <v>10</v>
      </c>
      <c r="I246" s="8">
        <v>0</v>
      </c>
      <c r="J246" s="8" t="s">
        <v>1377</v>
      </c>
      <c r="K246" s="8" t="s">
        <v>27</v>
      </c>
      <c r="L246" s="8" t="s">
        <v>1377</v>
      </c>
      <c r="M246" s="15" t="s">
        <v>1377</v>
      </c>
      <c r="N246" s="17" t="s">
        <v>1653</v>
      </c>
      <c r="O246" s="19" t="s">
        <v>1403</v>
      </c>
      <c r="P246" s="8"/>
      <c r="R246" t="str">
        <f t="shared" si="4"/>
        <v>INSERT INTO TransformationEngine_Field (FieldName, FieldDescription, SourceFieldName, DetailField, Length, Required, OutputFieldName, AllowedChars) VALUES ('Output UB Box 74 a', 'Other Procedure Date a', 'OCRProcDate1',0, 10, 0, 'CLM-HOSP-PROC-CCYYMMDD', '0-9')</v>
      </c>
    </row>
    <row r="247" spans="1:18" ht="26" x14ac:dyDescent="0.35">
      <c r="A247" s="8"/>
      <c r="B247" s="8" t="s">
        <v>1656</v>
      </c>
      <c r="C247" s="8" t="s">
        <v>771</v>
      </c>
      <c r="D247" s="8" t="s">
        <v>772</v>
      </c>
      <c r="E247" s="8" t="s">
        <v>1377</v>
      </c>
      <c r="F247" s="8" t="s">
        <v>1377</v>
      </c>
      <c r="G247" s="8">
        <v>0</v>
      </c>
      <c r="H247" s="14">
        <v>7</v>
      </c>
      <c r="I247" s="8">
        <v>0</v>
      </c>
      <c r="J247" s="8" t="s">
        <v>1377</v>
      </c>
      <c r="K247" s="8" t="s">
        <v>27</v>
      </c>
      <c r="L247" s="8" t="s">
        <v>1377</v>
      </c>
      <c r="M247" s="15" t="s">
        <v>1377</v>
      </c>
      <c r="N247" s="17" t="s">
        <v>1657</v>
      </c>
      <c r="O247" s="19"/>
      <c r="P247" s="8"/>
      <c r="R247" t="str">
        <f t="shared" si="4"/>
        <v>INSERT INTO TransformationEngine_Field (FieldName, FieldDescription, SourceFieldName, DetailField, Length, Required, OutputFieldName, AllowedChars) VALUES ('Output UB Box 74 b ', 'Other Procedure Code b', 'OCRProcCode2',0, 7, 0, 'CLM-HOSP-PROC-CODE (B)
CLM-PROC-CODE-TYPE-IND_CODE-3', '0-9')</v>
      </c>
    </row>
    <row r="248" spans="1:18" x14ac:dyDescent="0.35">
      <c r="A248" s="8"/>
      <c r="B248" s="8" t="s">
        <v>1656</v>
      </c>
      <c r="C248" s="8" t="s">
        <v>773</v>
      </c>
      <c r="D248" s="8" t="s">
        <v>774</v>
      </c>
      <c r="E248" s="8" t="s">
        <v>1377</v>
      </c>
      <c r="F248" s="8" t="s">
        <v>1377</v>
      </c>
      <c r="G248" s="8">
        <v>0</v>
      </c>
      <c r="H248" s="14">
        <v>10</v>
      </c>
      <c r="I248" s="8">
        <v>0</v>
      </c>
      <c r="J248" s="8" t="s">
        <v>1377</v>
      </c>
      <c r="K248" s="8" t="s">
        <v>27</v>
      </c>
      <c r="L248" s="8" t="s">
        <v>1377</v>
      </c>
      <c r="M248" s="15" t="s">
        <v>1377</v>
      </c>
      <c r="N248" s="17" t="s">
        <v>1653</v>
      </c>
      <c r="O248" s="19" t="s">
        <v>1403</v>
      </c>
      <c r="P248" s="8"/>
      <c r="R248" t="str">
        <f t="shared" si="4"/>
        <v>INSERT INTO TransformationEngine_Field (FieldName, FieldDescription, SourceFieldName, DetailField, Length, Required, OutputFieldName, AllowedChars) VALUES ('Output UB Box 74 b ', 'Other Procedure Date b', 'OCRProcDate2',0, 10, 0, 'CLM-HOSP-PROC-CCYYMMDD', '0-9')</v>
      </c>
    </row>
    <row r="249" spans="1:18" ht="26" x14ac:dyDescent="0.35">
      <c r="A249" s="8"/>
      <c r="B249" s="8" t="s">
        <v>1658</v>
      </c>
      <c r="C249" s="8" t="s">
        <v>776</v>
      </c>
      <c r="D249" s="8" t="s">
        <v>777</v>
      </c>
      <c r="E249" s="8" t="s">
        <v>1377</v>
      </c>
      <c r="F249" s="8" t="s">
        <v>1377</v>
      </c>
      <c r="G249" s="8">
        <v>0</v>
      </c>
      <c r="H249" s="14">
        <v>7</v>
      </c>
      <c r="I249" s="8">
        <v>0</v>
      </c>
      <c r="J249" s="8" t="s">
        <v>1377</v>
      </c>
      <c r="K249" s="8" t="s">
        <v>27</v>
      </c>
      <c r="L249" s="8" t="s">
        <v>1377</v>
      </c>
      <c r="M249" s="15" t="s">
        <v>1377</v>
      </c>
      <c r="N249" s="17" t="s">
        <v>1659</v>
      </c>
      <c r="O249" s="19"/>
      <c r="P249" s="8"/>
      <c r="R249" t="str">
        <f t="shared" si="4"/>
        <v>INSERT INTO TransformationEngine_Field (FieldName, FieldDescription, SourceFieldName, DetailField, Length, Required, OutputFieldName, AllowedChars) VALUES ('Output UB Box 74 c', 'Other Procedure Code c', 'OCRProcCode3',0, 7, 0, 'CLM-HOSP-PROC-CODE (c)
CLM-PROC-CODE-TYPE-IND_CODE-4', '0-9')</v>
      </c>
    </row>
    <row r="250" spans="1:18" x14ac:dyDescent="0.35">
      <c r="A250" s="8"/>
      <c r="B250" s="8" t="s">
        <v>1658</v>
      </c>
      <c r="C250" s="8" t="s">
        <v>778</v>
      </c>
      <c r="D250" s="8" t="s">
        <v>779</v>
      </c>
      <c r="E250" s="8" t="s">
        <v>1377</v>
      </c>
      <c r="F250" s="8" t="s">
        <v>1377</v>
      </c>
      <c r="G250" s="8">
        <v>0</v>
      </c>
      <c r="H250" s="14">
        <v>10</v>
      </c>
      <c r="I250" s="8">
        <v>0</v>
      </c>
      <c r="J250" s="8" t="s">
        <v>1377</v>
      </c>
      <c r="K250" s="8" t="s">
        <v>27</v>
      </c>
      <c r="L250" s="8" t="s">
        <v>1377</v>
      </c>
      <c r="M250" s="15" t="s">
        <v>1377</v>
      </c>
      <c r="N250" s="17" t="s">
        <v>1653</v>
      </c>
      <c r="O250" s="19" t="s">
        <v>1403</v>
      </c>
      <c r="P250" s="8"/>
      <c r="R250" t="str">
        <f t="shared" si="4"/>
        <v>INSERT INTO TransformationEngine_Field (FieldName, FieldDescription, SourceFieldName, DetailField, Length, Required, OutputFieldName, AllowedChars) VALUES ('Output UB Box 74 c', 'Other Procedure Date c', 'OCRProcDate3',0, 10, 0, 'CLM-HOSP-PROC-CCYYMMDD', '0-9')</v>
      </c>
    </row>
    <row r="251" spans="1:18" ht="26" x14ac:dyDescent="0.35">
      <c r="A251" s="8"/>
      <c r="B251" s="8" t="s">
        <v>1660</v>
      </c>
      <c r="C251" s="8" t="s">
        <v>781</v>
      </c>
      <c r="D251" s="8" t="s">
        <v>782</v>
      </c>
      <c r="E251" s="8" t="s">
        <v>1377</v>
      </c>
      <c r="F251" s="8" t="s">
        <v>1377</v>
      </c>
      <c r="G251" s="8">
        <v>0</v>
      </c>
      <c r="H251" s="14">
        <v>7</v>
      </c>
      <c r="I251" s="8">
        <v>0</v>
      </c>
      <c r="J251" s="8" t="s">
        <v>1377</v>
      </c>
      <c r="K251" s="8" t="s">
        <v>27</v>
      </c>
      <c r="L251" s="8" t="s">
        <v>1377</v>
      </c>
      <c r="M251" s="15" t="s">
        <v>1377</v>
      </c>
      <c r="N251" s="17" t="s">
        <v>1661</v>
      </c>
      <c r="O251" s="19"/>
      <c r="P251" s="8"/>
      <c r="R251" t="str">
        <f t="shared" si="4"/>
        <v>INSERT INTO TransformationEngine_Field (FieldName, FieldDescription, SourceFieldName, DetailField, Length, Required, OutputFieldName, AllowedChars) VALUES ('Output UB Box 74 d', 'Other Procedure Code d', 'OCRProcCode4',0, 7, 0, 'CLM-HOSP-PROC-CODE (D)
CLM-PROC-CODE-TYPE-IND_CODE-5', '0-9')</v>
      </c>
    </row>
    <row r="252" spans="1:18" x14ac:dyDescent="0.35">
      <c r="A252" s="8"/>
      <c r="B252" s="8" t="s">
        <v>1660</v>
      </c>
      <c r="C252" s="8" t="s">
        <v>783</v>
      </c>
      <c r="D252" s="8" t="s">
        <v>784</v>
      </c>
      <c r="E252" s="8" t="s">
        <v>1377</v>
      </c>
      <c r="F252" s="8" t="s">
        <v>1377</v>
      </c>
      <c r="G252" s="8">
        <v>0</v>
      </c>
      <c r="H252" s="14">
        <v>10</v>
      </c>
      <c r="I252" s="8">
        <v>0</v>
      </c>
      <c r="J252" s="8" t="s">
        <v>1377</v>
      </c>
      <c r="K252" s="8" t="s">
        <v>27</v>
      </c>
      <c r="L252" s="8" t="s">
        <v>1377</v>
      </c>
      <c r="M252" s="15" t="s">
        <v>1377</v>
      </c>
      <c r="N252" s="17" t="s">
        <v>1653</v>
      </c>
      <c r="O252" s="19" t="s">
        <v>1403</v>
      </c>
      <c r="P252" s="8"/>
      <c r="R252" t="str">
        <f t="shared" si="4"/>
        <v>INSERT INTO TransformationEngine_Field (FieldName, FieldDescription, SourceFieldName, DetailField, Length, Required, OutputFieldName, AllowedChars) VALUES ('Output UB Box 74 d', 'Other Procedure Date d', 'OCRProcDate4',0, 10, 0, 'CLM-HOSP-PROC-CCYYMMDD', '0-9')</v>
      </c>
    </row>
    <row r="253" spans="1:18" ht="26" x14ac:dyDescent="0.35">
      <c r="A253" s="8"/>
      <c r="B253" s="8" t="s">
        <v>1662</v>
      </c>
      <c r="C253" s="8" t="s">
        <v>786</v>
      </c>
      <c r="D253" s="8" t="s">
        <v>787</v>
      </c>
      <c r="E253" s="8" t="s">
        <v>1377</v>
      </c>
      <c r="F253" s="8" t="s">
        <v>1377</v>
      </c>
      <c r="G253" s="8">
        <v>0</v>
      </c>
      <c r="H253" s="14">
        <v>7</v>
      </c>
      <c r="I253" s="8">
        <v>0</v>
      </c>
      <c r="J253" s="8" t="s">
        <v>1377</v>
      </c>
      <c r="K253" s="8" t="s">
        <v>27</v>
      </c>
      <c r="L253" s="8" t="s">
        <v>1377</v>
      </c>
      <c r="M253" s="15" t="s">
        <v>1377</v>
      </c>
      <c r="N253" s="17" t="s">
        <v>1663</v>
      </c>
      <c r="O253" s="19"/>
      <c r="P253" s="8"/>
      <c r="R253" t="str">
        <f t="shared" si="4"/>
        <v>INSERT INTO TransformationEngine_Field (FieldName, FieldDescription, SourceFieldName, DetailField, Length, Required, OutputFieldName, AllowedChars) VALUES ('Output UB Box 74 e', 'Other Procedure Code e', 'OCRProcCode5',0, 7, 0, 'CLM-HOSP-PROC-CODE (e)
CLM-PROC-CODE-TYPE-IND_CODE-6', '0-9')</v>
      </c>
    </row>
    <row r="254" spans="1:18" x14ac:dyDescent="0.35">
      <c r="A254" s="8"/>
      <c r="B254" s="8" t="s">
        <v>1662</v>
      </c>
      <c r="C254" s="8" t="s">
        <v>788</v>
      </c>
      <c r="D254" s="8" t="s">
        <v>789</v>
      </c>
      <c r="E254" s="8" t="s">
        <v>1377</v>
      </c>
      <c r="F254" s="8" t="s">
        <v>1377</v>
      </c>
      <c r="G254" s="8">
        <v>0</v>
      </c>
      <c r="H254" s="14">
        <v>10</v>
      </c>
      <c r="I254" s="8">
        <v>0</v>
      </c>
      <c r="J254" s="8" t="s">
        <v>1377</v>
      </c>
      <c r="K254" s="8" t="s">
        <v>27</v>
      </c>
      <c r="L254" s="8" t="s">
        <v>1377</v>
      </c>
      <c r="M254" s="15" t="s">
        <v>1377</v>
      </c>
      <c r="N254" s="17" t="s">
        <v>1653</v>
      </c>
      <c r="O254" s="19" t="s">
        <v>1403</v>
      </c>
      <c r="P254" s="8"/>
      <c r="R254" t="str">
        <f t="shared" si="4"/>
        <v>INSERT INTO TransformationEngine_Field (FieldName, FieldDescription, SourceFieldName, DetailField, Length, Required, OutputFieldName, AllowedChars) VALUES ('Output UB Box 74 e', 'Other Procedure Date e', 'OCRProcDate5',0, 10, 0, 'CLM-HOSP-PROC-CCYYMMDD', '0-9')</v>
      </c>
    </row>
    <row r="255" spans="1:18" x14ac:dyDescent="0.35">
      <c r="A255" s="8"/>
      <c r="B255" s="8" t="s">
        <v>1664</v>
      </c>
      <c r="C255" s="14" t="s">
        <v>791</v>
      </c>
      <c r="D255" s="8" t="s">
        <v>792</v>
      </c>
      <c r="E255" s="8" t="s">
        <v>1377</v>
      </c>
      <c r="F255" s="8" t="s">
        <v>1377</v>
      </c>
      <c r="G255" s="8">
        <v>0</v>
      </c>
      <c r="H255" s="14">
        <v>20</v>
      </c>
      <c r="I255" s="8">
        <v>0</v>
      </c>
      <c r="J255" s="8" t="s">
        <v>1377</v>
      </c>
      <c r="K255" s="8" t="s">
        <v>1377</v>
      </c>
      <c r="L255" s="8" t="s">
        <v>1377</v>
      </c>
      <c r="M255" s="15" t="s">
        <v>1377</v>
      </c>
      <c r="N255" s="17"/>
      <c r="O255" s="19"/>
      <c r="P255" s="8"/>
      <c r="Q255" t="s">
        <v>1406</v>
      </c>
      <c r="R255" t="str">
        <f t="shared" si="4"/>
        <v>INSERT INTO TransformationEngine_Field (FieldName, FieldDescription, SourceFieldName, DetailField, Length, Required, OutputFieldName, AllowedChars) VALUES ('Output UB Box 75', '75 Unlabeled - Line 1', 'OCRNotUsed75_1',0, 20, 0, '', 'NULL')</v>
      </c>
    </row>
    <row r="256" spans="1:18" x14ac:dyDescent="0.35">
      <c r="A256" s="8"/>
      <c r="B256" s="8" t="s">
        <v>1664</v>
      </c>
      <c r="C256" s="14" t="s">
        <v>793</v>
      </c>
      <c r="D256" s="8" t="s">
        <v>794</v>
      </c>
      <c r="E256" s="8" t="s">
        <v>1377</v>
      </c>
      <c r="F256" s="8" t="s">
        <v>1377</v>
      </c>
      <c r="G256" s="8">
        <v>0</v>
      </c>
      <c r="H256" s="14">
        <v>20</v>
      </c>
      <c r="I256" s="8">
        <v>0</v>
      </c>
      <c r="J256" s="8" t="s">
        <v>1377</v>
      </c>
      <c r="K256" s="8" t="s">
        <v>1377</v>
      </c>
      <c r="L256" s="8" t="s">
        <v>1377</v>
      </c>
      <c r="M256" s="15" t="s">
        <v>1377</v>
      </c>
      <c r="N256" s="17"/>
      <c r="O256" s="19"/>
      <c r="P256" s="8"/>
      <c r="Q256" t="s">
        <v>1406</v>
      </c>
      <c r="R256" t="str">
        <f t="shared" si="4"/>
        <v>INSERT INTO TransformationEngine_Field (FieldName, FieldDescription, SourceFieldName, DetailField, Length, Required, OutputFieldName, AllowedChars) VALUES ('Output UB Box 75', '75 Unlabeled - Line 2', 'OCRNotUsed75_2',0, 20, 0, '', 'NULL')</v>
      </c>
    </row>
    <row r="257" spans="1:18" x14ac:dyDescent="0.35">
      <c r="A257" s="8"/>
      <c r="B257" s="8" t="s">
        <v>1664</v>
      </c>
      <c r="C257" s="14" t="s">
        <v>795</v>
      </c>
      <c r="D257" s="8" t="s">
        <v>796</v>
      </c>
      <c r="E257" s="8" t="s">
        <v>1377</v>
      </c>
      <c r="F257" s="8" t="s">
        <v>1377</v>
      </c>
      <c r="G257" s="8">
        <v>0</v>
      </c>
      <c r="H257" s="14">
        <v>20</v>
      </c>
      <c r="I257" s="8">
        <v>0</v>
      </c>
      <c r="J257" s="8" t="s">
        <v>1377</v>
      </c>
      <c r="K257" s="8" t="s">
        <v>1377</v>
      </c>
      <c r="L257" s="8" t="s">
        <v>1377</v>
      </c>
      <c r="M257" s="15" t="s">
        <v>1377</v>
      </c>
      <c r="N257" s="17"/>
      <c r="O257" s="19"/>
      <c r="P257" s="8"/>
      <c r="Q257" t="s">
        <v>1406</v>
      </c>
      <c r="R257" t="str">
        <f t="shared" si="4"/>
        <v>INSERT INTO TransformationEngine_Field (FieldName, FieldDescription, SourceFieldName, DetailField, Length, Required, OutputFieldName, AllowedChars) VALUES ('Output UB Box 75', '75 Unlabeled - Line 3', 'OCRNotUsed75_3',0, 20, 0, '', 'NULL')</v>
      </c>
    </row>
    <row r="258" spans="1:18" x14ac:dyDescent="0.35">
      <c r="A258" s="8"/>
      <c r="B258" s="8" t="s">
        <v>1664</v>
      </c>
      <c r="C258" s="14" t="s">
        <v>797</v>
      </c>
      <c r="D258" s="8" t="s">
        <v>798</v>
      </c>
      <c r="E258" s="8" t="s">
        <v>1377</v>
      </c>
      <c r="F258" s="8" t="s">
        <v>1377</v>
      </c>
      <c r="G258" s="8">
        <v>0</v>
      </c>
      <c r="H258" s="14">
        <v>20</v>
      </c>
      <c r="I258" s="8">
        <v>0</v>
      </c>
      <c r="J258" s="8" t="s">
        <v>1377</v>
      </c>
      <c r="K258" s="8" t="s">
        <v>1377</v>
      </c>
      <c r="L258" s="8" t="s">
        <v>1377</v>
      </c>
      <c r="M258" s="15" t="s">
        <v>1377</v>
      </c>
      <c r="N258" s="17"/>
      <c r="O258" s="19"/>
      <c r="P258" s="8"/>
      <c r="Q258" t="s">
        <v>1406</v>
      </c>
      <c r="R258" t="str">
        <f t="shared" si="4"/>
        <v>INSERT INTO TransformationEngine_Field (FieldName, FieldDescription, SourceFieldName, DetailField, Length, Required, OutputFieldName, AllowedChars) VALUES ('Output UB Box 75', '75 Unlabeled - Line 4', 'OCRNotUsed75_4',0, 20, 0, '', 'NULL')</v>
      </c>
    </row>
    <row r="259" spans="1:18" x14ac:dyDescent="0.35">
      <c r="A259" s="8"/>
      <c r="B259" s="8" t="s">
        <v>1665</v>
      </c>
      <c r="C259" s="8" t="s">
        <v>800</v>
      </c>
      <c r="D259" s="8" t="s">
        <v>801</v>
      </c>
      <c r="E259" s="8" t="s">
        <v>1377</v>
      </c>
      <c r="F259" s="8" t="s">
        <v>1377</v>
      </c>
      <c r="G259" s="8">
        <v>0</v>
      </c>
      <c r="H259" s="14">
        <v>10</v>
      </c>
      <c r="I259" s="8">
        <v>0</v>
      </c>
      <c r="J259" s="8" t="s">
        <v>1377</v>
      </c>
      <c r="K259" s="8" t="s">
        <v>27</v>
      </c>
      <c r="L259" s="8" t="s">
        <v>1377</v>
      </c>
      <c r="M259" s="15" t="s">
        <v>1377</v>
      </c>
      <c r="N259" s="17" t="s">
        <v>1666</v>
      </c>
      <c r="O259" s="19"/>
      <c r="P259" s="8"/>
      <c r="R259" t="str">
        <f t="shared" si="4"/>
        <v>INSERT INTO TransformationEngine_Field (FieldName, FieldDescription, SourceFieldName, DetailField, Length, Required, OutputFieldName, AllowedChars) VALUES ('Output UB Box 76', 'Attending Physician NPI', 'OCRAttendPhyID_NPI',0, 10, 0, 'CLM-HOSP-ADMIT-PROV-ID', '0-9')</v>
      </c>
    </row>
    <row r="260" spans="1:18" x14ac:dyDescent="0.35">
      <c r="A260" s="8"/>
      <c r="B260" s="8" t="s">
        <v>1665</v>
      </c>
      <c r="C260" s="8" t="s">
        <v>802</v>
      </c>
      <c r="D260" s="8" t="s">
        <v>803</v>
      </c>
      <c r="E260" s="8" t="s">
        <v>1377</v>
      </c>
      <c r="F260" s="8" t="s">
        <v>1377</v>
      </c>
      <c r="G260" s="8">
        <v>0</v>
      </c>
      <c r="H260" s="14">
        <v>3</v>
      </c>
      <c r="I260" s="8">
        <v>0</v>
      </c>
      <c r="J260" s="8" t="s">
        <v>1377</v>
      </c>
      <c r="K260" s="8" t="s">
        <v>27</v>
      </c>
      <c r="L260" s="8" t="s">
        <v>1377</v>
      </c>
      <c r="M260" s="15" t="s">
        <v>1377</v>
      </c>
      <c r="N260" s="17" t="s">
        <v>1667</v>
      </c>
      <c r="O260" s="19"/>
      <c r="P260" s="8"/>
      <c r="R260" t="str">
        <f t="shared" ref="R260:R296" si="5">CONCATENATE("INSERT INTO TransformationEngine_Field (FieldName, FieldDescription, SourceFieldName, DetailField, Length, Required, OutputFieldName, AllowedChars) VALUES ('", B260, "', '", C260, "', '", D260, "',", G260, ", ", H260, ", ", I260, ", '", N260, "', '", K260,"')")</f>
        <v>INSERT INTO TransformationEngine_Field (FieldName, FieldDescription, SourceFieldName, DetailField, Length, Required, OutputFieldName, AllowedChars) VALUES ('Output UB Box 76', 'Attending Physician Qual', 'OCRAttendPhyID_QUAL',0, 3, 0, 'CLM-HOSP-ADMIT-PROV-ID-QUAL', '0-9')</v>
      </c>
    </row>
    <row r="261" spans="1:18" x14ac:dyDescent="0.35">
      <c r="A261" s="8"/>
      <c r="B261" s="8" t="s">
        <v>1665</v>
      </c>
      <c r="C261" s="8" t="s">
        <v>804</v>
      </c>
      <c r="D261" s="8" t="s">
        <v>805</v>
      </c>
      <c r="E261" s="8" t="s">
        <v>1377</v>
      </c>
      <c r="F261" s="8" t="s">
        <v>1377</v>
      </c>
      <c r="G261" s="8">
        <v>0</v>
      </c>
      <c r="H261" s="14">
        <v>15</v>
      </c>
      <c r="I261" s="8">
        <v>0</v>
      </c>
      <c r="J261" s="8" t="s">
        <v>1377</v>
      </c>
      <c r="K261" s="8" t="s">
        <v>71</v>
      </c>
      <c r="L261" s="8" t="s">
        <v>1377</v>
      </c>
      <c r="M261" s="15" t="s">
        <v>1377</v>
      </c>
      <c r="N261" s="17"/>
      <c r="O261" s="19"/>
      <c r="P261" s="8"/>
      <c r="Q261" t="s">
        <v>1406</v>
      </c>
      <c r="R261" t="str">
        <f t="shared" si="5"/>
        <v>INSERT INTO TransformationEngine_Field (FieldName, FieldDescription, SourceFieldName, DetailField, Length, Required, OutputFieldName, AllowedChars) VALUES ('Output UB Box 76', 'Attending Physician ID', 'OCRAttendPhyID_ID',0, 15, 0, '', 'A-Z,0-9')</v>
      </c>
    </row>
    <row r="262" spans="1:18" x14ac:dyDescent="0.35">
      <c r="A262" s="8"/>
      <c r="B262" s="8" t="s">
        <v>1665</v>
      </c>
      <c r="C262" s="8" t="s">
        <v>806</v>
      </c>
      <c r="D262" s="8" t="s">
        <v>807</v>
      </c>
      <c r="E262" s="8" t="s">
        <v>1377</v>
      </c>
      <c r="F262" s="8" t="s">
        <v>1377</v>
      </c>
      <c r="G262" s="8">
        <v>0</v>
      </c>
      <c r="H262" s="14">
        <v>35</v>
      </c>
      <c r="I262" s="8">
        <v>0</v>
      </c>
      <c r="J262" s="8" t="s">
        <v>1377</v>
      </c>
      <c r="K262" s="9" t="s">
        <v>56</v>
      </c>
      <c r="L262" s="8" t="s">
        <v>1377</v>
      </c>
      <c r="M262" s="15" t="s">
        <v>1377</v>
      </c>
      <c r="N262" s="17" t="s">
        <v>1668</v>
      </c>
      <c r="O262" s="19"/>
      <c r="P262" s="8"/>
      <c r="R262" t="str">
        <f t="shared" si="5"/>
        <v>INSERT INTO TransformationEngine_Field (FieldName, FieldDescription, SourceFieldName, DetailField, Length, Required, OutputFieldName, AllowedChars) VALUES ('Output UB Box 76', 'Attending Physician Last Name', 'OCRAttendPhyID_LAST',0, 35, 0, 'CLM-HOSP-ATTEND-PROV-NAME-LAST', 'A-Z, ,',-,.,')</v>
      </c>
    </row>
    <row r="263" spans="1:18" x14ac:dyDescent="0.35">
      <c r="A263" s="8"/>
      <c r="B263" s="8" t="s">
        <v>1665</v>
      </c>
      <c r="C263" s="8" t="s">
        <v>808</v>
      </c>
      <c r="D263" s="8" t="s">
        <v>809</v>
      </c>
      <c r="E263" s="8" t="s">
        <v>1377</v>
      </c>
      <c r="F263" s="8" t="s">
        <v>1377</v>
      </c>
      <c r="G263" s="8">
        <v>0</v>
      </c>
      <c r="H263" s="14">
        <v>20</v>
      </c>
      <c r="I263" s="8">
        <v>0</v>
      </c>
      <c r="J263" s="8" t="s">
        <v>1377</v>
      </c>
      <c r="K263" s="12" t="s">
        <v>61</v>
      </c>
      <c r="L263" s="8" t="s">
        <v>1377</v>
      </c>
      <c r="M263" s="15" t="s">
        <v>1377</v>
      </c>
      <c r="N263" s="17" t="s">
        <v>1669</v>
      </c>
      <c r="O263" s="19"/>
      <c r="P263" s="8"/>
      <c r="R263" t="str">
        <f t="shared" si="5"/>
        <v>INSERT INTO TransformationEngine_Field (FieldName, FieldDescription, SourceFieldName, DetailField, Length, Required, OutputFieldName, AllowedChars) VALUES ('Output UB Box 76', 'Attending Physician First Name', 'OCRAttendPhyID_FIRST',0, 20, 0, 'CLM-HOSP-ATTEND-PROV-NAME-FIRST', ' ,A-Z')</v>
      </c>
    </row>
    <row r="264" spans="1:18" x14ac:dyDescent="0.35">
      <c r="A264" s="8"/>
      <c r="B264" s="8" t="s">
        <v>1670</v>
      </c>
      <c r="C264" s="8" t="s">
        <v>811</v>
      </c>
      <c r="D264" s="8" t="s">
        <v>812</v>
      </c>
      <c r="E264" s="8" t="s">
        <v>1377</v>
      </c>
      <c r="F264" s="8" t="s">
        <v>1377</v>
      </c>
      <c r="G264" s="8">
        <v>0</v>
      </c>
      <c r="H264" s="14">
        <v>10</v>
      </c>
      <c r="I264" s="8">
        <v>0</v>
      </c>
      <c r="J264" s="8" t="s">
        <v>1377</v>
      </c>
      <c r="K264" s="8" t="s">
        <v>27</v>
      </c>
      <c r="L264" s="8" t="s">
        <v>1377</v>
      </c>
      <c r="M264" s="15" t="s">
        <v>1377</v>
      </c>
      <c r="N264" s="17" t="s">
        <v>1671</v>
      </c>
      <c r="O264" s="19"/>
      <c r="P264" s="8"/>
      <c r="R264" t="str">
        <f t="shared" si="5"/>
        <v>INSERT INTO TransformationEngine_Field (FieldName, FieldDescription, SourceFieldName, DetailField, Length, Required, OutputFieldName, AllowedChars) VALUES ('Output UB Box 77', 'Operating Physician NPI', 'OCRPhyOper_NPI',0, 10, 0, 'CLM-HOSP-OPER-PROV-ID', '0-9')</v>
      </c>
    </row>
    <row r="265" spans="1:18" x14ac:dyDescent="0.35">
      <c r="A265" s="8"/>
      <c r="B265" s="8" t="s">
        <v>1670</v>
      </c>
      <c r="C265" s="8" t="s">
        <v>813</v>
      </c>
      <c r="D265" s="8" t="s">
        <v>814</v>
      </c>
      <c r="E265" s="8" t="s">
        <v>1377</v>
      </c>
      <c r="F265" s="8" t="s">
        <v>1377</v>
      </c>
      <c r="G265" s="8">
        <v>0</v>
      </c>
      <c r="H265" s="14">
        <v>3</v>
      </c>
      <c r="I265" s="8">
        <v>0</v>
      </c>
      <c r="J265" s="8" t="s">
        <v>1377</v>
      </c>
      <c r="K265" s="8" t="s">
        <v>27</v>
      </c>
      <c r="L265" s="8" t="s">
        <v>1377</v>
      </c>
      <c r="M265" s="15" t="s">
        <v>1377</v>
      </c>
      <c r="N265" s="17" t="s">
        <v>1672</v>
      </c>
      <c r="O265" s="19"/>
      <c r="P265" s="8"/>
      <c r="R265" t="str">
        <f t="shared" si="5"/>
        <v>INSERT INTO TransformationEngine_Field (FieldName, FieldDescription, SourceFieldName, DetailField, Length, Required, OutputFieldName, AllowedChars) VALUES ('Output UB Box 77', 'Operating Physician Qual', 'OCRPhyOper_QUAL',0, 3, 0, 'CLM-HOSP-OPER-PROV-ID-QUAL', '0-9')</v>
      </c>
    </row>
    <row r="266" spans="1:18" x14ac:dyDescent="0.35">
      <c r="A266" s="8"/>
      <c r="B266" s="8" t="s">
        <v>1670</v>
      </c>
      <c r="C266" s="8" t="s">
        <v>815</v>
      </c>
      <c r="D266" s="8" t="s">
        <v>816</v>
      </c>
      <c r="E266" s="8" t="s">
        <v>1377</v>
      </c>
      <c r="F266" s="8" t="s">
        <v>1377</v>
      </c>
      <c r="G266" s="8">
        <v>0</v>
      </c>
      <c r="H266" s="14">
        <v>15</v>
      </c>
      <c r="I266" s="8">
        <v>0</v>
      </c>
      <c r="J266" s="8" t="s">
        <v>1377</v>
      </c>
      <c r="K266" s="8" t="s">
        <v>71</v>
      </c>
      <c r="L266" s="8" t="s">
        <v>1377</v>
      </c>
      <c r="M266" s="15" t="s">
        <v>1377</v>
      </c>
      <c r="N266" s="17" t="s">
        <v>1671</v>
      </c>
      <c r="O266" s="19"/>
      <c r="P266" s="8"/>
      <c r="Q266" s="32"/>
      <c r="R266" t="str">
        <f t="shared" si="5"/>
        <v>INSERT INTO TransformationEngine_Field (FieldName, FieldDescription, SourceFieldName, DetailField, Length, Required, OutputFieldName, AllowedChars) VALUES ('Output UB Box 77', 'Operating Physician ID', 'OCRPhyOper_ID',0, 15, 0, 'CLM-HOSP-OPER-PROV-ID', 'A-Z,0-9')</v>
      </c>
    </row>
    <row r="267" spans="1:18" x14ac:dyDescent="0.35">
      <c r="A267" s="8"/>
      <c r="B267" s="8" t="s">
        <v>1670</v>
      </c>
      <c r="C267" s="8" t="s">
        <v>817</v>
      </c>
      <c r="D267" s="8" t="s">
        <v>818</v>
      </c>
      <c r="E267" s="8" t="s">
        <v>1377</v>
      </c>
      <c r="F267" s="8" t="s">
        <v>1377</v>
      </c>
      <c r="G267" s="8">
        <v>0</v>
      </c>
      <c r="H267" s="14">
        <v>35</v>
      </c>
      <c r="I267" s="8">
        <v>0</v>
      </c>
      <c r="J267" s="8" t="s">
        <v>1377</v>
      </c>
      <c r="K267" s="9" t="s">
        <v>56</v>
      </c>
      <c r="L267" s="8" t="s">
        <v>1377</v>
      </c>
      <c r="M267" s="15" t="s">
        <v>1377</v>
      </c>
      <c r="N267" s="33" t="s">
        <v>1673</v>
      </c>
      <c r="O267" s="19"/>
      <c r="P267" s="8"/>
      <c r="R267" t="str">
        <f t="shared" si="5"/>
        <v>INSERT INTO TransformationEngine_Field (FieldName, FieldDescription, SourceFieldName, DetailField, Length, Required, OutputFieldName, AllowedChars) VALUES ('Output UB Box 77', 'Operating Physician Last Name', 'OCRPhyOper_LAST',0, 35, 0, 'CLM-HOSP-OPER-PROV-NAME-LAST', 'A-Z, ,',-,.,')</v>
      </c>
    </row>
    <row r="268" spans="1:18" x14ac:dyDescent="0.35">
      <c r="A268" s="8"/>
      <c r="B268" s="8" t="s">
        <v>1670</v>
      </c>
      <c r="C268" s="8" t="s">
        <v>819</v>
      </c>
      <c r="D268" s="8" t="s">
        <v>820</v>
      </c>
      <c r="E268" s="8" t="s">
        <v>1377</v>
      </c>
      <c r="F268" s="8" t="s">
        <v>1377</v>
      </c>
      <c r="G268" s="8">
        <v>0</v>
      </c>
      <c r="H268" s="14">
        <v>20</v>
      </c>
      <c r="I268" s="8">
        <v>0</v>
      </c>
      <c r="J268" s="8" t="s">
        <v>1377</v>
      </c>
      <c r="K268" s="12" t="s">
        <v>61</v>
      </c>
      <c r="L268" s="8" t="s">
        <v>1377</v>
      </c>
      <c r="M268" s="15" t="s">
        <v>1377</v>
      </c>
      <c r="N268" s="33" t="s">
        <v>1674</v>
      </c>
      <c r="O268" s="19"/>
      <c r="P268" s="8"/>
      <c r="R268" t="str">
        <f t="shared" si="5"/>
        <v>INSERT INTO TransformationEngine_Field (FieldName, FieldDescription, SourceFieldName, DetailField, Length, Required, OutputFieldName, AllowedChars) VALUES ('Output UB Box 77', 'Operating Physician First Name', 'OCRPhyOper_FIRST',0, 20, 0, 'CLM-HOSP-OPER-PROV-NAME-FIRST', ' ,A-Z')</v>
      </c>
    </row>
    <row r="269" spans="1:18" x14ac:dyDescent="0.35">
      <c r="A269" s="8"/>
      <c r="B269" s="8" t="s">
        <v>1675</v>
      </c>
      <c r="C269" s="8" t="s">
        <v>822</v>
      </c>
      <c r="D269" s="8" t="s">
        <v>823</v>
      </c>
      <c r="E269" s="8" t="s">
        <v>1377</v>
      </c>
      <c r="F269" s="8" t="s">
        <v>1377</v>
      </c>
      <c r="G269" s="8">
        <v>0</v>
      </c>
      <c r="H269" s="14">
        <v>3</v>
      </c>
      <c r="I269" s="8">
        <v>0</v>
      </c>
      <c r="J269" s="8" t="s">
        <v>1377</v>
      </c>
      <c r="K269" s="8" t="s">
        <v>71</v>
      </c>
      <c r="L269" s="8" t="s">
        <v>1377</v>
      </c>
      <c r="M269" s="15" t="s">
        <v>1377</v>
      </c>
      <c r="N269" s="17" t="s">
        <v>1676</v>
      </c>
      <c r="O269" s="19"/>
      <c r="P269" s="8"/>
      <c r="R269" t="str">
        <f t="shared" si="5"/>
        <v>INSERT INTO TransformationEngine_Field (FieldName, FieldDescription, SourceFieldName, DetailField, Length, Required, OutputFieldName, AllowedChars) VALUES ('Output UB Box 78', 'Other Physician 1 NPI Qual', 'OCROthPhyID2_NPIQual',0, 3, 0, 'CLM-HOSP-OTHR-PROV-ID-QUAL', 'A-Z,0-9')</v>
      </c>
    </row>
    <row r="270" spans="1:18" x14ac:dyDescent="0.35">
      <c r="A270" s="8"/>
      <c r="B270" s="8" t="s">
        <v>1675</v>
      </c>
      <c r="C270" s="8" t="s">
        <v>824</v>
      </c>
      <c r="D270" s="8" t="s">
        <v>825</v>
      </c>
      <c r="E270" s="8" t="s">
        <v>1377</v>
      </c>
      <c r="F270" s="8" t="s">
        <v>1377</v>
      </c>
      <c r="G270" s="8">
        <v>0</v>
      </c>
      <c r="H270" s="14">
        <v>10</v>
      </c>
      <c r="I270" s="8">
        <v>0</v>
      </c>
      <c r="J270" s="8" t="s">
        <v>1377</v>
      </c>
      <c r="K270" s="8" t="s">
        <v>27</v>
      </c>
      <c r="L270" s="8" t="s">
        <v>1377</v>
      </c>
      <c r="M270" s="15" t="s">
        <v>1377</v>
      </c>
      <c r="N270" s="17" t="s">
        <v>1677</v>
      </c>
      <c r="O270" s="19"/>
      <c r="P270" s="8"/>
      <c r="R270" t="str">
        <f t="shared" si="5"/>
        <v>INSERT INTO TransformationEngine_Field (FieldName, FieldDescription, SourceFieldName, DetailField, Length, Required, OutputFieldName, AllowedChars) VALUES ('Output UB Box 78', 'Other Physician 1 NPI', 'OCROthPhyID2_NPI',0, 10, 0, 'CLM-HOSP-OTHR-PROV-ID', '0-9')</v>
      </c>
    </row>
    <row r="271" spans="1:18" x14ac:dyDescent="0.35">
      <c r="A271" s="8"/>
      <c r="B271" s="8" t="s">
        <v>1675</v>
      </c>
      <c r="C271" s="8" t="s">
        <v>826</v>
      </c>
      <c r="D271" s="8" t="s">
        <v>827</v>
      </c>
      <c r="E271" s="8" t="s">
        <v>1377</v>
      </c>
      <c r="F271" s="8" t="s">
        <v>1377</v>
      </c>
      <c r="G271" s="8">
        <v>0</v>
      </c>
      <c r="H271" s="14">
        <v>3</v>
      </c>
      <c r="I271" s="8">
        <v>0</v>
      </c>
      <c r="J271" s="8" t="s">
        <v>1377</v>
      </c>
      <c r="K271" s="8" t="s">
        <v>27</v>
      </c>
      <c r="L271" s="8" t="s">
        <v>1377</v>
      </c>
      <c r="M271" s="15" t="s">
        <v>1377</v>
      </c>
      <c r="N271" s="17" t="s">
        <v>1676</v>
      </c>
      <c r="O271" s="19"/>
      <c r="P271" s="8"/>
      <c r="R271" t="str">
        <f t="shared" si="5"/>
        <v>INSERT INTO TransformationEngine_Field (FieldName, FieldDescription, SourceFieldName, DetailField, Length, Required, OutputFieldName, AllowedChars) VALUES ('Output UB Box 78', 'Other Physician 1 Qual', 'OCROthPhyID2_QUAL',0, 3, 0, 'CLM-HOSP-OTHR-PROV-ID-QUAL', '0-9')</v>
      </c>
    </row>
    <row r="272" spans="1:18" x14ac:dyDescent="0.35">
      <c r="A272" s="8"/>
      <c r="B272" s="8" t="s">
        <v>1675</v>
      </c>
      <c r="C272" s="8" t="s">
        <v>828</v>
      </c>
      <c r="D272" s="8" t="s">
        <v>829</v>
      </c>
      <c r="E272" s="8" t="s">
        <v>1377</v>
      </c>
      <c r="F272" s="8" t="s">
        <v>1377</v>
      </c>
      <c r="G272" s="8">
        <v>0</v>
      </c>
      <c r="H272" s="14">
        <v>15</v>
      </c>
      <c r="I272" s="8">
        <v>0</v>
      </c>
      <c r="J272" s="8" t="s">
        <v>1377</v>
      </c>
      <c r="K272" s="8" t="s">
        <v>71</v>
      </c>
      <c r="L272" s="8" t="s">
        <v>1377</v>
      </c>
      <c r="M272" s="15" t="s">
        <v>1377</v>
      </c>
      <c r="N272" s="17" t="s">
        <v>1677</v>
      </c>
      <c r="O272" s="19"/>
      <c r="P272" s="8"/>
      <c r="R272" t="str">
        <f t="shared" si="5"/>
        <v>INSERT INTO TransformationEngine_Field (FieldName, FieldDescription, SourceFieldName, DetailField, Length, Required, OutputFieldName, AllowedChars) VALUES ('Output UB Box 78', 'Operating Physician 1 ID', 'OCROthPhyID2_ID',0, 15, 0, 'CLM-HOSP-OTHR-PROV-ID', 'A-Z,0-9')</v>
      </c>
    </row>
    <row r="273" spans="1:18" x14ac:dyDescent="0.35">
      <c r="A273" s="8"/>
      <c r="B273" s="8" t="s">
        <v>1675</v>
      </c>
      <c r="C273" s="8" t="s">
        <v>830</v>
      </c>
      <c r="D273" s="8" t="s">
        <v>831</v>
      </c>
      <c r="E273" s="8" t="s">
        <v>1377</v>
      </c>
      <c r="F273" s="8" t="s">
        <v>1377</v>
      </c>
      <c r="G273" s="8">
        <v>0</v>
      </c>
      <c r="H273" s="14">
        <v>35</v>
      </c>
      <c r="I273" s="8">
        <v>0</v>
      </c>
      <c r="J273" s="8" t="s">
        <v>1377</v>
      </c>
      <c r="K273" s="9" t="s">
        <v>56</v>
      </c>
      <c r="L273" s="8" t="s">
        <v>1377</v>
      </c>
      <c r="M273" s="15" t="s">
        <v>1377</v>
      </c>
      <c r="N273" s="17" t="s">
        <v>1678</v>
      </c>
      <c r="O273" s="19"/>
      <c r="P273" s="8"/>
      <c r="R273" t="str">
        <f t="shared" si="5"/>
        <v>INSERT INTO TransformationEngine_Field (FieldName, FieldDescription, SourceFieldName, DetailField, Length, Required, OutputFieldName, AllowedChars) VALUES ('Output UB Box 78', 'Other Physician 1 Last Name', 'OCROthPhyID2_LAST',0, 35, 0, 'CLM-HOSP-OTHR-PROV-NAME-LAST', 'A-Z, ,',-,.,')</v>
      </c>
    </row>
    <row r="274" spans="1:18" x14ac:dyDescent="0.35">
      <c r="A274" s="8"/>
      <c r="B274" s="8" t="s">
        <v>1675</v>
      </c>
      <c r="C274" s="8" t="s">
        <v>832</v>
      </c>
      <c r="D274" s="8" t="s">
        <v>833</v>
      </c>
      <c r="E274" s="8" t="s">
        <v>1377</v>
      </c>
      <c r="F274" s="8" t="s">
        <v>1377</v>
      </c>
      <c r="G274" s="8">
        <v>0</v>
      </c>
      <c r="H274" s="14">
        <v>20</v>
      </c>
      <c r="I274" s="8">
        <v>0</v>
      </c>
      <c r="J274" s="8" t="s">
        <v>1377</v>
      </c>
      <c r="K274" s="12" t="s">
        <v>61</v>
      </c>
      <c r="L274" s="8" t="s">
        <v>1377</v>
      </c>
      <c r="M274" s="15" t="s">
        <v>1377</v>
      </c>
      <c r="N274" s="17" t="s">
        <v>1679</v>
      </c>
      <c r="O274" s="19"/>
      <c r="P274" s="8"/>
      <c r="R274" t="str">
        <f t="shared" si="5"/>
        <v>INSERT INTO TransformationEngine_Field (FieldName, FieldDescription, SourceFieldName, DetailField, Length, Required, OutputFieldName, AllowedChars) VALUES ('Output UB Box 78', 'Other Physician 1 First Name', 'OCROthPhyID2_FIRST',0, 20, 0, 'CLM-HOSP-OTHR-PROV-NAME-FIRST  ', ' ,A-Z')</v>
      </c>
    </row>
    <row r="275" spans="1:18" x14ac:dyDescent="0.35">
      <c r="A275" s="8"/>
      <c r="B275" s="8" t="s">
        <v>1680</v>
      </c>
      <c r="C275" s="8" t="s">
        <v>835</v>
      </c>
      <c r="D275" s="8" t="s">
        <v>836</v>
      </c>
      <c r="E275" s="8" t="s">
        <v>1377</v>
      </c>
      <c r="F275" s="8" t="s">
        <v>1377</v>
      </c>
      <c r="G275" s="8">
        <v>0</v>
      </c>
      <c r="H275" s="14">
        <v>3</v>
      </c>
      <c r="I275" s="8">
        <v>0</v>
      </c>
      <c r="J275" s="8" t="s">
        <v>1377</v>
      </c>
      <c r="K275" s="8" t="s">
        <v>71</v>
      </c>
      <c r="L275" s="8" t="s">
        <v>1377</v>
      </c>
      <c r="M275" s="15" t="s">
        <v>1377</v>
      </c>
      <c r="N275" s="17" t="s">
        <v>1676</v>
      </c>
      <c r="O275" s="19"/>
      <c r="P275" s="8"/>
      <c r="R275" t="str">
        <f t="shared" si="5"/>
        <v>INSERT INTO TransformationEngine_Field (FieldName, FieldDescription, SourceFieldName, DetailField, Length, Required, OutputFieldName, AllowedChars) VALUES ('Output UB Box 79', 'Other Physician 2 NPI Qual', 'OCRProvSig_NPIQual',0, 3, 0, 'CLM-HOSP-OTHR-PROV-ID-QUAL', 'A-Z,0-9')</v>
      </c>
    </row>
    <row r="276" spans="1:18" x14ac:dyDescent="0.35">
      <c r="A276" s="8"/>
      <c r="B276" s="8" t="s">
        <v>1680</v>
      </c>
      <c r="C276" s="8" t="s">
        <v>837</v>
      </c>
      <c r="D276" s="8" t="s">
        <v>838</v>
      </c>
      <c r="E276" s="8" t="s">
        <v>1377</v>
      </c>
      <c r="F276" s="8" t="s">
        <v>1377</v>
      </c>
      <c r="G276" s="8">
        <v>0</v>
      </c>
      <c r="H276" s="14">
        <v>10</v>
      </c>
      <c r="I276" s="8">
        <v>0</v>
      </c>
      <c r="J276" s="8" t="s">
        <v>1377</v>
      </c>
      <c r="K276" s="8" t="s">
        <v>1377</v>
      </c>
      <c r="L276" s="8" t="s">
        <v>1377</v>
      </c>
      <c r="M276" s="15" t="s">
        <v>1377</v>
      </c>
      <c r="N276" s="17" t="s">
        <v>1677</v>
      </c>
      <c r="O276" s="19"/>
      <c r="P276" s="8"/>
      <c r="R276" t="str">
        <f t="shared" si="5"/>
        <v>INSERT INTO TransformationEngine_Field (FieldName, FieldDescription, SourceFieldName, DetailField, Length, Required, OutputFieldName, AllowedChars) VALUES ('Output UB Box 79', 'Other Physician 2 NPI', 'OCRProvSig_NPI',0, 10, 0, 'CLM-HOSP-OTHR-PROV-ID', 'NULL')</v>
      </c>
    </row>
    <row r="277" spans="1:18" x14ac:dyDescent="0.35">
      <c r="A277" s="8"/>
      <c r="B277" s="8" t="s">
        <v>1680</v>
      </c>
      <c r="C277" s="8" t="s">
        <v>839</v>
      </c>
      <c r="D277" s="8" t="s">
        <v>840</v>
      </c>
      <c r="E277" s="8" t="s">
        <v>1377</v>
      </c>
      <c r="F277" s="8" t="s">
        <v>1377</v>
      </c>
      <c r="G277" s="8">
        <v>0</v>
      </c>
      <c r="H277" s="14">
        <v>3</v>
      </c>
      <c r="I277" s="8">
        <v>0</v>
      </c>
      <c r="J277" s="8" t="s">
        <v>1377</v>
      </c>
      <c r="K277" s="8" t="s">
        <v>27</v>
      </c>
      <c r="L277" s="8" t="s">
        <v>1377</v>
      </c>
      <c r="M277" s="15" t="s">
        <v>1377</v>
      </c>
      <c r="N277" s="17" t="s">
        <v>1676</v>
      </c>
      <c r="O277" s="19"/>
      <c r="P277" s="8"/>
      <c r="R277" t="str">
        <f t="shared" si="5"/>
        <v>INSERT INTO TransformationEngine_Field (FieldName, FieldDescription, SourceFieldName, DetailField, Length, Required, OutputFieldName, AllowedChars) VALUES ('Output UB Box 79', 'Other Physician 2 Qual', 'OCRProvSig_QUAL',0, 3, 0, 'CLM-HOSP-OTHR-PROV-ID-QUAL', '0-9')</v>
      </c>
    </row>
    <row r="278" spans="1:18" x14ac:dyDescent="0.35">
      <c r="A278" s="8"/>
      <c r="B278" s="8" t="s">
        <v>1680</v>
      </c>
      <c r="C278" s="8" t="s">
        <v>842</v>
      </c>
      <c r="D278" s="8" t="s">
        <v>843</v>
      </c>
      <c r="E278" s="8" t="s">
        <v>1377</v>
      </c>
      <c r="F278" s="8" t="s">
        <v>1377</v>
      </c>
      <c r="G278" s="8">
        <v>0</v>
      </c>
      <c r="H278" s="14">
        <v>15</v>
      </c>
      <c r="I278" s="8">
        <v>0</v>
      </c>
      <c r="J278" s="8" t="s">
        <v>1377</v>
      </c>
      <c r="K278" s="8" t="s">
        <v>71</v>
      </c>
      <c r="L278" s="8" t="s">
        <v>1377</v>
      </c>
      <c r="M278" s="15" t="s">
        <v>1377</v>
      </c>
      <c r="N278" s="17" t="s">
        <v>1677</v>
      </c>
      <c r="O278" s="19"/>
      <c r="P278" s="8"/>
      <c r="R278" t="str">
        <f t="shared" si="5"/>
        <v>INSERT INTO TransformationEngine_Field (FieldName, FieldDescription, SourceFieldName, DetailField, Length, Required, OutputFieldName, AllowedChars) VALUES ('Output UB Box 79', 'Operating Physician 2 ID', 'OCRProvSig_ID',0, 15, 0, 'CLM-HOSP-OTHR-PROV-ID', 'A-Z,0-9')</v>
      </c>
    </row>
    <row r="279" spans="1:18" x14ac:dyDescent="0.35">
      <c r="A279" s="8"/>
      <c r="B279" s="8" t="s">
        <v>1680</v>
      </c>
      <c r="C279" s="8" t="s">
        <v>844</v>
      </c>
      <c r="D279" s="8" t="s">
        <v>845</v>
      </c>
      <c r="E279" s="8" t="s">
        <v>1377</v>
      </c>
      <c r="F279" s="8" t="s">
        <v>1377</v>
      </c>
      <c r="G279" s="8">
        <v>0</v>
      </c>
      <c r="H279" s="14">
        <v>35</v>
      </c>
      <c r="I279" s="8">
        <v>0</v>
      </c>
      <c r="J279" s="8" t="s">
        <v>1377</v>
      </c>
      <c r="K279" s="9" t="s">
        <v>56</v>
      </c>
      <c r="L279" s="8" t="s">
        <v>1377</v>
      </c>
      <c r="M279" s="15" t="s">
        <v>1377</v>
      </c>
      <c r="N279" s="17" t="s">
        <v>1678</v>
      </c>
      <c r="O279" s="19"/>
      <c r="P279" s="8"/>
      <c r="R279" t="str">
        <f t="shared" si="5"/>
        <v>INSERT INTO TransformationEngine_Field (FieldName, FieldDescription, SourceFieldName, DetailField, Length, Required, OutputFieldName, AllowedChars) VALUES ('Output UB Box 79', 'Other Physician 2 Last Name', 'OCRProvSig_LAST',0, 35, 0, 'CLM-HOSP-OTHR-PROV-NAME-LAST', 'A-Z, ,',-,.,')</v>
      </c>
    </row>
    <row r="280" spans="1:18" x14ac:dyDescent="0.35">
      <c r="A280" s="8"/>
      <c r="B280" s="8" t="s">
        <v>1680</v>
      </c>
      <c r="C280" s="8" t="s">
        <v>846</v>
      </c>
      <c r="D280" s="8" t="s">
        <v>847</v>
      </c>
      <c r="E280" s="8" t="s">
        <v>1377</v>
      </c>
      <c r="F280" s="8" t="s">
        <v>1377</v>
      </c>
      <c r="G280" s="8">
        <v>0</v>
      </c>
      <c r="H280" s="14">
        <v>20</v>
      </c>
      <c r="I280" s="8">
        <v>0</v>
      </c>
      <c r="J280" s="8" t="s">
        <v>1377</v>
      </c>
      <c r="K280" s="12" t="s">
        <v>61</v>
      </c>
      <c r="L280" s="8" t="s">
        <v>1377</v>
      </c>
      <c r="M280" s="15" t="s">
        <v>1377</v>
      </c>
      <c r="N280" s="17" t="s">
        <v>1679</v>
      </c>
      <c r="O280" s="19"/>
      <c r="P280" s="8"/>
      <c r="R280" t="str">
        <f t="shared" si="5"/>
        <v>INSERT INTO TransformationEngine_Field (FieldName, FieldDescription, SourceFieldName, DetailField, Length, Required, OutputFieldName, AllowedChars) VALUES ('Output UB Box 79', 'Other Physician 2 First Name', 'OCRProvSig_FIRST',0, 20, 0, 'CLM-HOSP-OTHR-PROV-NAME-FIRST  ', ' ,A-Z')</v>
      </c>
    </row>
    <row r="281" spans="1:18" x14ac:dyDescent="0.35">
      <c r="A281" s="8"/>
      <c r="B281" s="8" t="s">
        <v>1681</v>
      </c>
      <c r="C281" s="8" t="s">
        <v>849</v>
      </c>
      <c r="D281" s="8" t="s">
        <v>850</v>
      </c>
      <c r="E281" s="8" t="s">
        <v>1377</v>
      </c>
      <c r="F281" s="8" t="s">
        <v>1377</v>
      </c>
      <c r="G281" s="8">
        <v>0</v>
      </c>
      <c r="H281" s="14">
        <v>60</v>
      </c>
      <c r="I281" s="8">
        <v>0</v>
      </c>
      <c r="J281" s="8" t="s">
        <v>1377</v>
      </c>
      <c r="K281" s="8" t="s">
        <v>1377</v>
      </c>
      <c r="L281" s="8" t="s">
        <v>1377</v>
      </c>
      <c r="M281" s="15" t="s">
        <v>1377</v>
      </c>
      <c r="N281" s="17" t="s">
        <v>1682</v>
      </c>
      <c r="O281" s="19"/>
      <c r="P281" s="8"/>
      <c r="R281" t="str">
        <f t="shared" si="5"/>
        <v>INSERT INTO TransformationEngine_Field (FieldName, FieldDescription, SourceFieldName, DetailField, Length, Required, OutputFieldName, AllowedChars) VALUES ('Output UB Box 80', 'Remarks Line 1', 'OCRRemarks_1',0, 60, 0, 'CLM-FREE-FORM-REMARKS', 'NULL')</v>
      </c>
    </row>
    <row r="282" spans="1:18" x14ac:dyDescent="0.35">
      <c r="A282" s="8"/>
      <c r="B282" s="8" t="s">
        <v>1681</v>
      </c>
      <c r="C282" s="8" t="s">
        <v>851</v>
      </c>
      <c r="D282" s="8" t="s">
        <v>852</v>
      </c>
      <c r="E282" s="8" t="s">
        <v>1377</v>
      </c>
      <c r="F282" s="8" t="s">
        <v>1377</v>
      </c>
      <c r="G282" s="8">
        <v>0</v>
      </c>
      <c r="H282" s="14">
        <v>60</v>
      </c>
      <c r="I282" s="8">
        <v>0</v>
      </c>
      <c r="J282" s="8" t="s">
        <v>1377</v>
      </c>
      <c r="K282" s="8" t="s">
        <v>1377</v>
      </c>
      <c r="L282" s="8" t="s">
        <v>1377</v>
      </c>
      <c r="M282" s="15" t="s">
        <v>1377</v>
      </c>
      <c r="N282" s="17"/>
      <c r="O282" s="19"/>
      <c r="P282" s="8"/>
      <c r="Q282" t="s">
        <v>1406</v>
      </c>
      <c r="R282" t="str">
        <f t="shared" si="5"/>
        <v>INSERT INTO TransformationEngine_Field (FieldName, FieldDescription, SourceFieldName, DetailField, Length, Required, OutputFieldName, AllowedChars) VALUES ('Output UB Box 80', 'Remarks Line 2', 'OCRRemarks_2',0, 60, 0, '', 'NULL')</v>
      </c>
    </row>
    <row r="283" spans="1:18" x14ac:dyDescent="0.35">
      <c r="A283" s="8"/>
      <c r="B283" s="8" t="s">
        <v>1681</v>
      </c>
      <c r="C283" s="8" t="s">
        <v>853</v>
      </c>
      <c r="D283" s="8" t="s">
        <v>854</v>
      </c>
      <c r="E283" s="8" t="s">
        <v>1377</v>
      </c>
      <c r="F283" s="8" t="s">
        <v>1377</v>
      </c>
      <c r="G283" s="8">
        <v>0</v>
      </c>
      <c r="H283" s="14">
        <v>60</v>
      </c>
      <c r="I283" s="8">
        <v>0</v>
      </c>
      <c r="J283" s="8" t="s">
        <v>1377</v>
      </c>
      <c r="K283" s="8" t="s">
        <v>1377</v>
      </c>
      <c r="L283" s="8" t="s">
        <v>1377</v>
      </c>
      <c r="M283" s="15" t="s">
        <v>1377</v>
      </c>
      <c r="N283" s="17"/>
      <c r="O283" s="19"/>
      <c r="P283" s="8"/>
      <c r="Q283" t="s">
        <v>1406</v>
      </c>
      <c r="R283" t="str">
        <f t="shared" si="5"/>
        <v>INSERT INTO TransformationEngine_Field (FieldName, FieldDescription, SourceFieldName, DetailField, Length, Required, OutputFieldName, AllowedChars) VALUES ('Output UB Box 80', 'Remarks Line 3', 'OCRRemarks_3',0, 60, 0, '', 'NULL')</v>
      </c>
    </row>
    <row r="284" spans="1:18" x14ac:dyDescent="0.35">
      <c r="A284" s="8"/>
      <c r="B284" s="8" t="s">
        <v>1681</v>
      </c>
      <c r="C284" s="8" t="s">
        <v>855</v>
      </c>
      <c r="D284" s="8" t="s">
        <v>856</v>
      </c>
      <c r="E284" s="8" t="s">
        <v>1377</v>
      </c>
      <c r="F284" s="8" t="s">
        <v>1377</v>
      </c>
      <c r="G284" s="8">
        <v>0</v>
      </c>
      <c r="H284" s="14">
        <v>60</v>
      </c>
      <c r="I284" s="8">
        <v>0</v>
      </c>
      <c r="J284" s="8" t="s">
        <v>1377</v>
      </c>
      <c r="K284" s="8" t="s">
        <v>1377</v>
      </c>
      <c r="L284" s="8" t="s">
        <v>1377</v>
      </c>
      <c r="M284" s="15" t="s">
        <v>1377</v>
      </c>
      <c r="N284" s="17"/>
      <c r="O284" s="19"/>
      <c r="P284" s="8"/>
      <c r="Q284" t="s">
        <v>1406</v>
      </c>
      <c r="R284" t="str">
        <f t="shared" si="5"/>
        <v>INSERT INTO TransformationEngine_Field (FieldName, FieldDescription, SourceFieldName, DetailField, Length, Required, OutputFieldName, AllowedChars) VALUES ('Output UB Box 80', 'Remarks Line 4', 'OCRRemarks_4',0, 60, 0, '', 'NULL')</v>
      </c>
    </row>
    <row r="285" spans="1:18" ht="91" x14ac:dyDescent="0.35">
      <c r="A285" s="8"/>
      <c r="B285" s="8" t="s">
        <v>1683</v>
      </c>
      <c r="C285" s="8" t="s">
        <v>858</v>
      </c>
      <c r="D285" s="8" t="s">
        <v>859</v>
      </c>
      <c r="E285" s="8" t="s">
        <v>1377</v>
      </c>
      <c r="F285" s="8" t="s">
        <v>1377</v>
      </c>
      <c r="G285" s="8">
        <v>0</v>
      </c>
      <c r="H285" s="14">
        <v>2</v>
      </c>
      <c r="I285" s="8">
        <v>0</v>
      </c>
      <c r="J285" s="8" t="s">
        <v>1377</v>
      </c>
      <c r="K285" s="8" t="s">
        <v>1377</v>
      </c>
      <c r="L285" s="8" t="s">
        <v>1377</v>
      </c>
      <c r="M285" s="15" t="s">
        <v>1377</v>
      </c>
      <c r="N285" s="17" t="s">
        <v>1684</v>
      </c>
      <c r="O285" s="19"/>
      <c r="P285" s="8"/>
      <c r="R285" t="str">
        <f t="shared" si="5"/>
        <v>INSERT INTO TransformationEngine_Field (FieldName, FieldDescription, SourceFieldName, DetailField, Length, Required, OutputFieldName, AllowedChars) VALUES ('Output UB Box 81 a', 'Code Codes a 1', 'OCR81CCaA',0, 2, 0, 'CLM-HOSP-CONDITION-CD
CLM-HOSP-OCCUR-CODES
CLM-HOSP-OCCUR-DTE-CCYYMMDD
CLM-HOSP-VALUE-CODES
CLM-HOSP-VALUE-AMOUNT      
CLM-BILL-PROV-TAXONOMY-CODE
CLM-FREE-FORM-REMARKS', 'NULL')</v>
      </c>
    </row>
    <row r="286" spans="1:18" ht="91" x14ac:dyDescent="0.35">
      <c r="A286" s="8"/>
      <c r="B286" s="8" t="s">
        <v>1683</v>
      </c>
      <c r="C286" s="8" t="s">
        <v>861</v>
      </c>
      <c r="D286" s="8" t="s">
        <v>862</v>
      </c>
      <c r="E286" s="8" t="s">
        <v>1377</v>
      </c>
      <c r="F286" s="8" t="s">
        <v>1377</v>
      </c>
      <c r="G286" s="8">
        <v>0</v>
      </c>
      <c r="H286" s="14">
        <v>30</v>
      </c>
      <c r="I286" s="8">
        <v>0</v>
      </c>
      <c r="J286" s="8" t="s">
        <v>1377</v>
      </c>
      <c r="K286" s="8" t="s">
        <v>1377</v>
      </c>
      <c r="L286" s="8" t="s">
        <v>1377</v>
      </c>
      <c r="M286" s="15" t="s">
        <v>1377</v>
      </c>
      <c r="N286" s="17" t="s">
        <v>1684</v>
      </c>
      <c r="O286" s="19"/>
      <c r="P286" s="8"/>
      <c r="R286" t="str">
        <f t="shared" si="5"/>
        <v>INSERT INTO TransformationEngine_Field (FieldName, FieldDescription, SourceFieldName, DetailField, Length, Required, OutputFieldName, AllowedChars) VALUES ('Output UB Box 81 a', 'Code Codes a 2', 'OCR81CCbA',0, 30, 0, 'CLM-HOSP-CONDITION-CD
CLM-HOSP-OCCUR-CODES
CLM-HOSP-OCCUR-DTE-CCYYMMDD
CLM-HOSP-VALUE-CODES
CLM-HOSP-VALUE-AMOUNT      
CLM-BILL-PROV-TAXONOMY-CODE
CLM-FREE-FORM-REMARKS', 'NULL')</v>
      </c>
    </row>
    <row r="287" spans="1:18" ht="91" x14ac:dyDescent="0.35">
      <c r="A287" s="8"/>
      <c r="B287" s="8" t="s">
        <v>1683</v>
      </c>
      <c r="C287" s="8" t="s">
        <v>863</v>
      </c>
      <c r="D287" s="8" t="s">
        <v>864</v>
      </c>
      <c r="E287" s="8" t="s">
        <v>1377</v>
      </c>
      <c r="F287" s="8" t="s">
        <v>1377</v>
      </c>
      <c r="G287" s="8">
        <v>0</v>
      </c>
      <c r="H287" s="14">
        <v>30</v>
      </c>
      <c r="I287" s="8">
        <v>0</v>
      </c>
      <c r="J287" s="8" t="s">
        <v>1377</v>
      </c>
      <c r="K287" s="8" t="s">
        <v>1377</v>
      </c>
      <c r="L287" s="8" t="s">
        <v>1377</v>
      </c>
      <c r="M287" s="15" t="s">
        <v>1377</v>
      </c>
      <c r="N287" s="17" t="s">
        <v>1684</v>
      </c>
      <c r="O287" s="19"/>
      <c r="P287" s="8"/>
      <c r="R287" t="str">
        <f t="shared" si="5"/>
        <v>INSERT INTO TransformationEngine_Field (FieldName, FieldDescription, SourceFieldName, DetailField, Length, Required, OutputFieldName, AllowedChars) VALUES ('Output UB Box 81 a', 'Code Codes a 3', 'OCR81CCcA',0, 30, 0, 'CLM-HOSP-CONDITION-CD
CLM-HOSP-OCCUR-CODES
CLM-HOSP-OCCUR-DTE-CCYYMMDD
CLM-HOSP-VALUE-CODES
CLM-HOSP-VALUE-AMOUNT      
CLM-BILL-PROV-TAXONOMY-CODE
CLM-FREE-FORM-REMARKS', 'NULL')</v>
      </c>
    </row>
    <row r="288" spans="1:18" ht="91" x14ac:dyDescent="0.35">
      <c r="A288" s="8"/>
      <c r="B288" s="8" t="s">
        <v>1685</v>
      </c>
      <c r="C288" s="8" t="s">
        <v>866</v>
      </c>
      <c r="D288" s="8" t="s">
        <v>867</v>
      </c>
      <c r="E288" s="8" t="s">
        <v>1377</v>
      </c>
      <c r="F288" s="8" t="s">
        <v>1377</v>
      </c>
      <c r="G288" s="8">
        <v>0</v>
      </c>
      <c r="H288" s="14">
        <v>2</v>
      </c>
      <c r="I288" s="8">
        <v>0</v>
      </c>
      <c r="J288" s="8" t="s">
        <v>1377</v>
      </c>
      <c r="K288" s="8" t="s">
        <v>1377</v>
      </c>
      <c r="L288" s="8" t="s">
        <v>1377</v>
      </c>
      <c r="M288" s="15" t="s">
        <v>1377</v>
      </c>
      <c r="N288" s="17" t="s">
        <v>1684</v>
      </c>
      <c r="O288" s="19"/>
      <c r="P288" s="8"/>
      <c r="R288" t="str">
        <f t="shared" si="5"/>
        <v>INSERT INTO TransformationEngine_Field (FieldName, FieldDescription, SourceFieldName, DetailField, Length, Required, OutputFieldName, AllowedChars) VALUES ('Output UB Box 81 b', 'Code Codes b 1', 'OCR81CCaB',0, 2, 0, 'CLM-HOSP-CONDITION-CD
CLM-HOSP-OCCUR-CODES
CLM-HOSP-OCCUR-DTE-CCYYMMDD
CLM-HOSP-VALUE-CODES
CLM-HOSP-VALUE-AMOUNT      
CLM-BILL-PROV-TAXONOMY-CODE
CLM-FREE-FORM-REMARKS', 'NULL')</v>
      </c>
    </row>
    <row r="289" spans="1:18" ht="91" x14ac:dyDescent="0.35">
      <c r="A289" s="8"/>
      <c r="B289" s="8" t="s">
        <v>1685</v>
      </c>
      <c r="C289" s="8" t="s">
        <v>868</v>
      </c>
      <c r="D289" s="8" t="s">
        <v>869</v>
      </c>
      <c r="E289" s="8" t="s">
        <v>1377</v>
      </c>
      <c r="F289" s="8" t="s">
        <v>1377</v>
      </c>
      <c r="G289" s="8">
        <v>0</v>
      </c>
      <c r="H289" s="14">
        <v>30</v>
      </c>
      <c r="I289" s="8">
        <v>0</v>
      </c>
      <c r="J289" s="8" t="s">
        <v>1377</v>
      </c>
      <c r="K289" s="8" t="s">
        <v>1377</v>
      </c>
      <c r="L289" s="8" t="s">
        <v>1377</v>
      </c>
      <c r="M289" s="15" t="s">
        <v>1377</v>
      </c>
      <c r="N289" s="17" t="s">
        <v>1684</v>
      </c>
      <c r="O289" s="19"/>
      <c r="P289" s="8"/>
      <c r="R289" t="str">
        <f t="shared" si="5"/>
        <v>INSERT INTO TransformationEngine_Field (FieldName, FieldDescription, SourceFieldName, DetailField, Length, Required, OutputFieldName, AllowedChars) VALUES ('Output UB Box 81 b', 'Code Codes b 2', 'OCR81CCbB',0, 30, 0, 'CLM-HOSP-CONDITION-CD
CLM-HOSP-OCCUR-CODES
CLM-HOSP-OCCUR-DTE-CCYYMMDD
CLM-HOSP-VALUE-CODES
CLM-HOSP-VALUE-AMOUNT      
CLM-BILL-PROV-TAXONOMY-CODE
CLM-FREE-FORM-REMARKS', 'NULL')</v>
      </c>
    </row>
    <row r="290" spans="1:18" ht="91" x14ac:dyDescent="0.35">
      <c r="A290" s="8"/>
      <c r="B290" s="8" t="s">
        <v>1685</v>
      </c>
      <c r="C290" s="8" t="s">
        <v>870</v>
      </c>
      <c r="D290" s="8" t="s">
        <v>871</v>
      </c>
      <c r="E290" s="8" t="s">
        <v>1377</v>
      </c>
      <c r="F290" s="8" t="s">
        <v>1377</v>
      </c>
      <c r="G290" s="8">
        <v>0</v>
      </c>
      <c r="H290" s="14">
        <v>30</v>
      </c>
      <c r="I290" s="8">
        <v>0</v>
      </c>
      <c r="J290" s="8" t="s">
        <v>1377</v>
      </c>
      <c r="K290" s="8" t="s">
        <v>1377</v>
      </c>
      <c r="L290" s="8" t="s">
        <v>1377</v>
      </c>
      <c r="M290" s="15" t="s">
        <v>1377</v>
      </c>
      <c r="N290" s="17" t="s">
        <v>1684</v>
      </c>
      <c r="O290" s="19"/>
      <c r="P290" s="8"/>
      <c r="R290" t="str">
        <f t="shared" si="5"/>
        <v>INSERT INTO TransformationEngine_Field (FieldName, FieldDescription, SourceFieldName, DetailField, Length, Required, OutputFieldName, AllowedChars) VALUES ('Output UB Box 81 b', 'Code Codes b 3', 'OCR81CCcB',0, 30, 0, 'CLM-HOSP-CONDITION-CD
CLM-HOSP-OCCUR-CODES
CLM-HOSP-OCCUR-DTE-CCYYMMDD
CLM-HOSP-VALUE-CODES
CLM-HOSP-VALUE-AMOUNT      
CLM-BILL-PROV-TAXONOMY-CODE
CLM-FREE-FORM-REMARKS', 'NULL')</v>
      </c>
    </row>
    <row r="291" spans="1:18" ht="91" x14ac:dyDescent="0.35">
      <c r="A291" s="8"/>
      <c r="B291" s="8" t="s">
        <v>1686</v>
      </c>
      <c r="C291" s="8" t="s">
        <v>873</v>
      </c>
      <c r="D291" s="8" t="s">
        <v>874</v>
      </c>
      <c r="E291" s="8" t="s">
        <v>1377</v>
      </c>
      <c r="F291" s="8" t="s">
        <v>1377</v>
      </c>
      <c r="G291" s="8">
        <v>0</v>
      </c>
      <c r="H291" s="14">
        <v>2</v>
      </c>
      <c r="I291" s="8">
        <v>0</v>
      </c>
      <c r="J291" s="8" t="s">
        <v>1377</v>
      </c>
      <c r="K291" s="8" t="s">
        <v>1377</v>
      </c>
      <c r="L291" s="8" t="s">
        <v>1377</v>
      </c>
      <c r="M291" s="15" t="s">
        <v>1377</v>
      </c>
      <c r="N291" s="17" t="s">
        <v>1684</v>
      </c>
      <c r="O291" s="19"/>
      <c r="P291" s="8"/>
      <c r="R291" t="str">
        <f t="shared" si="5"/>
        <v>INSERT INTO TransformationEngine_Field (FieldName, FieldDescription, SourceFieldName, DetailField, Length, Required, OutputFieldName, AllowedChars) VALUES ('Output UB Box 81 c', 'Code Codes c 1', 'OCR81CCaC',0, 2, 0, 'CLM-HOSP-CONDITION-CD
CLM-HOSP-OCCUR-CODES
CLM-HOSP-OCCUR-DTE-CCYYMMDD
CLM-HOSP-VALUE-CODES
CLM-HOSP-VALUE-AMOUNT      
CLM-BILL-PROV-TAXONOMY-CODE
CLM-FREE-FORM-REMARKS', 'NULL')</v>
      </c>
    </row>
    <row r="292" spans="1:18" ht="91" x14ac:dyDescent="0.35">
      <c r="A292" s="8"/>
      <c r="B292" s="8" t="s">
        <v>1686</v>
      </c>
      <c r="C292" s="8" t="s">
        <v>875</v>
      </c>
      <c r="D292" s="8" t="s">
        <v>876</v>
      </c>
      <c r="E292" s="8" t="s">
        <v>1377</v>
      </c>
      <c r="F292" s="8" t="s">
        <v>1377</v>
      </c>
      <c r="G292" s="8">
        <v>0</v>
      </c>
      <c r="H292" s="14">
        <v>30</v>
      </c>
      <c r="I292" s="8">
        <v>0</v>
      </c>
      <c r="J292" s="8" t="s">
        <v>1377</v>
      </c>
      <c r="K292" s="8" t="s">
        <v>1377</v>
      </c>
      <c r="L292" s="8" t="s">
        <v>1377</v>
      </c>
      <c r="M292" s="15" t="s">
        <v>1377</v>
      </c>
      <c r="N292" s="17" t="s">
        <v>1684</v>
      </c>
      <c r="O292" s="19"/>
      <c r="P292" s="8"/>
      <c r="R292" t="str">
        <f t="shared" si="5"/>
        <v>INSERT INTO TransformationEngine_Field (FieldName, FieldDescription, SourceFieldName, DetailField, Length, Required, OutputFieldName, AllowedChars) VALUES ('Output UB Box 81 c', 'Code Codes c 2', 'OCR81CCbC',0, 30, 0, 'CLM-HOSP-CONDITION-CD
CLM-HOSP-OCCUR-CODES
CLM-HOSP-OCCUR-DTE-CCYYMMDD
CLM-HOSP-VALUE-CODES
CLM-HOSP-VALUE-AMOUNT      
CLM-BILL-PROV-TAXONOMY-CODE
CLM-FREE-FORM-REMARKS', 'NULL')</v>
      </c>
    </row>
    <row r="293" spans="1:18" ht="91" x14ac:dyDescent="0.35">
      <c r="A293" s="8"/>
      <c r="B293" s="8" t="s">
        <v>1686</v>
      </c>
      <c r="C293" s="8" t="s">
        <v>877</v>
      </c>
      <c r="D293" s="8" t="s">
        <v>878</v>
      </c>
      <c r="E293" s="8" t="s">
        <v>1377</v>
      </c>
      <c r="F293" s="8" t="s">
        <v>1377</v>
      </c>
      <c r="G293" s="8">
        <v>0</v>
      </c>
      <c r="H293" s="14">
        <v>30</v>
      </c>
      <c r="I293" s="8">
        <v>0</v>
      </c>
      <c r="J293" s="8" t="s">
        <v>1377</v>
      </c>
      <c r="K293" s="8" t="s">
        <v>1377</v>
      </c>
      <c r="L293" s="8" t="s">
        <v>1377</v>
      </c>
      <c r="M293" s="15" t="s">
        <v>1377</v>
      </c>
      <c r="N293" s="17" t="s">
        <v>1684</v>
      </c>
      <c r="O293" s="19"/>
      <c r="P293" s="8"/>
      <c r="R293" t="str">
        <f t="shared" si="5"/>
        <v>INSERT INTO TransformationEngine_Field (FieldName, FieldDescription, SourceFieldName, DetailField, Length, Required, OutputFieldName, AllowedChars) VALUES ('Output UB Box 81 c', 'Code Codes c 3', 'OCR81CCcC',0, 30, 0, 'CLM-HOSP-CONDITION-CD
CLM-HOSP-OCCUR-CODES
CLM-HOSP-OCCUR-DTE-CCYYMMDD
CLM-HOSP-VALUE-CODES
CLM-HOSP-VALUE-AMOUNT      
CLM-BILL-PROV-TAXONOMY-CODE
CLM-FREE-FORM-REMARKS', 'NULL')</v>
      </c>
    </row>
    <row r="294" spans="1:18" ht="91" x14ac:dyDescent="0.35">
      <c r="A294" s="8"/>
      <c r="B294" s="8" t="s">
        <v>1687</v>
      </c>
      <c r="C294" s="8" t="s">
        <v>880</v>
      </c>
      <c r="D294" s="8" t="s">
        <v>881</v>
      </c>
      <c r="E294" s="8" t="s">
        <v>1377</v>
      </c>
      <c r="F294" s="8" t="s">
        <v>1377</v>
      </c>
      <c r="G294" s="8">
        <v>0</v>
      </c>
      <c r="H294" s="14">
        <v>2</v>
      </c>
      <c r="I294" s="8">
        <v>0</v>
      </c>
      <c r="J294" s="8" t="s">
        <v>1377</v>
      </c>
      <c r="K294" s="8" t="s">
        <v>1377</v>
      </c>
      <c r="L294" s="8" t="s">
        <v>1377</v>
      </c>
      <c r="M294" s="15" t="s">
        <v>1377</v>
      </c>
      <c r="N294" s="17" t="s">
        <v>1684</v>
      </c>
      <c r="O294" s="19"/>
      <c r="P294" s="8"/>
      <c r="R294" t="str">
        <f t="shared" si="5"/>
        <v>INSERT INTO TransformationEngine_Field (FieldName, FieldDescription, SourceFieldName, DetailField, Length, Required, OutputFieldName, AllowedChars) VALUES ('Output UB Box 81 d', 'Code Codes d 1', 'OCR81CCaD',0, 2, 0, 'CLM-HOSP-CONDITION-CD
CLM-HOSP-OCCUR-CODES
CLM-HOSP-OCCUR-DTE-CCYYMMDD
CLM-HOSP-VALUE-CODES
CLM-HOSP-VALUE-AMOUNT      
CLM-BILL-PROV-TAXONOMY-CODE
CLM-FREE-FORM-REMARKS', 'NULL')</v>
      </c>
    </row>
    <row r="295" spans="1:18" ht="91" x14ac:dyDescent="0.35">
      <c r="A295" s="8"/>
      <c r="B295" s="8" t="s">
        <v>1687</v>
      </c>
      <c r="C295" s="8" t="s">
        <v>882</v>
      </c>
      <c r="D295" s="8" t="s">
        <v>883</v>
      </c>
      <c r="E295" s="8" t="s">
        <v>1377</v>
      </c>
      <c r="F295" s="8" t="s">
        <v>1377</v>
      </c>
      <c r="G295" s="8">
        <v>0</v>
      </c>
      <c r="H295" s="14">
        <v>30</v>
      </c>
      <c r="I295" s="8">
        <v>0</v>
      </c>
      <c r="J295" s="8" t="s">
        <v>1377</v>
      </c>
      <c r="K295" s="8" t="s">
        <v>1377</v>
      </c>
      <c r="L295" s="8" t="s">
        <v>1377</v>
      </c>
      <c r="M295" s="15" t="s">
        <v>1377</v>
      </c>
      <c r="N295" s="17" t="s">
        <v>1684</v>
      </c>
      <c r="O295" s="19"/>
      <c r="P295" s="8"/>
      <c r="R295" t="str">
        <f t="shared" si="5"/>
        <v>INSERT INTO TransformationEngine_Field (FieldName, FieldDescription, SourceFieldName, DetailField, Length, Required, OutputFieldName, AllowedChars) VALUES ('Output UB Box 81 d', 'Code Codes d 2', 'OCR81CCbD',0, 30, 0, 'CLM-HOSP-CONDITION-CD
CLM-HOSP-OCCUR-CODES
CLM-HOSP-OCCUR-DTE-CCYYMMDD
CLM-HOSP-VALUE-CODES
CLM-HOSP-VALUE-AMOUNT      
CLM-BILL-PROV-TAXONOMY-CODE
CLM-FREE-FORM-REMARKS', 'NULL')</v>
      </c>
    </row>
    <row r="296" spans="1:18" ht="91" x14ac:dyDescent="0.35">
      <c r="A296" s="8"/>
      <c r="B296" s="8" t="s">
        <v>1687</v>
      </c>
      <c r="C296" s="8" t="s">
        <v>884</v>
      </c>
      <c r="D296" s="8" t="s">
        <v>885</v>
      </c>
      <c r="E296" s="8" t="s">
        <v>1377</v>
      </c>
      <c r="F296" s="8" t="s">
        <v>1377</v>
      </c>
      <c r="G296" s="8">
        <v>0</v>
      </c>
      <c r="H296" s="14">
        <v>30</v>
      </c>
      <c r="I296" s="8">
        <v>0</v>
      </c>
      <c r="J296" s="8" t="s">
        <v>1377</v>
      </c>
      <c r="K296" s="8" t="s">
        <v>1377</v>
      </c>
      <c r="L296" s="8" t="s">
        <v>1377</v>
      </c>
      <c r="M296" s="15" t="s">
        <v>1377</v>
      </c>
      <c r="N296" s="17" t="s">
        <v>1684</v>
      </c>
      <c r="O296" s="19"/>
      <c r="P296" s="8"/>
      <c r="R296" t="str">
        <f t="shared" si="5"/>
        <v>INSERT INTO TransformationEngine_Field (FieldName, FieldDescription, SourceFieldName, DetailField, Length, Required, OutputFieldName, AllowedChars) VALUES ('Output UB Box 81 d', 'Code Codes d 3', 'OCR81CCcD',0, 30, 0, 'CLM-HOSP-CONDITION-CD
CLM-HOSP-OCCUR-CODES
CLM-HOSP-OCCUR-DTE-CCYYMMDD
CLM-HOSP-VALUE-CODES
CLM-HOSP-VALUE-AMOUNT      
CLM-BILL-PROV-TAXONOMY-CODE
CLM-FREE-FORM-REMARKS', 'NULL')</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2B397-8841-466D-A477-FF2E35DBFF64}">
  <dimension ref="A1:R354"/>
  <sheetViews>
    <sheetView topLeftCell="J1" zoomScale="99" zoomScaleNormal="99" workbookViewId="0">
      <pane ySplit="1" topLeftCell="A159" activePane="bottomLeft" state="frozen"/>
      <selection pane="bottomLeft" activeCell="N161" sqref="N161"/>
    </sheetView>
  </sheetViews>
  <sheetFormatPr defaultColWidth="9.26953125" defaultRowHeight="14.5" x14ac:dyDescent="0.35"/>
  <cols>
    <col min="1" max="2" width="7.453125" style="22" customWidth="1"/>
    <col min="3" max="3" width="7" style="22" customWidth="1"/>
    <col min="4" max="4" width="29.26953125" style="6" customWidth="1"/>
    <col min="5" max="5" width="27.54296875" style="6" customWidth="1"/>
    <col min="6" max="6" width="10.453125" style="3" customWidth="1"/>
    <col min="7" max="7" width="9.26953125" style="3"/>
    <col min="8" max="8" width="24.26953125" style="6" customWidth="1"/>
    <col min="9" max="9" width="77.1796875" style="6" customWidth="1"/>
    <col min="10" max="10" width="45.453125" style="6" customWidth="1"/>
    <col min="11" max="11" width="11.54296875" style="22" customWidth="1"/>
    <col min="12" max="12" width="9.26953125" style="4"/>
    <col min="13" max="13" width="21.6328125" style="4" customWidth="1"/>
    <col min="14" max="14" width="15.1796875" style="4" customWidth="1"/>
    <col min="15" max="16" width="9.26953125" style="4" hidden="1" customWidth="1"/>
    <col min="17" max="16384" width="9.26953125" style="4"/>
  </cols>
  <sheetData>
    <row r="1" spans="1:18" ht="29" x14ac:dyDescent="0.35">
      <c r="A1" s="86" t="s">
        <v>989</v>
      </c>
      <c r="B1" s="70" t="s">
        <v>990</v>
      </c>
      <c r="C1" s="5" t="s">
        <v>991</v>
      </c>
      <c r="D1" s="5" t="s">
        <v>992</v>
      </c>
      <c r="E1" s="5" t="s">
        <v>993</v>
      </c>
      <c r="F1" s="5" t="s">
        <v>995</v>
      </c>
      <c r="G1" s="5" t="s">
        <v>996</v>
      </c>
      <c r="H1" s="5" t="s">
        <v>997</v>
      </c>
      <c r="I1" s="69" t="s">
        <v>999</v>
      </c>
      <c r="J1" s="5" t="s">
        <v>1000</v>
      </c>
      <c r="K1" s="5" t="s">
        <v>1688</v>
      </c>
      <c r="M1" s="4" t="s">
        <v>3873</v>
      </c>
      <c r="N1" s="4" t="s">
        <v>3880</v>
      </c>
      <c r="Q1" t="s">
        <v>3897</v>
      </c>
      <c r="R1" t="s">
        <v>360</v>
      </c>
    </row>
    <row r="2" spans="1:18" ht="72.5" x14ac:dyDescent="0.35">
      <c r="A2" s="94">
        <v>1088</v>
      </c>
      <c r="B2" s="94">
        <v>2007</v>
      </c>
      <c r="C2" s="94">
        <v>1</v>
      </c>
      <c r="D2" s="158" t="s">
        <v>33</v>
      </c>
      <c r="E2" s="158" t="s">
        <v>34</v>
      </c>
      <c r="F2" s="159" t="s">
        <v>1002</v>
      </c>
      <c r="G2" s="159">
        <v>101</v>
      </c>
      <c r="H2" s="158" t="s">
        <v>1689</v>
      </c>
      <c r="I2" s="158" t="s">
        <v>1690</v>
      </c>
      <c r="J2" s="160" t="s">
        <v>1691</v>
      </c>
      <c r="K2" s="161"/>
      <c r="M2" s="4" t="s">
        <v>3865</v>
      </c>
      <c r="N2" s="4" t="s">
        <v>3865</v>
      </c>
      <c r="Q2" t="s">
        <v>3898</v>
      </c>
      <c r="R2" t="s">
        <v>3899</v>
      </c>
    </row>
    <row r="3" spans="1:18" x14ac:dyDescent="0.35">
      <c r="A3" s="73">
        <v>1381</v>
      </c>
      <c r="B3" s="73">
        <v>2005</v>
      </c>
      <c r="C3" s="73">
        <v>1</v>
      </c>
      <c r="D3" s="75" t="s">
        <v>29</v>
      </c>
      <c r="E3" s="75" t="s">
        <v>30</v>
      </c>
      <c r="F3" s="120" t="s">
        <v>1002</v>
      </c>
      <c r="G3" s="120">
        <v>110</v>
      </c>
      <c r="H3" s="75" t="s">
        <v>1692</v>
      </c>
      <c r="I3" s="75" t="s">
        <v>1693</v>
      </c>
      <c r="J3" s="130" t="s">
        <v>1694</v>
      </c>
      <c r="K3" s="24">
        <v>884428</v>
      </c>
      <c r="M3" s="4" t="s">
        <v>3865</v>
      </c>
      <c r="N3" s="4" t="s">
        <v>3865</v>
      </c>
      <c r="Q3" t="s">
        <v>3900</v>
      </c>
      <c r="R3" t="s">
        <v>3901</v>
      </c>
    </row>
    <row r="4" spans="1:18" ht="29" x14ac:dyDescent="0.35">
      <c r="A4" s="73">
        <v>1816</v>
      </c>
      <c r="B4" s="73">
        <v>2005</v>
      </c>
      <c r="C4" s="73">
        <v>1</v>
      </c>
      <c r="D4" s="75" t="s">
        <v>29</v>
      </c>
      <c r="E4" s="75" t="s">
        <v>30</v>
      </c>
      <c r="F4" s="120" t="s">
        <v>1002</v>
      </c>
      <c r="G4" s="120">
        <v>111</v>
      </c>
      <c r="H4" s="75" t="s">
        <v>1695</v>
      </c>
      <c r="I4" s="75" t="s">
        <v>1696</v>
      </c>
      <c r="J4" s="130" t="s">
        <v>1697</v>
      </c>
      <c r="K4" s="24">
        <v>891372</v>
      </c>
      <c r="M4" s="4" t="s">
        <v>3865</v>
      </c>
      <c r="N4" s="4" t="s">
        <v>3865</v>
      </c>
      <c r="Q4" t="s">
        <v>3900</v>
      </c>
      <c r="R4" t="s">
        <v>3901</v>
      </c>
    </row>
    <row r="5" spans="1:18" x14ac:dyDescent="0.35">
      <c r="A5" s="73">
        <v>1603</v>
      </c>
      <c r="B5" s="73">
        <v>2006</v>
      </c>
      <c r="C5" s="73">
        <v>1</v>
      </c>
      <c r="D5" s="75" t="s">
        <v>32</v>
      </c>
      <c r="E5" s="75" t="s">
        <v>22</v>
      </c>
      <c r="F5" s="120" t="s">
        <v>1002</v>
      </c>
      <c r="G5" s="120">
        <v>121</v>
      </c>
      <c r="H5" s="75" t="s">
        <v>1692</v>
      </c>
      <c r="I5" s="75" t="s">
        <v>1698</v>
      </c>
      <c r="J5" s="130" t="s">
        <v>1699</v>
      </c>
      <c r="K5" s="24"/>
      <c r="M5" s="4" t="s">
        <v>3865</v>
      </c>
      <c r="N5" s="4" t="s">
        <v>3865</v>
      </c>
      <c r="Q5" t="s">
        <v>3900</v>
      </c>
      <c r="R5" t="s">
        <v>3901</v>
      </c>
    </row>
    <row r="6" spans="1:18" ht="43.5" x14ac:dyDescent="0.35">
      <c r="A6" s="73">
        <v>1598</v>
      </c>
      <c r="B6" s="73">
        <v>2011</v>
      </c>
      <c r="C6" s="73">
        <v>1</v>
      </c>
      <c r="D6" s="74" t="s">
        <v>43</v>
      </c>
      <c r="E6" s="74" t="s">
        <v>28</v>
      </c>
      <c r="F6" s="120" t="s">
        <v>1002</v>
      </c>
      <c r="G6" s="120">
        <v>131</v>
      </c>
      <c r="H6" s="75" t="s">
        <v>1695</v>
      </c>
      <c r="I6" s="75" t="s">
        <v>1700</v>
      </c>
      <c r="J6" s="130" t="s">
        <v>1701</v>
      </c>
      <c r="K6" s="24">
        <v>884428</v>
      </c>
      <c r="M6" s="4" t="s">
        <v>3865</v>
      </c>
      <c r="N6" s="4" t="s">
        <v>3865</v>
      </c>
      <c r="Q6" t="s">
        <v>3900</v>
      </c>
      <c r="R6" t="s">
        <v>3901</v>
      </c>
    </row>
    <row r="7" spans="1:18" x14ac:dyDescent="0.35">
      <c r="A7" s="73">
        <v>1382</v>
      </c>
      <c r="B7" s="73">
        <v>2016</v>
      </c>
      <c r="C7" s="73">
        <v>2</v>
      </c>
      <c r="D7" s="75" t="s">
        <v>54</v>
      </c>
      <c r="E7" s="75" t="s">
        <v>55</v>
      </c>
      <c r="F7" s="120" t="s">
        <v>1002</v>
      </c>
      <c r="G7" s="120">
        <v>201</v>
      </c>
      <c r="H7" s="75" t="s">
        <v>1692</v>
      </c>
      <c r="I7" s="75" t="s">
        <v>1702</v>
      </c>
      <c r="J7" s="130" t="s">
        <v>1703</v>
      </c>
      <c r="K7" s="24"/>
      <c r="M7" s="4" t="s">
        <v>3865</v>
      </c>
      <c r="N7" s="4" t="s">
        <v>3865</v>
      </c>
      <c r="Q7" t="s">
        <v>3900</v>
      </c>
      <c r="R7" t="s">
        <v>3901</v>
      </c>
    </row>
    <row r="8" spans="1:18" ht="29" x14ac:dyDescent="0.35">
      <c r="A8" s="73">
        <v>1817</v>
      </c>
      <c r="B8" s="73">
        <v>2016</v>
      </c>
      <c r="C8" s="73">
        <v>2</v>
      </c>
      <c r="D8" s="75" t="s">
        <v>54</v>
      </c>
      <c r="E8" s="75" t="s">
        <v>55</v>
      </c>
      <c r="F8" s="120" t="s">
        <v>1002</v>
      </c>
      <c r="G8" s="120">
        <v>202</v>
      </c>
      <c r="H8" s="75" t="s">
        <v>1695</v>
      </c>
      <c r="I8" s="75" t="s">
        <v>1704</v>
      </c>
      <c r="J8" s="130" t="s">
        <v>1705</v>
      </c>
      <c r="K8" s="24">
        <v>891372</v>
      </c>
      <c r="M8" s="4" t="s">
        <v>3865</v>
      </c>
      <c r="N8" s="4" t="s">
        <v>3865</v>
      </c>
      <c r="Q8" t="s">
        <v>3900</v>
      </c>
      <c r="R8" t="s">
        <v>3901</v>
      </c>
    </row>
    <row r="9" spans="1:18" x14ac:dyDescent="0.35">
      <c r="A9" s="94">
        <v>1639</v>
      </c>
      <c r="B9" s="94">
        <v>2017</v>
      </c>
      <c r="C9" s="94">
        <v>2</v>
      </c>
      <c r="D9" s="78" t="s">
        <v>57</v>
      </c>
      <c r="E9" s="78" t="s">
        <v>58</v>
      </c>
      <c r="F9" s="159" t="s">
        <v>1002</v>
      </c>
      <c r="G9" s="159">
        <v>212</v>
      </c>
      <c r="H9" s="158" t="s">
        <v>1692</v>
      </c>
      <c r="I9" s="158" t="s">
        <v>1706</v>
      </c>
      <c r="J9" s="160" t="s">
        <v>1707</v>
      </c>
      <c r="K9" s="24">
        <v>884429</v>
      </c>
      <c r="M9" s="4" t="s">
        <v>3865</v>
      </c>
      <c r="N9" s="4" t="s">
        <v>3865</v>
      </c>
      <c r="Q9" t="s">
        <v>1239</v>
      </c>
      <c r="R9" t="s">
        <v>3902</v>
      </c>
    </row>
    <row r="10" spans="1:18" ht="72.5" x14ac:dyDescent="0.35">
      <c r="A10" s="94">
        <v>1089</v>
      </c>
      <c r="B10" s="94">
        <v>2018</v>
      </c>
      <c r="C10" s="94">
        <v>2</v>
      </c>
      <c r="D10" s="158" t="s">
        <v>59</v>
      </c>
      <c r="E10" s="158" t="s">
        <v>60</v>
      </c>
      <c r="F10" s="159" t="s">
        <v>1002</v>
      </c>
      <c r="G10" s="159">
        <v>213</v>
      </c>
      <c r="H10" s="158" t="s">
        <v>1689</v>
      </c>
      <c r="I10" s="158" t="s">
        <v>1708</v>
      </c>
      <c r="J10" s="160" t="s">
        <v>1709</v>
      </c>
      <c r="K10" s="161"/>
      <c r="M10" s="4" t="s">
        <v>3865</v>
      </c>
      <c r="N10" s="4" t="s">
        <v>3865</v>
      </c>
      <c r="Q10" t="s">
        <v>3898</v>
      </c>
      <c r="R10" t="s">
        <v>3903</v>
      </c>
    </row>
    <row r="11" spans="1:18" x14ac:dyDescent="0.35">
      <c r="A11" s="73">
        <v>1383</v>
      </c>
      <c r="B11" s="73">
        <v>2020</v>
      </c>
      <c r="C11" s="73">
        <v>2</v>
      </c>
      <c r="D11" s="75" t="s">
        <v>64</v>
      </c>
      <c r="E11" s="75" t="s">
        <v>65</v>
      </c>
      <c r="F11" s="120" t="s">
        <v>1002</v>
      </c>
      <c r="G11" s="120">
        <v>220</v>
      </c>
      <c r="H11" s="75" t="s">
        <v>1692</v>
      </c>
      <c r="I11" s="75" t="s">
        <v>1710</v>
      </c>
      <c r="J11" s="130" t="s">
        <v>1711</v>
      </c>
      <c r="K11" s="24"/>
      <c r="M11" s="4" t="s">
        <v>3865</v>
      </c>
      <c r="N11" s="4" t="s">
        <v>3865</v>
      </c>
      <c r="Q11" t="s">
        <v>3898</v>
      </c>
      <c r="R11" t="s">
        <v>3899</v>
      </c>
    </row>
    <row r="12" spans="1:18" ht="29" x14ac:dyDescent="0.35">
      <c r="A12" s="73">
        <v>1356</v>
      </c>
      <c r="B12" s="73">
        <v>2024</v>
      </c>
      <c r="C12" s="73">
        <v>4</v>
      </c>
      <c r="D12" s="75" t="s">
        <v>77</v>
      </c>
      <c r="E12" s="75" t="s">
        <v>78</v>
      </c>
      <c r="F12" s="120" t="s">
        <v>1002</v>
      </c>
      <c r="G12" s="120">
        <v>401</v>
      </c>
      <c r="H12" s="75" t="s">
        <v>1712</v>
      </c>
      <c r="I12" s="75" t="s">
        <v>1713</v>
      </c>
      <c r="J12" s="130" t="s">
        <v>1714</v>
      </c>
      <c r="K12" s="24"/>
      <c r="M12" s="4" t="s">
        <v>3865</v>
      </c>
      <c r="N12" s="4" t="s">
        <v>3865</v>
      </c>
      <c r="Q12" t="s">
        <v>3900</v>
      </c>
      <c r="R12" t="s">
        <v>3901</v>
      </c>
    </row>
    <row r="13" spans="1:18" x14ac:dyDescent="0.35">
      <c r="A13" s="97">
        <v>1640</v>
      </c>
      <c r="B13" s="97">
        <v>2024</v>
      </c>
      <c r="C13" s="97">
        <v>4</v>
      </c>
      <c r="D13" s="163" t="s">
        <v>77</v>
      </c>
      <c r="E13" s="163" t="s">
        <v>78</v>
      </c>
      <c r="F13" s="164" t="s">
        <v>1002</v>
      </c>
      <c r="G13" s="164">
        <v>402</v>
      </c>
      <c r="H13" s="163" t="s">
        <v>1692</v>
      </c>
      <c r="I13" s="163" t="s">
        <v>1715</v>
      </c>
      <c r="J13" s="183" t="s">
        <v>1716</v>
      </c>
      <c r="K13" s="24">
        <v>884430</v>
      </c>
      <c r="M13" s="4" t="s">
        <v>3865</v>
      </c>
      <c r="N13" s="4" t="s">
        <v>3865</v>
      </c>
      <c r="Q13" t="s">
        <v>3900</v>
      </c>
      <c r="R13" t="s">
        <v>3901</v>
      </c>
    </row>
    <row r="14" spans="1:18" ht="29" x14ac:dyDescent="0.35">
      <c r="A14" s="161">
        <v>1412</v>
      </c>
      <c r="B14" s="161">
        <v>2025</v>
      </c>
      <c r="C14" s="161">
        <v>5</v>
      </c>
      <c r="D14" s="28" t="s">
        <v>80</v>
      </c>
      <c r="E14" s="28" t="s">
        <v>81</v>
      </c>
      <c r="F14" s="162" t="s">
        <v>1002</v>
      </c>
      <c r="G14" s="162">
        <v>501</v>
      </c>
      <c r="H14" s="28" t="s">
        <v>1695</v>
      </c>
      <c r="I14" s="28" t="s">
        <v>1717</v>
      </c>
      <c r="J14" s="28" t="s">
        <v>1718</v>
      </c>
      <c r="K14" s="166"/>
      <c r="M14" s="4" t="s">
        <v>3865</v>
      </c>
      <c r="N14" s="4" t="s">
        <v>3865</v>
      </c>
      <c r="Q14" t="s">
        <v>3900</v>
      </c>
      <c r="R14" t="s">
        <v>3901</v>
      </c>
    </row>
    <row r="15" spans="1:18" x14ac:dyDescent="0.35">
      <c r="A15" s="161">
        <v>1642</v>
      </c>
      <c r="B15" s="161">
        <v>2025</v>
      </c>
      <c r="C15" s="161">
        <v>5</v>
      </c>
      <c r="D15" s="28" t="s">
        <v>80</v>
      </c>
      <c r="E15" s="28" t="s">
        <v>81</v>
      </c>
      <c r="F15" s="162" t="s">
        <v>1002</v>
      </c>
      <c r="G15" s="162">
        <v>502</v>
      </c>
      <c r="H15" s="28" t="s">
        <v>1692</v>
      </c>
      <c r="I15" s="28" t="s">
        <v>1719</v>
      </c>
      <c r="J15" s="28" t="s">
        <v>1720</v>
      </c>
      <c r="K15" s="166">
        <v>884431</v>
      </c>
      <c r="M15" s="4" t="s">
        <v>3865</v>
      </c>
      <c r="N15" s="4" t="s">
        <v>3865</v>
      </c>
      <c r="Q15" t="s">
        <v>3900</v>
      </c>
      <c r="R15" t="s">
        <v>3901</v>
      </c>
    </row>
    <row r="16" spans="1:18" ht="29" x14ac:dyDescent="0.35">
      <c r="A16" s="24">
        <v>1119</v>
      </c>
      <c r="B16" s="24">
        <v>2026</v>
      </c>
      <c r="C16" s="24">
        <v>6</v>
      </c>
      <c r="D16" s="48" t="s">
        <v>83</v>
      </c>
      <c r="E16" s="48" t="s">
        <v>84</v>
      </c>
      <c r="F16" s="134" t="s">
        <v>1002</v>
      </c>
      <c r="G16" s="134">
        <v>601</v>
      </c>
      <c r="H16" s="48" t="s">
        <v>1721</v>
      </c>
      <c r="I16" s="48" t="s">
        <v>1722</v>
      </c>
      <c r="J16" s="48" t="s">
        <v>1723</v>
      </c>
      <c r="K16" s="166"/>
      <c r="M16" s="4" t="s">
        <v>3865</v>
      </c>
      <c r="N16" s="4" t="s">
        <v>3865</v>
      </c>
      <c r="Q16" t="s">
        <v>3898</v>
      </c>
      <c r="R16" t="s">
        <v>3904</v>
      </c>
    </row>
    <row r="17" spans="1:18" ht="29" x14ac:dyDescent="0.35">
      <c r="A17" s="24">
        <v>1120</v>
      </c>
      <c r="B17" s="24">
        <v>2027</v>
      </c>
      <c r="C17" s="24">
        <v>6</v>
      </c>
      <c r="D17" s="48" t="s">
        <v>87</v>
      </c>
      <c r="E17" s="48" t="s">
        <v>88</v>
      </c>
      <c r="F17" s="134" t="s">
        <v>1002</v>
      </c>
      <c r="G17" s="134">
        <v>602</v>
      </c>
      <c r="H17" s="48" t="s">
        <v>1721</v>
      </c>
      <c r="I17" s="48" t="s">
        <v>1724</v>
      </c>
      <c r="J17" s="48" t="s">
        <v>1725</v>
      </c>
      <c r="K17" s="166"/>
      <c r="M17" s="4" t="s">
        <v>3865</v>
      </c>
      <c r="N17" s="4" t="s">
        <v>3865</v>
      </c>
      <c r="Q17" t="s">
        <v>3900</v>
      </c>
      <c r="R17" t="s">
        <v>3901</v>
      </c>
    </row>
    <row r="18" spans="1:18" ht="29" x14ac:dyDescent="0.35">
      <c r="A18" s="161">
        <v>253</v>
      </c>
      <c r="B18" s="161">
        <v>2026</v>
      </c>
      <c r="C18" s="161">
        <v>6</v>
      </c>
      <c r="D18" s="28" t="s">
        <v>83</v>
      </c>
      <c r="E18" s="28" t="s">
        <v>84</v>
      </c>
      <c r="F18" s="162" t="s">
        <v>1002</v>
      </c>
      <c r="G18" s="162">
        <v>603</v>
      </c>
      <c r="H18" s="28" t="s">
        <v>1695</v>
      </c>
      <c r="I18" s="28" t="s">
        <v>1726</v>
      </c>
      <c r="J18" s="28" t="s">
        <v>1727</v>
      </c>
      <c r="K18" s="275" t="s">
        <v>1728</v>
      </c>
      <c r="M18" s="4" t="s">
        <v>3865</v>
      </c>
      <c r="N18" s="4" t="s">
        <v>3865</v>
      </c>
      <c r="Q18" t="s">
        <v>3900</v>
      </c>
      <c r="R18" t="s">
        <v>3901</v>
      </c>
    </row>
    <row r="19" spans="1:18" ht="29" x14ac:dyDescent="0.35">
      <c r="A19" s="161">
        <v>1384</v>
      </c>
      <c r="B19" s="161">
        <v>2026</v>
      </c>
      <c r="C19" s="161">
        <v>6</v>
      </c>
      <c r="D19" s="28" t="s">
        <v>83</v>
      </c>
      <c r="E19" s="28" t="s">
        <v>84</v>
      </c>
      <c r="F19" s="162" t="s">
        <v>1002</v>
      </c>
      <c r="G19" s="162">
        <v>611</v>
      </c>
      <c r="H19" s="28" t="s">
        <v>1692</v>
      </c>
      <c r="I19" s="28" t="s">
        <v>1729</v>
      </c>
      <c r="J19" s="28" t="s">
        <v>1730</v>
      </c>
      <c r="K19" s="275"/>
      <c r="M19" s="4" t="s">
        <v>3865</v>
      </c>
      <c r="N19" s="4" t="s">
        <v>3865</v>
      </c>
      <c r="Q19" t="s">
        <v>3900</v>
      </c>
      <c r="R19" t="s">
        <v>3901</v>
      </c>
    </row>
    <row r="20" spans="1:18" ht="29" x14ac:dyDescent="0.35">
      <c r="A20" s="161">
        <v>1385</v>
      </c>
      <c r="B20" s="161">
        <v>2027</v>
      </c>
      <c r="C20" s="161">
        <v>6</v>
      </c>
      <c r="D20" s="28" t="s">
        <v>87</v>
      </c>
      <c r="E20" s="28" t="s">
        <v>88</v>
      </c>
      <c r="F20" s="162" t="s">
        <v>1002</v>
      </c>
      <c r="G20" s="162">
        <v>612</v>
      </c>
      <c r="H20" s="28" t="s">
        <v>1695</v>
      </c>
      <c r="I20" s="28" t="s">
        <v>1731</v>
      </c>
      <c r="J20" s="28" t="s">
        <v>1732</v>
      </c>
      <c r="K20" s="274">
        <v>884432</v>
      </c>
      <c r="L20" s="148" t="s">
        <v>1733</v>
      </c>
      <c r="M20" s="4" t="s">
        <v>3865</v>
      </c>
      <c r="N20" s="4" t="s">
        <v>3865</v>
      </c>
      <c r="Q20" t="s">
        <v>3900</v>
      </c>
      <c r="R20" t="s">
        <v>3901</v>
      </c>
    </row>
    <row r="21" spans="1:18" ht="29" x14ac:dyDescent="0.35">
      <c r="A21" s="161">
        <v>254</v>
      </c>
      <c r="B21" s="161">
        <v>2027</v>
      </c>
      <c r="C21" s="161">
        <v>6</v>
      </c>
      <c r="D21" s="28" t="s">
        <v>87</v>
      </c>
      <c r="E21" s="28" t="s">
        <v>88</v>
      </c>
      <c r="F21" s="162" t="s">
        <v>1002</v>
      </c>
      <c r="G21" s="162">
        <v>613</v>
      </c>
      <c r="H21" s="28" t="s">
        <v>1695</v>
      </c>
      <c r="I21" s="28" t="s">
        <v>1734</v>
      </c>
      <c r="J21" s="28" t="s">
        <v>1735</v>
      </c>
      <c r="K21" s="161" t="s">
        <v>1728</v>
      </c>
      <c r="M21" s="4" t="s">
        <v>3865</v>
      </c>
      <c r="N21" s="4" t="s">
        <v>3865</v>
      </c>
      <c r="Q21" t="s">
        <v>3900</v>
      </c>
      <c r="R21" t="s">
        <v>3901</v>
      </c>
    </row>
    <row r="22" spans="1:18" ht="43.5" x14ac:dyDescent="0.35">
      <c r="A22" s="24">
        <v>1415</v>
      </c>
      <c r="B22" s="24">
        <v>2026</v>
      </c>
      <c r="C22" s="24">
        <v>6</v>
      </c>
      <c r="D22" s="48" t="s">
        <v>83</v>
      </c>
      <c r="E22" s="48" t="s">
        <v>84</v>
      </c>
      <c r="F22" s="134" t="s">
        <v>1002</v>
      </c>
      <c r="G22" s="134">
        <v>620</v>
      </c>
      <c r="H22" s="48" t="s">
        <v>1695</v>
      </c>
      <c r="I22" s="48" t="s">
        <v>1736</v>
      </c>
      <c r="J22" s="48" t="s">
        <v>1737</v>
      </c>
      <c r="K22" s="155"/>
      <c r="M22" s="4" t="s">
        <v>3865</v>
      </c>
      <c r="N22" s="4" t="s">
        <v>3865</v>
      </c>
      <c r="Q22" t="s">
        <v>3900</v>
      </c>
      <c r="R22" t="s">
        <v>3901</v>
      </c>
    </row>
    <row r="23" spans="1:18" ht="43.5" x14ac:dyDescent="0.35">
      <c r="A23" s="24">
        <v>1416</v>
      </c>
      <c r="B23" s="24">
        <v>2030</v>
      </c>
      <c r="C23" s="24" t="s">
        <v>1027</v>
      </c>
      <c r="D23" s="48" t="s">
        <v>95</v>
      </c>
      <c r="E23" s="48" t="s">
        <v>96</v>
      </c>
      <c r="F23" s="134" t="s">
        <v>1002</v>
      </c>
      <c r="G23" s="134">
        <v>801</v>
      </c>
      <c r="H23" s="48" t="s">
        <v>1738</v>
      </c>
      <c r="I23" s="48" t="s">
        <v>1739</v>
      </c>
      <c r="J23" s="48" t="s">
        <v>1740</v>
      </c>
      <c r="K23" s="166"/>
      <c r="M23" s="4" t="s">
        <v>3865</v>
      </c>
      <c r="N23" s="4" t="s">
        <v>3865</v>
      </c>
      <c r="Q23" t="s">
        <v>3900</v>
      </c>
      <c r="R23" t="s">
        <v>3901</v>
      </c>
    </row>
    <row r="24" spans="1:18" x14ac:dyDescent="0.35">
      <c r="A24" s="161">
        <v>1643</v>
      </c>
      <c r="B24" s="161">
        <v>2030</v>
      </c>
      <c r="C24" s="161" t="s">
        <v>1027</v>
      </c>
      <c r="D24" s="28" t="s">
        <v>95</v>
      </c>
      <c r="E24" s="28" t="s">
        <v>96</v>
      </c>
      <c r="F24" s="162" t="s">
        <v>1002</v>
      </c>
      <c r="G24" s="162">
        <v>802</v>
      </c>
      <c r="H24" s="28" t="s">
        <v>1692</v>
      </c>
      <c r="I24" s="28" t="s">
        <v>1741</v>
      </c>
      <c r="J24" s="28" t="s">
        <v>1742</v>
      </c>
      <c r="K24" s="166">
        <v>884433</v>
      </c>
      <c r="M24" s="4" t="s">
        <v>3865</v>
      </c>
      <c r="N24" s="4" t="s">
        <v>3865</v>
      </c>
      <c r="Q24" t="s">
        <v>1239</v>
      </c>
      <c r="R24" t="s">
        <v>3902</v>
      </c>
    </row>
    <row r="25" spans="1:18" ht="29" x14ac:dyDescent="0.35">
      <c r="A25" s="185">
        <v>1425</v>
      </c>
      <c r="B25" s="185">
        <v>2032</v>
      </c>
      <c r="C25" s="185" t="s">
        <v>1029</v>
      </c>
      <c r="D25" s="186" t="s">
        <v>101</v>
      </c>
      <c r="E25" s="186" t="s">
        <v>102</v>
      </c>
      <c r="F25" s="187" t="s">
        <v>1002</v>
      </c>
      <c r="G25" s="187">
        <v>811</v>
      </c>
      <c r="H25" s="186" t="s">
        <v>1695</v>
      </c>
      <c r="I25" s="186" t="s">
        <v>1743</v>
      </c>
      <c r="J25" s="186" t="s">
        <v>1744</v>
      </c>
      <c r="K25" s="166"/>
      <c r="L25" s="100" t="s">
        <v>1745</v>
      </c>
      <c r="M25" s="4" t="s">
        <v>3866</v>
      </c>
      <c r="N25" s="4" t="s">
        <v>3881</v>
      </c>
      <c r="Q25" t="s">
        <v>3900</v>
      </c>
      <c r="R25" t="s">
        <v>3901</v>
      </c>
    </row>
    <row r="26" spans="1:18" x14ac:dyDescent="0.35">
      <c r="A26" s="24">
        <v>1353</v>
      </c>
      <c r="B26" s="24">
        <v>2033</v>
      </c>
      <c r="C26" s="24" t="s">
        <v>1029</v>
      </c>
      <c r="D26" s="48" t="s">
        <v>103</v>
      </c>
      <c r="E26" s="48" t="s">
        <v>104</v>
      </c>
      <c r="F26" s="134" t="s">
        <v>1002</v>
      </c>
      <c r="G26" s="134">
        <v>815</v>
      </c>
      <c r="H26" s="48" t="s">
        <v>1692</v>
      </c>
      <c r="I26" s="48" t="s">
        <v>1746</v>
      </c>
      <c r="J26" s="48" t="s">
        <v>1747</v>
      </c>
      <c r="K26" s="181"/>
      <c r="M26" s="4" t="s">
        <v>3865</v>
      </c>
      <c r="N26" s="4" t="s">
        <v>3865</v>
      </c>
      <c r="Q26" t="s">
        <v>3898</v>
      </c>
      <c r="R26" t="s">
        <v>3905</v>
      </c>
    </row>
    <row r="27" spans="1:18" ht="29" x14ac:dyDescent="0.35">
      <c r="A27" s="277">
        <v>2856</v>
      </c>
      <c r="B27" s="131">
        <v>2032</v>
      </c>
      <c r="C27" s="131" t="s">
        <v>1029</v>
      </c>
      <c r="D27" s="180" t="s">
        <v>101</v>
      </c>
      <c r="E27" s="180" t="s">
        <v>102</v>
      </c>
      <c r="F27" s="131" t="s">
        <v>1002</v>
      </c>
      <c r="G27" s="131">
        <v>816</v>
      </c>
      <c r="H27" s="278" t="s">
        <v>1695</v>
      </c>
      <c r="I27" s="278" t="s">
        <v>1748</v>
      </c>
      <c r="J27" s="278" t="s">
        <v>1749</v>
      </c>
      <c r="K27" s="180" t="s">
        <v>1750</v>
      </c>
      <c r="M27" s="4" t="s">
        <v>3865</v>
      </c>
      <c r="N27" s="4" t="s">
        <v>3865</v>
      </c>
      <c r="Q27" t="s">
        <v>1239</v>
      </c>
      <c r="R27" t="s">
        <v>3902</v>
      </c>
    </row>
    <row r="28" spans="1:18" ht="29" x14ac:dyDescent="0.35">
      <c r="A28" s="277">
        <v>2857</v>
      </c>
      <c r="B28" s="131">
        <v>2033</v>
      </c>
      <c r="C28" s="131" t="s">
        <v>1029</v>
      </c>
      <c r="D28" s="180" t="s">
        <v>103</v>
      </c>
      <c r="E28" s="180" t="s">
        <v>104</v>
      </c>
      <c r="F28" s="131" t="s">
        <v>1002</v>
      </c>
      <c r="G28" s="131">
        <v>817</v>
      </c>
      <c r="H28" s="278" t="s">
        <v>1695</v>
      </c>
      <c r="I28" s="278" t="s">
        <v>1751</v>
      </c>
      <c r="J28" s="278" t="s">
        <v>1752</v>
      </c>
      <c r="K28" s="180" t="s">
        <v>1750</v>
      </c>
      <c r="M28" s="4" t="s">
        <v>3865</v>
      </c>
      <c r="N28" s="4" t="s">
        <v>3865</v>
      </c>
      <c r="Q28" t="s">
        <v>3898</v>
      </c>
      <c r="R28" t="s">
        <v>3906</v>
      </c>
    </row>
    <row r="29" spans="1:18" x14ac:dyDescent="0.35">
      <c r="A29" s="24">
        <v>1684</v>
      </c>
      <c r="B29" s="24">
        <v>2038</v>
      </c>
      <c r="C29" s="24" t="s">
        <v>1035</v>
      </c>
      <c r="D29" s="48" t="s">
        <v>115</v>
      </c>
      <c r="E29" s="48" t="s">
        <v>116</v>
      </c>
      <c r="F29" s="134" t="s">
        <v>1002</v>
      </c>
      <c r="G29" s="134">
        <v>900</v>
      </c>
      <c r="H29" s="48" t="s">
        <v>1692</v>
      </c>
      <c r="I29" s="48" t="s">
        <v>1753</v>
      </c>
      <c r="J29" s="48" t="s">
        <v>1754</v>
      </c>
      <c r="K29" s="166">
        <v>885059</v>
      </c>
      <c r="L29" s="148" t="s">
        <v>1755</v>
      </c>
      <c r="M29" s="4" t="s">
        <v>3865</v>
      </c>
      <c r="N29" s="4" t="s">
        <v>3865</v>
      </c>
      <c r="Q29" t="s">
        <v>3900</v>
      </c>
      <c r="R29" t="s">
        <v>3901</v>
      </c>
    </row>
    <row r="30" spans="1:18" ht="72.5" x14ac:dyDescent="0.35">
      <c r="A30" s="161">
        <v>1090</v>
      </c>
      <c r="B30" s="161">
        <v>2039</v>
      </c>
      <c r="C30" s="161" t="s">
        <v>1037</v>
      </c>
      <c r="D30" s="28" t="s">
        <v>118</v>
      </c>
      <c r="E30" s="28" t="s">
        <v>119</v>
      </c>
      <c r="F30" s="162" t="s">
        <v>1002</v>
      </c>
      <c r="G30" s="162">
        <v>901</v>
      </c>
      <c r="H30" s="28" t="s">
        <v>1689</v>
      </c>
      <c r="I30" s="28" t="s">
        <v>1756</v>
      </c>
      <c r="J30" s="28" t="s">
        <v>1757</v>
      </c>
      <c r="K30" s="182"/>
      <c r="M30" s="4" t="s">
        <v>3865</v>
      </c>
      <c r="N30" s="4" t="s">
        <v>3882</v>
      </c>
      <c r="Q30" t="s">
        <v>3898</v>
      </c>
      <c r="R30" t="s">
        <v>3907</v>
      </c>
    </row>
    <row r="31" spans="1:18" x14ac:dyDescent="0.35">
      <c r="A31" s="24">
        <v>1354</v>
      </c>
      <c r="B31" s="24">
        <v>2044</v>
      </c>
      <c r="C31" s="24">
        <v>10</v>
      </c>
      <c r="D31" s="48" t="s">
        <v>132</v>
      </c>
      <c r="E31" s="48" t="s">
        <v>133</v>
      </c>
      <c r="F31" s="134" t="s">
        <v>1002</v>
      </c>
      <c r="G31" s="134">
        <v>1001</v>
      </c>
      <c r="H31" s="48" t="s">
        <v>1692</v>
      </c>
      <c r="I31" s="48" t="s">
        <v>1758</v>
      </c>
      <c r="J31" s="48" t="s">
        <v>1759</v>
      </c>
      <c r="K31" s="166">
        <v>884436</v>
      </c>
      <c r="M31" s="4" t="s">
        <v>3865</v>
      </c>
      <c r="N31" s="4" t="s">
        <v>3865</v>
      </c>
      <c r="Q31" t="s">
        <v>3898</v>
      </c>
      <c r="R31" t="s">
        <v>3908</v>
      </c>
    </row>
    <row r="32" spans="1:18" x14ac:dyDescent="0.35">
      <c r="A32" s="24">
        <v>1121</v>
      </c>
      <c r="B32" s="24">
        <v>2044</v>
      </c>
      <c r="C32" s="24">
        <v>10</v>
      </c>
      <c r="D32" s="48" t="s">
        <v>132</v>
      </c>
      <c r="E32" s="48" t="s">
        <v>133</v>
      </c>
      <c r="F32" s="134" t="s">
        <v>1002</v>
      </c>
      <c r="G32" s="134">
        <v>1005</v>
      </c>
      <c r="H32" s="48" t="s">
        <v>1721</v>
      </c>
      <c r="I32" s="48" t="s">
        <v>1760</v>
      </c>
      <c r="J32" s="48" t="s">
        <v>1761</v>
      </c>
      <c r="K32" s="24"/>
      <c r="M32" s="4" t="s">
        <v>3865</v>
      </c>
      <c r="N32" s="4" t="s">
        <v>3865</v>
      </c>
      <c r="Q32" t="s">
        <v>3898</v>
      </c>
      <c r="R32" t="s">
        <v>3909</v>
      </c>
    </row>
    <row r="33" spans="1:18" ht="29" x14ac:dyDescent="0.35">
      <c r="A33" s="24">
        <v>1175</v>
      </c>
      <c r="B33" s="24">
        <v>2044</v>
      </c>
      <c r="C33" s="24">
        <v>10</v>
      </c>
      <c r="D33" s="48" t="s">
        <v>132</v>
      </c>
      <c r="E33" s="48" t="s">
        <v>133</v>
      </c>
      <c r="F33" s="134" t="s">
        <v>1002</v>
      </c>
      <c r="G33" s="134">
        <v>1010</v>
      </c>
      <c r="H33" s="48" t="s">
        <v>1695</v>
      </c>
      <c r="I33" s="48" t="s">
        <v>1762</v>
      </c>
      <c r="J33" s="48" t="s">
        <v>1763</v>
      </c>
      <c r="K33" s="24"/>
      <c r="M33" s="4" t="s">
        <v>3865</v>
      </c>
      <c r="N33" s="4" t="s">
        <v>3865</v>
      </c>
      <c r="Q33" t="s">
        <v>3898</v>
      </c>
      <c r="R33" t="s">
        <v>3910</v>
      </c>
    </row>
    <row r="34" spans="1:18" x14ac:dyDescent="0.35">
      <c r="A34" s="161">
        <v>1641</v>
      </c>
      <c r="B34" s="161">
        <v>2045</v>
      </c>
      <c r="C34" s="161">
        <v>11</v>
      </c>
      <c r="D34" s="27" t="s">
        <v>136</v>
      </c>
      <c r="E34" s="27" t="s">
        <v>137</v>
      </c>
      <c r="F34" s="162" t="s">
        <v>1002</v>
      </c>
      <c r="G34" s="162">
        <v>1101</v>
      </c>
      <c r="H34" s="28" t="s">
        <v>1692</v>
      </c>
      <c r="I34" s="28" t="s">
        <v>1764</v>
      </c>
      <c r="J34" s="28" t="s">
        <v>1765</v>
      </c>
      <c r="K34" s="24">
        <v>884437</v>
      </c>
      <c r="M34" s="4" t="s">
        <v>3865</v>
      </c>
      <c r="N34" s="4" t="s">
        <v>3865</v>
      </c>
      <c r="Q34" t="s">
        <v>1239</v>
      </c>
      <c r="R34" t="s">
        <v>3902</v>
      </c>
    </row>
    <row r="35" spans="1:18" ht="29" x14ac:dyDescent="0.35">
      <c r="A35" s="24">
        <v>1176</v>
      </c>
      <c r="B35" s="24">
        <v>2046</v>
      </c>
      <c r="C35" s="24">
        <v>12</v>
      </c>
      <c r="D35" s="48" t="s">
        <v>140</v>
      </c>
      <c r="E35" s="48" t="s">
        <v>141</v>
      </c>
      <c r="F35" s="134" t="s">
        <v>1002</v>
      </c>
      <c r="G35" s="134">
        <v>1201</v>
      </c>
      <c r="H35" s="48" t="s">
        <v>1695</v>
      </c>
      <c r="I35" s="48" t="s">
        <v>1766</v>
      </c>
      <c r="J35" s="48" t="s">
        <v>1767</v>
      </c>
      <c r="K35" s="24"/>
      <c r="M35" s="4" t="s">
        <v>3865</v>
      </c>
      <c r="N35" s="4" t="s">
        <v>3865</v>
      </c>
      <c r="Q35" t="s">
        <v>1239</v>
      </c>
      <c r="R35" t="s">
        <v>3902</v>
      </c>
    </row>
    <row r="36" spans="1:18" x14ac:dyDescent="0.35">
      <c r="A36" s="24">
        <v>1122</v>
      </c>
      <c r="B36" s="24">
        <v>2046</v>
      </c>
      <c r="C36" s="24">
        <v>12</v>
      </c>
      <c r="D36" s="48" t="s">
        <v>140</v>
      </c>
      <c r="E36" s="48" t="s">
        <v>141</v>
      </c>
      <c r="F36" s="134" t="s">
        <v>1002</v>
      </c>
      <c r="G36" s="134">
        <v>1205</v>
      </c>
      <c r="H36" s="48" t="s">
        <v>1721</v>
      </c>
      <c r="I36" s="48" t="s">
        <v>1768</v>
      </c>
      <c r="J36" s="48" t="s">
        <v>1769</v>
      </c>
      <c r="K36" s="24">
        <v>884438</v>
      </c>
      <c r="M36" s="4" t="s">
        <v>3865</v>
      </c>
      <c r="N36" s="4" t="s">
        <v>3865</v>
      </c>
      <c r="Q36" t="s">
        <v>3900</v>
      </c>
      <c r="R36" t="s">
        <v>3901</v>
      </c>
    </row>
    <row r="37" spans="1:18" ht="29" x14ac:dyDescent="0.35">
      <c r="A37" s="24">
        <v>1093</v>
      </c>
      <c r="B37" s="24">
        <v>2047</v>
      </c>
      <c r="C37" s="24">
        <v>13</v>
      </c>
      <c r="D37" s="48" t="s">
        <v>143</v>
      </c>
      <c r="E37" s="48" t="s">
        <v>144</v>
      </c>
      <c r="F37" s="134" t="s">
        <v>1002</v>
      </c>
      <c r="G37" s="134">
        <v>1301</v>
      </c>
      <c r="H37" s="48" t="s">
        <v>1712</v>
      </c>
      <c r="I37" s="48" t="s">
        <v>1770</v>
      </c>
      <c r="J37" s="48" t="s">
        <v>1771</v>
      </c>
      <c r="K37" s="24"/>
      <c r="M37" s="4" t="s">
        <v>3865</v>
      </c>
      <c r="N37" s="4" t="s">
        <v>3865</v>
      </c>
      <c r="Q37" t="s">
        <v>3900</v>
      </c>
      <c r="R37" t="s">
        <v>3901</v>
      </c>
    </row>
    <row r="38" spans="1:18" ht="29" x14ac:dyDescent="0.35">
      <c r="A38" s="24">
        <v>1094</v>
      </c>
      <c r="B38" s="24">
        <v>2048</v>
      </c>
      <c r="C38" s="24">
        <v>14</v>
      </c>
      <c r="D38" s="48" t="s">
        <v>148</v>
      </c>
      <c r="E38" s="48" t="s">
        <v>149</v>
      </c>
      <c r="F38" s="134" t="s">
        <v>1002</v>
      </c>
      <c r="G38" s="134">
        <v>1401</v>
      </c>
      <c r="H38" s="48" t="s">
        <v>1712</v>
      </c>
      <c r="I38" s="48" t="s">
        <v>1772</v>
      </c>
      <c r="J38" s="48" t="s">
        <v>1773</v>
      </c>
      <c r="K38" s="24"/>
      <c r="M38" s="4" t="s">
        <v>3865</v>
      </c>
      <c r="N38" s="4" t="s">
        <v>3865</v>
      </c>
      <c r="Q38" t="s">
        <v>3900</v>
      </c>
      <c r="R38" t="s">
        <v>3901</v>
      </c>
    </row>
    <row r="39" spans="1:18" ht="29" x14ac:dyDescent="0.35">
      <c r="A39" s="24">
        <v>1095</v>
      </c>
      <c r="B39" s="24">
        <v>2049</v>
      </c>
      <c r="C39" s="24">
        <v>15</v>
      </c>
      <c r="D39" s="48" t="s">
        <v>152</v>
      </c>
      <c r="E39" s="48" t="s">
        <v>153</v>
      </c>
      <c r="F39" s="134" t="s">
        <v>1002</v>
      </c>
      <c r="G39" s="134">
        <v>1501</v>
      </c>
      <c r="H39" s="48" t="s">
        <v>1712</v>
      </c>
      <c r="I39" s="48" t="s">
        <v>1774</v>
      </c>
      <c r="J39" s="48" t="s">
        <v>1775</v>
      </c>
      <c r="K39" s="24"/>
      <c r="M39" s="4" t="s">
        <v>3865</v>
      </c>
      <c r="N39" s="4" t="s">
        <v>3865</v>
      </c>
      <c r="Q39" t="s">
        <v>3898</v>
      </c>
      <c r="R39" t="s">
        <v>3911</v>
      </c>
    </row>
    <row r="40" spans="1:18" ht="29" x14ac:dyDescent="0.35">
      <c r="A40" s="24">
        <v>1096</v>
      </c>
      <c r="B40" s="24">
        <v>2050</v>
      </c>
      <c r="C40" s="24">
        <v>16</v>
      </c>
      <c r="D40" s="48" t="s">
        <v>156</v>
      </c>
      <c r="E40" s="48" t="s">
        <v>157</v>
      </c>
      <c r="F40" s="134" t="s">
        <v>1002</v>
      </c>
      <c r="G40" s="134">
        <v>1601</v>
      </c>
      <c r="H40" s="48" t="s">
        <v>1712</v>
      </c>
      <c r="I40" s="48" t="s">
        <v>1776</v>
      </c>
      <c r="J40" s="48" t="s">
        <v>1777</v>
      </c>
      <c r="K40" s="24"/>
      <c r="M40" s="4" t="s">
        <v>3865</v>
      </c>
      <c r="N40" s="4" t="s">
        <v>3865</v>
      </c>
      <c r="Q40" t="s">
        <v>3900</v>
      </c>
      <c r="R40" t="s">
        <v>3901</v>
      </c>
    </row>
    <row r="41" spans="1:18" ht="29" x14ac:dyDescent="0.35">
      <c r="A41" s="135">
        <v>1426</v>
      </c>
      <c r="B41" s="135">
        <v>2051</v>
      </c>
      <c r="C41" s="135">
        <v>17</v>
      </c>
      <c r="D41" s="136" t="s">
        <v>159</v>
      </c>
      <c r="E41" s="136" t="s">
        <v>160</v>
      </c>
      <c r="F41" s="137" t="s">
        <v>1002</v>
      </c>
      <c r="G41" s="137">
        <v>1701</v>
      </c>
      <c r="H41" s="136" t="s">
        <v>1712</v>
      </c>
      <c r="I41" s="136" t="s">
        <v>1778</v>
      </c>
      <c r="J41" s="136" t="s">
        <v>1779</v>
      </c>
      <c r="K41" s="135"/>
      <c r="M41" s="4" t="s">
        <v>3865</v>
      </c>
      <c r="N41" s="4" t="s">
        <v>3865</v>
      </c>
      <c r="Q41" t="s">
        <v>3900</v>
      </c>
      <c r="R41" t="s">
        <v>3901</v>
      </c>
    </row>
    <row r="42" spans="1:18" x14ac:dyDescent="0.35">
      <c r="A42" s="24">
        <v>1644</v>
      </c>
      <c r="B42" s="24">
        <v>2051</v>
      </c>
      <c r="C42" s="24">
        <v>17</v>
      </c>
      <c r="D42" s="48" t="s">
        <v>159</v>
      </c>
      <c r="E42" s="48" t="s">
        <v>160</v>
      </c>
      <c r="F42" s="134" t="s">
        <v>1002</v>
      </c>
      <c r="G42" s="134">
        <v>1702</v>
      </c>
      <c r="H42" s="48" t="s">
        <v>1692</v>
      </c>
      <c r="I42" s="48" t="s">
        <v>1780</v>
      </c>
      <c r="J42" s="48" t="s">
        <v>1781</v>
      </c>
      <c r="K42" s="24">
        <v>884439</v>
      </c>
      <c r="L42" s="148" t="s">
        <v>1782</v>
      </c>
      <c r="M42" s="4" t="s">
        <v>3865</v>
      </c>
      <c r="N42" s="4" t="s">
        <v>3865</v>
      </c>
      <c r="Q42" t="s">
        <v>3900</v>
      </c>
      <c r="R42" t="s">
        <v>3901</v>
      </c>
    </row>
    <row r="43" spans="1:18" ht="29" x14ac:dyDescent="0.35">
      <c r="A43" s="142">
        <v>1097</v>
      </c>
      <c r="B43" s="142">
        <v>2052</v>
      </c>
      <c r="C43" s="142">
        <v>18</v>
      </c>
      <c r="D43" s="143" t="s">
        <v>162</v>
      </c>
      <c r="E43" s="143" t="s">
        <v>163</v>
      </c>
      <c r="F43" s="144" t="s">
        <v>1002</v>
      </c>
      <c r="G43" s="144">
        <v>1801</v>
      </c>
      <c r="H43" s="143" t="s">
        <v>1712</v>
      </c>
      <c r="I43" s="143" t="s">
        <v>1783</v>
      </c>
      <c r="J43" s="143" t="s">
        <v>1784</v>
      </c>
      <c r="K43" s="142"/>
      <c r="M43" s="4" t="s">
        <v>3865</v>
      </c>
      <c r="N43" s="4" t="s">
        <v>3865</v>
      </c>
      <c r="Q43" t="s">
        <v>3900</v>
      </c>
      <c r="R43" t="s">
        <v>3901</v>
      </c>
    </row>
    <row r="44" spans="1:18" ht="29" x14ac:dyDescent="0.35">
      <c r="A44" s="24">
        <v>1098</v>
      </c>
      <c r="B44" s="24">
        <v>2053</v>
      </c>
      <c r="C44" s="24">
        <v>19</v>
      </c>
      <c r="D44" s="48" t="s">
        <v>165</v>
      </c>
      <c r="E44" s="48" t="s">
        <v>166</v>
      </c>
      <c r="F44" s="134" t="s">
        <v>1002</v>
      </c>
      <c r="G44" s="134">
        <v>1901</v>
      </c>
      <c r="H44" s="48" t="s">
        <v>1712</v>
      </c>
      <c r="I44" s="48" t="s">
        <v>1785</v>
      </c>
      <c r="J44" s="48" t="s">
        <v>1786</v>
      </c>
      <c r="K44" s="24"/>
      <c r="M44" s="4" t="s">
        <v>3865</v>
      </c>
      <c r="N44" s="4" t="s">
        <v>3865</v>
      </c>
      <c r="Q44" t="s">
        <v>3900</v>
      </c>
      <c r="R44" t="s">
        <v>3901</v>
      </c>
    </row>
    <row r="45" spans="1:18" ht="29" x14ac:dyDescent="0.35">
      <c r="A45" s="24">
        <v>1099</v>
      </c>
      <c r="B45" s="24">
        <v>2054</v>
      </c>
      <c r="C45" s="24">
        <v>20</v>
      </c>
      <c r="D45" s="48" t="s">
        <v>168</v>
      </c>
      <c r="E45" s="48" t="s">
        <v>169</v>
      </c>
      <c r="F45" s="134" t="s">
        <v>1002</v>
      </c>
      <c r="G45" s="134">
        <v>2001</v>
      </c>
      <c r="H45" s="48" t="s">
        <v>1712</v>
      </c>
      <c r="I45" s="48" t="s">
        <v>1787</v>
      </c>
      <c r="J45" s="48" t="s">
        <v>1788</v>
      </c>
      <c r="K45" s="24"/>
      <c r="M45" s="4" t="s">
        <v>3865</v>
      </c>
      <c r="N45" s="4" t="s">
        <v>3865</v>
      </c>
      <c r="Q45" t="s">
        <v>3900</v>
      </c>
      <c r="R45" t="s">
        <v>3901</v>
      </c>
    </row>
    <row r="46" spans="1:18" ht="29" x14ac:dyDescent="0.35">
      <c r="A46" s="24">
        <v>1100</v>
      </c>
      <c r="B46" s="24">
        <v>2055</v>
      </c>
      <c r="C46" s="24">
        <v>21</v>
      </c>
      <c r="D46" s="48" t="s">
        <v>171</v>
      </c>
      <c r="E46" s="48" t="s">
        <v>172</v>
      </c>
      <c r="F46" s="134" t="s">
        <v>1002</v>
      </c>
      <c r="G46" s="134">
        <v>2101</v>
      </c>
      <c r="H46" s="48" t="s">
        <v>1712</v>
      </c>
      <c r="I46" s="48" t="s">
        <v>1789</v>
      </c>
      <c r="J46" s="48" t="s">
        <v>1790</v>
      </c>
      <c r="K46" s="24"/>
      <c r="M46" s="4" t="s">
        <v>3865</v>
      </c>
      <c r="N46" s="4" t="s">
        <v>3865</v>
      </c>
      <c r="Q46" t="s">
        <v>3900</v>
      </c>
      <c r="R46" t="s">
        <v>3901</v>
      </c>
    </row>
    <row r="47" spans="1:18" ht="29" x14ac:dyDescent="0.35">
      <c r="A47" s="24">
        <v>1101</v>
      </c>
      <c r="B47" s="24">
        <v>2056</v>
      </c>
      <c r="C47" s="24">
        <v>22</v>
      </c>
      <c r="D47" s="48" t="s">
        <v>174</v>
      </c>
      <c r="E47" s="48" t="s">
        <v>175</v>
      </c>
      <c r="F47" s="134" t="s">
        <v>1002</v>
      </c>
      <c r="G47" s="134">
        <v>2201</v>
      </c>
      <c r="H47" s="48" t="s">
        <v>1712</v>
      </c>
      <c r="I47" s="48" t="s">
        <v>1791</v>
      </c>
      <c r="J47" s="48" t="s">
        <v>1792</v>
      </c>
      <c r="K47" s="24"/>
      <c r="M47" s="4" t="s">
        <v>3865</v>
      </c>
      <c r="N47" s="4" t="s">
        <v>3865</v>
      </c>
      <c r="Q47" t="s">
        <v>3900</v>
      </c>
      <c r="R47" t="s">
        <v>3901</v>
      </c>
    </row>
    <row r="48" spans="1:18" ht="29" x14ac:dyDescent="0.35">
      <c r="A48" s="24">
        <v>1102</v>
      </c>
      <c r="B48" s="24">
        <v>2057</v>
      </c>
      <c r="C48" s="24">
        <v>23</v>
      </c>
      <c r="D48" s="48" t="s">
        <v>177</v>
      </c>
      <c r="E48" s="48" t="s">
        <v>178</v>
      </c>
      <c r="F48" s="134" t="s">
        <v>1002</v>
      </c>
      <c r="G48" s="134">
        <v>2301</v>
      </c>
      <c r="H48" s="48" t="s">
        <v>1712</v>
      </c>
      <c r="I48" s="48" t="s">
        <v>1793</v>
      </c>
      <c r="J48" s="48" t="s">
        <v>1794</v>
      </c>
      <c r="K48" s="24"/>
      <c r="M48" s="4" t="s">
        <v>3865</v>
      </c>
      <c r="N48" s="4" t="s">
        <v>3865</v>
      </c>
      <c r="Q48" t="s">
        <v>3900</v>
      </c>
      <c r="R48" t="s">
        <v>3901</v>
      </c>
    </row>
    <row r="49" spans="1:18" ht="29" x14ac:dyDescent="0.35">
      <c r="A49" s="24">
        <v>1103</v>
      </c>
      <c r="B49" s="24">
        <v>2058</v>
      </c>
      <c r="C49" s="24">
        <v>24</v>
      </c>
      <c r="D49" s="48" t="s">
        <v>180</v>
      </c>
      <c r="E49" s="48" t="s">
        <v>181</v>
      </c>
      <c r="F49" s="134" t="s">
        <v>1002</v>
      </c>
      <c r="G49" s="134">
        <v>2401</v>
      </c>
      <c r="H49" s="48" t="s">
        <v>1712</v>
      </c>
      <c r="I49" s="48" t="s">
        <v>1795</v>
      </c>
      <c r="J49" s="48" t="s">
        <v>1796</v>
      </c>
      <c r="K49" s="24"/>
      <c r="M49" s="4" t="s">
        <v>3865</v>
      </c>
      <c r="N49" s="4" t="s">
        <v>3865</v>
      </c>
      <c r="Q49" t="s">
        <v>3900</v>
      </c>
      <c r="R49" t="s">
        <v>3901</v>
      </c>
    </row>
    <row r="50" spans="1:18" ht="29" x14ac:dyDescent="0.35">
      <c r="A50" s="24">
        <v>1104</v>
      </c>
      <c r="B50" s="24">
        <v>2059</v>
      </c>
      <c r="C50" s="24">
        <v>25</v>
      </c>
      <c r="D50" s="48" t="s">
        <v>183</v>
      </c>
      <c r="E50" s="48" t="s">
        <v>184</v>
      </c>
      <c r="F50" s="134" t="s">
        <v>1002</v>
      </c>
      <c r="G50" s="134">
        <v>2501</v>
      </c>
      <c r="H50" s="48" t="s">
        <v>1712</v>
      </c>
      <c r="I50" s="48" t="s">
        <v>1797</v>
      </c>
      <c r="J50" s="48" t="s">
        <v>1798</v>
      </c>
      <c r="K50" s="24"/>
      <c r="M50" s="4" t="s">
        <v>3865</v>
      </c>
      <c r="N50" s="4" t="s">
        <v>3865</v>
      </c>
      <c r="Q50" t="s">
        <v>3900</v>
      </c>
      <c r="R50" t="s">
        <v>3901</v>
      </c>
    </row>
    <row r="51" spans="1:18" ht="29" x14ac:dyDescent="0.35">
      <c r="A51" s="24">
        <v>1105</v>
      </c>
      <c r="B51" s="24">
        <v>2060</v>
      </c>
      <c r="C51" s="24">
        <v>26</v>
      </c>
      <c r="D51" s="48" t="s">
        <v>186</v>
      </c>
      <c r="E51" s="48" t="s">
        <v>187</v>
      </c>
      <c r="F51" s="134" t="s">
        <v>1002</v>
      </c>
      <c r="G51" s="134">
        <v>2601</v>
      </c>
      <c r="H51" s="48" t="s">
        <v>1712</v>
      </c>
      <c r="I51" s="48" t="s">
        <v>1799</v>
      </c>
      <c r="J51" s="48" t="s">
        <v>1800</v>
      </c>
      <c r="K51" s="166"/>
      <c r="M51" s="4" t="s">
        <v>3865</v>
      </c>
      <c r="N51" s="4" t="s">
        <v>3865</v>
      </c>
      <c r="Q51" t="s">
        <v>3900</v>
      </c>
      <c r="R51" t="s">
        <v>3901</v>
      </c>
    </row>
    <row r="52" spans="1:18" ht="29" x14ac:dyDescent="0.35">
      <c r="A52" s="24">
        <v>1106</v>
      </c>
      <c r="B52" s="24">
        <v>2061</v>
      </c>
      <c r="C52" s="24">
        <v>27</v>
      </c>
      <c r="D52" s="48" t="s">
        <v>189</v>
      </c>
      <c r="E52" s="48" t="s">
        <v>190</v>
      </c>
      <c r="F52" s="134" t="s">
        <v>1002</v>
      </c>
      <c r="G52" s="134">
        <v>2701</v>
      </c>
      <c r="H52" s="48" t="s">
        <v>1712</v>
      </c>
      <c r="I52" s="48" t="s">
        <v>1801</v>
      </c>
      <c r="J52" s="48" t="s">
        <v>1802</v>
      </c>
      <c r="M52" s="4" t="s">
        <v>3865</v>
      </c>
      <c r="N52" s="4" t="s">
        <v>3865</v>
      </c>
      <c r="Q52"/>
      <c r="R52"/>
    </row>
    <row r="53" spans="1:18" ht="29" x14ac:dyDescent="0.35">
      <c r="A53" s="24">
        <v>1107</v>
      </c>
      <c r="B53" s="24">
        <v>2062</v>
      </c>
      <c r="C53" s="24">
        <v>28</v>
      </c>
      <c r="D53" s="48" t="s">
        <v>192</v>
      </c>
      <c r="E53" s="48" t="s">
        <v>193</v>
      </c>
      <c r="F53" s="134" t="s">
        <v>1002</v>
      </c>
      <c r="G53" s="134">
        <v>2801</v>
      </c>
      <c r="H53" s="48" t="s">
        <v>1712</v>
      </c>
      <c r="I53" s="48" t="s">
        <v>1803</v>
      </c>
      <c r="J53" s="48" t="s">
        <v>1804</v>
      </c>
      <c r="M53" s="4" t="s">
        <v>3865</v>
      </c>
      <c r="N53" s="4" t="s">
        <v>3865</v>
      </c>
      <c r="Q53"/>
      <c r="R53"/>
    </row>
    <row r="54" spans="1:18" ht="29" x14ac:dyDescent="0.35">
      <c r="A54" s="24">
        <v>1123</v>
      </c>
      <c r="B54" s="24">
        <v>2066</v>
      </c>
      <c r="C54" s="24" t="s">
        <v>1063</v>
      </c>
      <c r="D54" s="48" t="s">
        <v>203</v>
      </c>
      <c r="E54" s="48" t="s">
        <v>204</v>
      </c>
      <c r="F54" s="134" t="s">
        <v>1002</v>
      </c>
      <c r="G54" s="134">
        <v>3101</v>
      </c>
      <c r="H54" s="48" t="s">
        <v>1721</v>
      </c>
      <c r="I54" s="48" t="s">
        <v>1805</v>
      </c>
      <c r="J54" s="48" t="s">
        <v>1806</v>
      </c>
      <c r="M54" s="4" t="s">
        <v>3865</v>
      </c>
      <c r="N54" s="4" t="s">
        <v>3865</v>
      </c>
      <c r="Q54"/>
      <c r="R54"/>
    </row>
    <row r="55" spans="1:18" ht="58" x14ac:dyDescent="0.35">
      <c r="A55" s="24">
        <v>1177</v>
      </c>
      <c r="B55" s="24">
        <v>2066</v>
      </c>
      <c r="C55" s="24" t="s">
        <v>1063</v>
      </c>
      <c r="D55" s="48" t="s">
        <v>203</v>
      </c>
      <c r="E55" s="48" t="s">
        <v>204</v>
      </c>
      <c r="F55" s="134" t="s">
        <v>1002</v>
      </c>
      <c r="G55" s="134">
        <v>3102</v>
      </c>
      <c r="H55" s="48" t="s">
        <v>1695</v>
      </c>
      <c r="I55" s="48" t="s">
        <v>1807</v>
      </c>
      <c r="J55" s="48" t="s">
        <v>1808</v>
      </c>
      <c r="M55" s="4" t="s">
        <v>3865</v>
      </c>
      <c r="N55" s="4" t="s">
        <v>3883</v>
      </c>
      <c r="Q55"/>
      <c r="R55"/>
    </row>
    <row r="56" spans="1:18" ht="29" x14ac:dyDescent="0.35">
      <c r="A56" s="24">
        <v>1357</v>
      </c>
      <c r="B56" s="24">
        <v>2065</v>
      </c>
      <c r="C56" s="24" t="s">
        <v>1063</v>
      </c>
      <c r="D56" s="48" t="s">
        <v>201</v>
      </c>
      <c r="E56" s="48" t="s">
        <v>202</v>
      </c>
      <c r="F56" s="134" t="s">
        <v>1002</v>
      </c>
      <c r="G56" s="134">
        <v>3105</v>
      </c>
      <c r="H56" s="48" t="s">
        <v>1712</v>
      </c>
      <c r="I56" s="48" t="s">
        <v>1809</v>
      </c>
      <c r="J56" s="48" t="s">
        <v>1810</v>
      </c>
      <c r="M56" s="4" t="s">
        <v>3865</v>
      </c>
      <c r="N56" s="4" t="s">
        <v>3865</v>
      </c>
      <c r="Q56"/>
      <c r="R56"/>
    </row>
    <row r="57" spans="1:18" ht="29" x14ac:dyDescent="0.35">
      <c r="A57" s="24">
        <v>1686</v>
      </c>
      <c r="B57" s="24">
        <v>2065</v>
      </c>
      <c r="C57" s="24" t="s">
        <v>1063</v>
      </c>
      <c r="D57" s="48" t="s">
        <v>201</v>
      </c>
      <c r="E57" s="48" t="s">
        <v>202</v>
      </c>
      <c r="F57" s="134" t="s">
        <v>1002</v>
      </c>
      <c r="G57" s="134">
        <v>3106</v>
      </c>
      <c r="H57" s="48" t="s">
        <v>1695</v>
      </c>
      <c r="I57" s="4" t="s">
        <v>3884</v>
      </c>
      <c r="J57" s="48" t="s">
        <v>1811</v>
      </c>
      <c r="K57" s="166">
        <v>884440</v>
      </c>
      <c r="L57" s="148" t="s">
        <v>1755</v>
      </c>
      <c r="M57" s="4" t="s">
        <v>3865</v>
      </c>
      <c r="N57" s="4" t="s">
        <v>4011</v>
      </c>
      <c r="Q57"/>
      <c r="R57"/>
    </row>
    <row r="58" spans="1:18" ht="58" x14ac:dyDescent="0.35">
      <c r="A58" s="24">
        <v>1178</v>
      </c>
      <c r="B58" s="24">
        <v>2068</v>
      </c>
      <c r="C58" s="24" t="s">
        <v>1066</v>
      </c>
      <c r="D58" s="48" t="s">
        <v>209</v>
      </c>
      <c r="E58" s="48" t="s">
        <v>210</v>
      </c>
      <c r="F58" s="134" t="s">
        <v>1002</v>
      </c>
      <c r="G58" s="134">
        <v>3111</v>
      </c>
      <c r="H58" s="48" t="s">
        <v>1695</v>
      </c>
      <c r="I58" s="48" t="s">
        <v>1812</v>
      </c>
      <c r="J58" s="48" t="s">
        <v>1813</v>
      </c>
      <c r="M58" s="4" t="s">
        <v>3865</v>
      </c>
      <c r="N58" s="4" t="s">
        <v>3885</v>
      </c>
      <c r="Q58"/>
      <c r="R58"/>
    </row>
    <row r="59" spans="1:18" ht="29" x14ac:dyDescent="0.35">
      <c r="A59" s="24">
        <v>1124</v>
      </c>
      <c r="B59" s="24">
        <v>2068</v>
      </c>
      <c r="C59" s="24" t="s">
        <v>1066</v>
      </c>
      <c r="D59" s="48" t="s">
        <v>209</v>
      </c>
      <c r="E59" s="48" t="s">
        <v>210</v>
      </c>
      <c r="F59" s="134" t="s">
        <v>1002</v>
      </c>
      <c r="G59" s="134">
        <v>3112</v>
      </c>
      <c r="H59" s="48" t="s">
        <v>1721</v>
      </c>
      <c r="I59" s="48" t="s">
        <v>1814</v>
      </c>
      <c r="J59" s="48" t="s">
        <v>1815</v>
      </c>
      <c r="M59" s="4" t="s">
        <v>3865</v>
      </c>
      <c r="N59" s="4" t="s">
        <v>3865</v>
      </c>
      <c r="Q59"/>
      <c r="R59"/>
    </row>
    <row r="60" spans="1:18" ht="29" x14ac:dyDescent="0.35">
      <c r="A60" s="24">
        <v>1358</v>
      </c>
      <c r="B60" s="24">
        <v>2067</v>
      </c>
      <c r="C60" s="24" t="s">
        <v>1066</v>
      </c>
      <c r="D60" s="48" t="s">
        <v>207</v>
      </c>
      <c r="E60" s="48" t="s">
        <v>208</v>
      </c>
      <c r="F60" s="134" t="s">
        <v>1002</v>
      </c>
      <c r="G60" s="134">
        <v>3115</v>
      </c>
      <c r="H60" s="48" t="s">
        <v>1712</v>
      </c>
      <c r="I60" s="48" t="s">
        <v>1816</v>
      </c>
      <c r="J60" s="48" t="s">
        <v>1817</v>
      </c>
      <c r="M60" s="4" t="s">
        <v>3865</v>
      </c>
      <c r="N60" s="4" t="s">
        <v>3865</v>
      </c>
      <c r="Q60"/>
      <c r="R60"/>
    </row>
    <row r="61" spans="1:18" ht="29" x14ac:dyDescent="0.35">
      <c r="A61" s="24">
        <v>1687</v>
      </c>
      <c r="B61" s="24">
        <v>2067</v>
      </c>
      <c r="C61" s="24" t="s">
        <v>1066</v>
      </c>
      <c r="D61" s="48" t="s">
        <v>207</v>
      </c>
      <c r="E61" s="48" t="s">
        <v>208</v>
      </c>
      <c r="F61" s="134" t="s">
        <v>1002</v>
      </c>
      <c r="G61" s="134">
        <v>3116</v>
      </c>
      <c r="H61" s="48" t="s">
        <v>1695</v>
      </c>
      <c r="I61" s="4" t="s">
        <v>3886</v>
      </c>
      <c r="J61" s="48" t="s">
        <v>1818</v>
      </c>
      <c r="K61" s="165">
        <v>884440</v>
      </c>
      <c r="L61" s="148" t="s">
        <v>1755</v>
      </c>
      <c r="M61" s="4" t="s">
        <v>3865</v>
      </c>
      <c r="N61" s="4" t="s">
        <v>4012</v>
      </c>
      <c r="Q61"/>
      <c r="R61"/>
    </row>
    <row r="62" spans="1:18" ht="29" x14ac:dyDescent="0.35">
      <c r="A62" s="24">
        <v>1125</v>
      </c>
      <c r="B62" s="24">
        <v>2070</v>
      </c>
      <c r="C62" s="24" t="s">
        <v>1067</v>
      </c>
      <c r="D62" s="48" t="s">
        <v>214</v>
      </c>
      <c r="E62" s="48" t="s">
        <v>215</v>
      </c>
      <c r="F62" s="134" t="s">
        <v>1002</v>
      </c>
      <c r="G62" s="134">
        <v>3201</v>
      </c>
      <c r="H62" s="48" t="s">
        <v>1721</v>
      </c>
      <c r="I62" s="48" t="s">
        <v>1819</v>
      </c>
      <c r="J62" s="48" t="s">
        <v>1820</v>
      </c>
      <c r="M62" s="4" t="s">
        <v>3865</v>
      </c>
      <c r="N62" s="4" t="s">
        <v>3865</v>
      </c>
      <c r="Q62"/>
      <c r="R62"/>
    </row>
    <row r="63" spans="1:18" ht="58" x14ac:dyDescent="0.35">
      <c r="A63" s="24">
        <v>1179</v>
      </c>
      <c r="B63" s="24">
        <v>2070</v>
      </c>
      <c r="C63" s="24" t="s">
        <v>1067</v>
      </c>
      <c r="D63" s="48" t="s">
        <v>214</v>
      </c>
      <c r="E63" s="48" t="s">
        <v>215</v>
      </c>
      <c r="F63" s="134" t="s">
        <v>1002</v>
      </c>
      <c r="G63" s="134">
        <v>3202</v>
      </c>
      <c r="H63" s="48" t="s">
        <v>1695</v>
      </c>
      <c r="I63" s="48" t="s">
        <v>1821</v>
      </c>
      <c r="J63" s="48" t="s">
        <v>1822</v>
      </c>
      <c r="M63" s="4" t="s">
        <v>3865</v>
      </c>
      <c r="N63" s="4" t="s">
        <v>3887</v>
      </c>
      <c r="Q63"/>
      <c r="R63"/>
    </row>
    <row r="64" spans="1:18" ht="29" x14ac:dyDescent="0.35">
      <c r="A64" s="24">
        <v>1359</v>
      </c>
      <c r="B64" s="24">
        <v>2069</v>
      </c>
      <c r="C64" s="24" t="s">
        <v>1067</v>
      </c>
      <c r="D64" s="48" t="s">
        <v>212</v>
      </c>
      <c r="E64" s="48" t="s">
        <v>213</v>
      </c>
      <c r="F64" s="134" t="s">
        <v>1002</v>
      </c>
      <c r="G64" s="134">
        <v>3205</v>
      </c>
      <c r="H64" s="48" t="s">
        <v>1712</v>
      </c>
      <c r="I64" s="48" t="s">
        <v>1823</v>
      </c>
      <c r="J64" s="48" t="s">
        <v>1824</v>
      </c>
      <c r="M64" s="4" t="s">
        <v>3865</v>
      </c>
      <c r="N64" s="4" t="s">
        <v>3865</v>
      </c>
      <c r="Q64"/>
      <c r="R64"/>
    </row>
    <row r="65" spans="1:14" ht="29" x14ac:dyDescent="0.35">
      <c r="A65" s="24">
        <v>1688</v>
      </c>
      <c r="B65" s="24">
        <v>2069</v>
      </c>
      <c r="C65" s="24" t="s">
        <v>1067</v>
      </c>
      <c r="D65" s="48" t="s">
        <v>212</v>
      </c>
      <c r="E65" s="48" t="s">
        <v>213</v>
      </c>
      <c r="F65" s="134" t="s">
        <v>1002</v>
      </c>
      <c r="G65" s="134">
        <v>3206</v>
      </c>
      <c r="H65" s="48" t="s">
        <v>1695</v>
      </c>
      <c r="I65" s="4" t="s">
        <v>3888</v>
      </c>
      <c r="J65" s="48" t="s">
        <v>1825</v>
      </c>
      <c r="K65" s="166">
        <v>884440</v>
      </c>
      <c r="L65" s="148" t="s">
        <v>1755</v>
      </c>
      <c r="M65" s="4" t="s">
        <v>3865</v>
      </c>
      <c r="N65" s="4" t="s">
        <v>4011</v>
      </c>
    </row>
    <row r="66" spans="1:14" ht="29" x14ac:dyDescent="0.35">
      <c r="A66" s="24">
        <v>1126</v>
      </c>
      <c r="B66" s="24">
        <v>2072</v>
      </c>
      <c r="C66" s="24" t="s">
        <v>1068</v>
      </c>
      <c r="D66" s="48" t="s">
        <v>219</v>
      </c>
      <c r="E66" s="48" t="s">
        <v>220</v>
      </c>
      <c r="F66" s="134" t="s">
        <v>1002</v>
      </c>
      <c r="G66" s="134">
        <v>3212</v>
      </c>
      <c r="H66" s="48" t="s">
        <v>1721</v>
      </c>
      <c r="I66" s="48" t="s">
        <v>1826</v>
      </c>
      <c r="J66" s="48" t="s">
        <v>1827</v>
      </c>
      <c r="M66" s="4" t="s">
        <v>3865</v>
      </c>
      <c r="N66" s="4" t="s">
        <v>3865</v>
      </c>
    </row>
    <row r="67" spans="1:14" ht="29" x14ac:dyDescent="0.35">
      <c r="A67" s="24">
        <v>1360</v>
      </c>
      <c r="B67" s="24">
        <v>2071</v>
      </c>
      <c r="C67" s="24" t="s">
        <v>1068</v>
      </c>
      <c r="D67" s="48" t="s">
        <v>217</v>
      </c>
      <c r="E67" s="48" t="s">
        <v>218</v>
      </c>
      <c r="F67" s="134" t="s">
        <v>1002</v>
      </c>
      <c r="G67" s="134">
        <v>3215</v>
      </c>
      <c r="H67" s="48" t="s">
        <v>1712</v>
      </c>
      <c r="I67" s="48" t="s">
        <v>1828</v>
      </c>
      <c r="J67" s="48" t="s">
        <v>1829</v>
      </c>
      <c r="M67" s="4" t="s">
        <v>3865</v>
      </c>
      <c r="N67" s="4" t="s">
        <v>3865</v>
      </c>
    </row>
    <row r="68" spans="1:14" ht="29" x14ac:dyDescent="0.35">
      <c r="A68" s="24">
        <v>1689</v>
      </c>
      <c r="B68" s="24">
        <v>2071</v>
      </c>
      <c r="C68" s="24" t="s">
        <v>1068</v>
      </c>
      <c r="D68" s="48" t="s">
        <v>217</v>
      </c>
      <c r="E68" s="48" t="s">
        <v>218</v>
      </c>
      <c r="F68" s="134" t="s">
        <v>1002</v>
      </c>
      <c r="G68" s="134">
        <v>3216</v>
      </c>
      <c r="H68" s="48" t="s">
        <v>1695</v>
      </c>
      <c r="I68" s="4" t="s">
        <v>3889</v>
      </c>
      <c r="J68" s="48" t="s">
        <v>1830</v>
      </c>
      <c r="K68" s="166">
        <v>884440</v>
      </c>
      <c r="L68" s="148" t="s">
        <v>1755</v>
      </c>
      <c r="M68" s="4" t="s">
        <v>3865</v>
      </c>
      <c r="N68" s="4" t="s">
        <v>4011</v>
      </c>
    </row>
    <row r="69" spans="1:14" ht="29" x14ac:dyDescent="0.35">
      <c r="A69" s="24">
        <v>1127</v>
      </c>
      <c r="B69" s="24">
        <v>2074</v>
      </c>
      <c r="C69" s="24" t="s">
        <v>1069</v>
      </c>
      <c r="D69" s="48" t="s">
        <v>224</v>
      </c>
      <c r="E69" s="48" t="s">
        <v>225</v>
      </c>
      <c r="F69" s="134" t="s">
        <v>1002</v>
      </c>
      <c r="G69" s="134">
        <v>3301</v>
      </c>
      <c r="H69" s="48" t="s">
        <v>1721</v>
      </c>
      <c r="I69" s="48" t="s">
        <v>1831</v>
      </c>
      <c r="J69" s="48" t="s">
        <v>1832</v>
      </c>
      <c r="M69" s="4" t="s">
        <v>3865</v>
      </c>
      <c r="N69" s="4" t="s">
        <v>3865</v>
      </c>
    </row>
    <row r="70" spans="1:14" ht="58" x14ac:dyDescent="0.35">
      <c r="A70" s="24">
        <v>1181</v>
      </c>
      <c r="B70" s="24">
        <v>2074</v>
      </c>
      <c r="C70" s="24" t="s">
        <v>1069</v>
      </c>
      <c r="D70" s="48" t="s">
        <v>224</v>
      </c>
      <c r="E70" s="48" t="s">
        <v>225</v>
      </c>
      <c r="F70" s="134" t="s">
        <v>1002</v>
      </c>
      <c r="G70" s="134">
        <v>3302</v>
      </c>
      <c r="H70" s="48" t="s">
        <v>1695</v>
      </c>
      <c r="I70" s="48" t="s">
        <v>1833</v>
      </c>
      <c r="J70" s="48" t="s">
        <v>1834</v>
      </c>
      <c r="M70" s="4" t="s">
        <v>3865</v>
      </c>
      <c r="N70" s="4" t="s">
        <v>3890</v>
      </c>
    </row>
    <row r="71" spans="1:14" ht="29" x14ac:dyDescent="0.35">
      <c r="A71" s="24">
        <v>1361</v>
      </c>
      <c r="B71" s="24">
        <v>2073</v>
      </c>
      <c r="C71" s="24" t="s">
        <v>1069</v>
      </c>
      <c r="D71" s="48" t="s">
        <v>222</v>
      </c>
      <c r="E71" s="48" t="s">
        <v>223</v>
      </c>
      <c r="F71" s="134" t="s">
        <v>1002</v>
      </c>
      <c r="G71" s="134">
        <v>3305</v>
      </c>
      <c r="H71" s="48" t="s">
        <v>1712</v>
      </c>
      <c r="I71" s="48" t="s">
        <v>1835</v>
      </c>
      <c r="J71" s="48" t="s">
        <v>1836</v>
      </c>
      <c r="M71" s="4" t="s">
        <v>3865</v>
      </c>
      <c r="N71" s="4" t="s">
        <v>3865</v>
      </c>
    </row>
    <row r="72" spans="1:14" ht="29" x14ac:dyDescent="0.35">
      <c r="A72" s="24">
        <v>1690</v>
      </c>
      <c r="B72" s="24">
        <v>2073</v>
      </c>
      <c r="C72" s="24" t="s">
        <v>1069</v>
      </c>
      <c r="D72" s="48" t="s">
        <v>222</v>
      </c>
      <c r="E72" s="48" t="s">
        <v>223</v>
      </c>
      <c r="F72" s="134" t="s">
        <v>1002</v>
      </c>
      <c r="G72" s="134">
        <v>3306</v>
      </c>
      <c r="H72" s="48" t="s">
        <v>1695</v>
      </c>
      <c r="I72" s="4" t="s">
        <v>3891</v>
      </c>
      <c r="J72" s="48" t="s">
        <v>1837</v>
      </c>
      <c r="K72" s="166">
        <v>884440</v>
      </c>
      <c r="L72" s="148" t="s">
        <v>1755</v>
      </c>
      <c r="M72" s="4" t="s">
        <v>3865</v>
      </c>
      <c r="N72" s="4" t="s">
        <v>4011</v>
      </c>
    </row>
    <row r="73" spans="1:14" ht="58" x14ac:dyDescent="0.35">
      <c r="A73" s="24">
        <v>1182</v>
      </c>
      <c r="B73" s="24">
        <v>2076</v>
      </c>
      <c r="C73" s="24" t="s">
        <v>1070</v>
      </c>
      <c r="D73" s="48" t="s">
        <v>229</v>
      </c>
      <c r="E73" s="48" t="s">
        <v>230</v>
      </c>
      <c r="F73" s="134" t="s">
        <v>1002</v>
      </c>
      <c r="G73" s="134">
        <v>3311</v>
      </c>
      <c r="H73" s="48" t="s">
        <v>1695</v>
      </c>
      <c r="I73" s="48" t="s">
        <v>1838</v>
      </c>
      <c r="J73" s="48" t="s">
        <v>1839</v>
      </c>
      <c r="M73" s="4" t="s">
        <v>3865</v>
      </c>
      <c r="N73" s="4" t="s">
        <v>3892</v>
      </c>
    </row>
    <row r="74" spans="1:14" ht="29" x14ac:dyDescent="0.35">
      <c r="A74" s="24">
        <v>1128</v>
      </c>
      <c r="B74" s="24">
        <v>2076</v>
      </c>
      <c r="C74" s="24" t="s">
        <v>1070</v>
      </c>
      <c r="D74" s="48" t="s">
        <v>229</v>
      </c>
      <c r="E74" s="48" t="s">
        <v>230</v>
      </c>
      <c r="F74" s="134" t="s">
        <v>1002</v>
      </c>
      <c r="G74" s="134">
        <v>3312</v>
      </c>
      <c r="H74" s="48" t="s">
        <v>1721</v>
      </c>
      <c r="I74" s="48" t="s">
        <v>1840</v>
      </c>
      <c r="J74" s="48" t="s">
        <v>1841</v>
      </c>
      <c r="M74" s="4" t="s">
        <v>3865</v>
      </c>
      <c r="N74" s="4" t="s">
        <v>3865</v>
      </c>
    </row>
    <row r="75" spans="1:14" ht="29" x14ac:dyDescent="0.35">
      <c r="A75" s="24">
        <v>1362</v>
      </c>
      <c r="B75" s="24">
        <v>2075</v>
      </c>
      <c r="C75" s="24" t="s">
        <v>1070</v>
      </c>
      <c r="D75" s="48" t="s">
        <v>227</v>
      </c>
      <c r="E75" s="48" t="s">
        <v>228</v>
      </c>
      <c r="F75" s="134" t="s">
        <v>1002</v>
      </c>
      <c r="G75" s="134">
        <v>3315</v>
      </c>
      <c r="H75" s="48" t="s">
        <v>1712</v>
      </c>
      <c r="I75" s="48" t="s">
        <v>1842</v>
      </c>
      <c r="J75" s="48" t="s">
        <v>1843</v>
      </c>
      <c r="M75" s="4" t="s">
        <v>3865</v>
      </c>
      <c r="N75" s="4" t="s">
        <v>3865</v>
      </c>
    </row>
    <row r="76" spans="1:14" ht="29" x14ac:dyDescent="0.35">
      <c r="A76" s="24">
        <v>1691</v>
      </c>
      <c r="B76" s="24">
        <v>2075</v>
      </c>
      <c r="C76" s="24" t="s">
        <v>1070</v>
      </c>
      <c r="D76" s="48" t="s">
        <v>227</v>
      </c>
      <c r="E76" s="48" t="s">
        <v>228</v>
      </c>
      <c r="F76" s="134" t="s">
        <v>1002</v>
      </c>
      <c r="G76" s="134">
        <v>3316</v>
      </c>
      <c r="H76" s="48" t="s">
        <v>1695</v>
      </c>
      <c r="I76" s="4" t="s">
        <v>3893</v>
      </c>
      <c r="J76" s="48" t="s">
        <v>1844</v>
      </c>
      <c r="K76" s="166">
        <v>884440</v>
      </c>
      <c r="L76" s="148" t="s">
        <v>1755</v>
      </c>
      <c r="M76" s="4" t="s">
        <v>3865</v>
      </c>
      <c r="N76" s="4" t="s">
        <v>4011</v>
      </c>
    </row>
    <row r="77" spans="1:14" ht="29" x14ac:dyDescent="0.35">
      <c r="A77" s="24">
        <v>1129</v>
      </c>
      <c r="B77" s="24">
        <v>2078</v>
      </c>
      <c r="C77" s="24" t="s">
        <v>1071</v>
      </c>
      <c r="D77" s="48" t="s">
        <v>234</v>
      </c>
      <c r="E77" s="48" t="s">
        <v>235</v>
      </c>
      <c r="F77" s="134" t="s">
        <v>1002</v>
      </c>
      <c r="G77" s="134">
        <v>3401</v>
      </c>
      <c r="H77" s="48" t="s">
        <v>1721</v>
      </c>
      <c r="I77" s="48" t="s">
        <v>1845</v>
      </c>
      <c r="J77" s="48" t="s">
        <v>1846</v>
      </c>
      <c r="M77" s="4" t="s">
        <v>3865</v>
      </c>
      <c r="N77" s="4" t="s">
        <v>3865</v>
      </c>
    </row>
    <row r="78" spans="1:14" ht="58" x14ac:dyDescent="0.35">
      <c r="A78" s="24">
        <v>1183</v>
      </c>
      <c r="B78" s="24">
        <v>2078</v>
      </c>
      <c r="C78" s="24" t="s">
        <v>1071</v>
      </c>
      <c r="D78" s="48" t="s">
        <v>234</v>
      </c>
      <c r="E78" s="48" t="s">
        <v>235</v>
      </c>
      <c r="F78" s="134" t="s">
        <v>1002</v>
      </c>
      <c r="G78" s="134">
        <v>3402</v>
      </c>
      <c r="H78" s="48" t="s">
        <v>1695</v>
      </c>
      <c r="I78" s="48" t="s">
        <v>1847</v>
      </c>
      <c r="J78" s="48" t="s">
        <v>1848</v>
      </c>
      <c r="M78" s="4" t="s">
        <v>3865</v>
      </c>
      <c r="N78" s="4" t="s">
        <v>3890</v>
      </c>
    </row>
    <row r="79" spans="1:14" ht="29" x14ac:dyDescent="0.35">
      <c r="A79" s="24">
        <v>1363</v>
      </c>
      <c r="B79" s="24">
        <v>2077</v>
      </c>
      <c r="C79" s="24" t="s">
        <v>1071</v>
      </c>
      <c r="D79" s="48" t="s">
        <v>232</v>
      </c>
      <c r="E79" s="48" t="s">
        <v>233</v>
      </c>
      <c r="F79" s="134" t="s">
        <v>1002</v>
      </c>
      <c r="G79" s="134">
        <v>3405</v>
      </c>
      <c r="H79" s="48" t="s">
        <v>1712</v>
      </c>
      <c r="I79" s="48" t="s">
        <v>1849</v>
      </c>
      <c r="J79" s="48" t="s">
        <v>1850</v>
      </c>
      <c r="K79" s="166"/>
      <c r="M79" s="4" t="s">
        <v>3865</v>
      </c>
      <c r="N79" s="4" t="s">
        <v>3865</v>
      </c>
    </row>
    <row r="80" spans="1:14" ht="29" x14ac:dyDescent="0.35">
      <c r="A80" s="24">
        <v>1692</v>
      </c>
      <c r="B80" s="24">
        <v>2077</v>
      </c>
      <c r="C80" s="24" t="s">
        <v>1071</v>
      </c>
      <c r="D80" s="48" t="s">
        <v>232</v>
      </c>
      <c r="E80" s="48" t="s">
        <v>233</v>
      </c>
      <c r="F80" s="134" t="s">
        <v>1002</v>
      </c>
      <c r="G80" s="134">
        <v>3406</v>
      </c>
      <c r="H80" s="48" t="s">
        <v>1695</v>
      </c>
      <c r="I80" s="4" t="s">
        <v>3894</v>
      </c>
      <c r="J80" s="48" t="s">
        <v>1851</v>
      </c>
      <c r="K80" s="166">
        <v>884440</v>
      </c>
      <c r="L80" s="148" t="s">
        <v>1755</v>
      </c>
      <c r="M80" s="4" t="s">
        <v>3865</v>
      </c>
      <c r="N80" s="4" t="s">
        <v>4011</v>
      </c>
    </row>
    <row r="81" spans="1:14" ht="58" x14ac:dyDescent="0.35">
      <c r="A81" s="24">
        <v>1184</v>
      </c>
      <c r="B81" s="24">
        <v>2080</v>
      </c>
      <c r="C81" s="24" t="s">
        <v>1072</v>
      </c>
      <c r="D81" s="48" t="s">
        <v>239</v>
      </c>
      <c r="E81" s="48" t="s">
        <v>240</v>
      </c>
      <c r="F81" s="134" t="s">
        <v>1002</v>
      </c>
      <c r="G81" s="134">
        <v>3411</v>
      </c>
      <c r="H81" s="48" t="s">
        <v>1695</v>
      </c>
      <c r="I81" s="48" t="s">
        <v>1852</v>
      </c>
      <c r="J81" s="48" t="s">
        <v>1853</v>
      </c>
      <c r="K81" s="24"/>
      <c r="M81" s="4" t="s">
        <v>3865</v>
      </c>
      <c r="N81" s="4" t="s">
        <v>3895</v>
      </c>
    </row>
    <row r="82" spans="1:14" ht="29" x14ac:dyDescent="0.35">
      <c r="A82" s="24">
        <v>1130</v>
      </c>
      <c r="B82" s="24">
        <v>2080</v>
      </c>
      <c r="C82" s="24" t="s">
        <v>1072</v>
      </c>
      <c r="D82" s="48" t="s">
        <v>239</v>
      </c>
      <c r="E82" s="48" t="s">
        <v>240</v>
      </c>
      <c r="F82" s="134" t="s">
        <v>1002</v>
      </c>
      <c r="G82" s="134">
        <v>3412</v>
      </c>
      <c r="H82" s="48" t="s">
        <v>1721</v>
      </c>
      <c r="I82" s="48" t="s">
        <v>1854</v>
      </c>
      <c r="J82" s="48" t="s">
        <v>1855</v>
      </c>
      <c r="K82" s="24"/>
      <c r="M82" s="4" t="s">
        <v>3865</v>
      </c>
      <c r="N82" s="4" t="s">
        <v>3865</v>
      </c>
    </row>
    <row r="83" spans="1:14" ht="29" x14ac:dyDescent="0.35">
      <c r="A83" s="24">
        <v>1364</v>
      </c>
      <c r="B83" s="24">
        <v>2079</v>
      </c>
      <c r="C83" s="24" t="s">
        <v>1072</v>
      </c>
      <c r="D83" s="48" t="s">
        <v>237</v>
      </c>
      <c r="E83" s="48" t="s">
        <v>238</v>
      </c>
      <c r="F83" s="134" t="s">
        <v>1002</v>
      </c>
      <c r="G83" s="134">
        <v>3415</v>
      </c>
      <c r="H83" s="48" t="s">
        <v>1712</v>
      </c>
      <c r="I83" s="48" t="s">
        <v>1856</v>
      </c>
      <c r="J83" s="48" t="s">
        <v>1857</v>
      </c>
      <c r="K83" s="24"/>
      <c r="M83" s="4" t="s">
        <v>3865</v>
      </c>
      <c r="N83" s="4" t="s">
        <v>3865</v>
      </c>
    </row>
    <row r="84" spans="1:14" ht="29" x14ac:dyDescent="0.35">
      <c r="A84" s="24">
        <v>1693</v>
      </c>
      <c r="B84" s="24">
        <v>2079</v>
      </c>
      <c r="C84" s="24" t="s">
        <v>1072</v>
      </c>
      <c r="D84" s="48" t="s">
        <v>237</v>
      </c>
      <c r="E84" s="48" t="s">
        <v>238</v>
      </c>
      <c r="F84" s="134" t="s">
        <v>1002</v>
      </c>
      <c r="G84" s="134">
        <v>3416</v>
      </c>
      <c r="H84" s="48" t="s">
        <v>1695</v>
      </c>
      <c r="I84" s="4" t="s">
        <v>3896</v>
      </c>
      <c r="J84" s="48" t="s">
        <v>1858</v>
      </c>
      <c r="K84" s="166">
        <v>884440</v>
      </c>
      <c r="L84" s="148" t="s">
        <v>1755</v>
      </c>
      <c r="M84" s="4" t="s">
        <v>3865</v>
      </c>
      <c r="N84" s="4" t="s">
        <v>4011</v>
      </c>
    </row>
    <row r="85" spans="1:14" ht="29" x14ac:dyDescent="0.35">
      <c r="A85" s="24">
        <v>1131</v>
      </c>
      <c r="B85" s="24">
        <v>2082</v>
      </c>
      <c r="C85" s="24" t="s">
        <v>1073</v>
      </c>
      <c r="D85" s="48" t="s">
        <v>244</v>
      </c>
      <c r="E85" s="48" t="s">
        <v>245</v>
      </c>
      <c r="F85" s="134" t="s">
        <v>1002</v>
      </c>
      <c r="G85" s="134">
        <v>3501</v>
      </c>
      <c r="H85" s="48" t="s">
        <v>1721</v>
      </c>
      <c r="I85" s="48" t="s">
        <v>1859</v>
      </c>
      <c r="J85" s="48" t="s">
        <v>1860</v>
      </c>
      <c r="K85" s="24"/>
      <c r="M85" s="4" t="s">
        <v>3865</v>
      </c>
      <c r="N85" s="4" t="s">
        <v>3865</v>
      </c>
    </row>
    <row r="86" spans="1:14" ht="43.5" x14ac:dyDescent="0.35">
      <c r="A86" s="24">
        <v>1679</v>
      </c>
      <c r="B86" s="24">
        <v>2082</v>
      </c>
      <c r="C86" s="24" t="s">
        <v>1073</v>
      </c>
      <c r="D86" s="48" t="s">
        <v>244</v>
      </c>
      <c r="E86" s="48" t="s">
        <v>245</v>
      </c>
      <c r="F86" s="134" t="s">
        <v>1002</v>
      </c>
      <c r="G86" s="134">
        <v>3502</v>
      </c>
      <c r="H86" s="48" t="s">
        <v>1695</v>
      </c>
      <c r="I86" s="48" t="s">
        <v>1861</v>
      </c>
      <c r="J86" s="48" t="s">
        <v>1862</v>
      </c>
      <c r="K86" s="24">
        <v>884441</v>
      </c>
      <c r="L86" s="4" t="s">
        <v>1782</v>
      </c>
      <c r="M86" s="4" t="s">
        <v>3865</v>
      </c>
      <c r="N86" s="4" t="s">
        <v>3865</v>
      </c>
    </row>
    <row r="87" spans="1:14" ht="58" x14ac:dyDescent="0.35">
      <c r="A87" s="24">
        <v>1185</v>
      </c>
      <c r="B87" s="24">
        <v>2082</v>
      </c>
      <c r="C87" s="24" t="s">
        <v>1073</v>
      </c>
      <c r="D87" s="48" t="s">
        <v>244</v>
      </c>
      <c r="E87" s="48" t="s">
        <v>245</v>
      </c>
      <c r="F87" s="134" t="s">
        <v>1002</v>
      </c>
      <c r="G87" s="134">
        <v>3505</v>
      </c>
      <c r="H87" s="48" t="s">
        <v>1695</v>
      </c>
      <c r="I87" s="48" t="s">
        <v>1863</v>
      </c>
      <c r="J87" s="48" t="s">
        <v>1864</v>
      </c>
      <c r="K87" s="24"/>
      <c r="M87" s="4" t="s">
        <v>3865</v>
      </c>
      <c r="N87" s="4" t="s">
        <v>3865</v>
      </c>
    </row>
    <row r="88" spans="1:14" ht="29" x14ac:dyDescent="0.35">
      <c r="A88" s="24">
        <v>1132</v>
      </c>
      <c r="B88" s="24">
        <v>2083</v>
      </c>
      <c r="C88" s="24" t="s">
        <v>1073</v>
      </c>
      <c r="D88" s="48" t="s">
        <v>246</v>
      </c>
      <c r="E88" s="48" t="s">
        <v>247</v>
      </c>
      <c r="F88" s="134" t="s">
        <v>1002</v>
      </c>
      <c r="G88" s="134">
        <v>3511</v>
      </c>
      <c r="H88" s="48" t="s">
        <v>1721</v>
      </c>
      <c r="I88" s="48" t="s">
        <v>1865</v>
      </c>
      <c r="J88" s="48" t="s">
        <v>1866</v>
      </c>
      <c r="K88" s="24"/>
      <c r="M88" s="4" t="s">
        <v>3865</v>
      </c>
      <c r="N88" s="4" t="s">
        <v>3865</v>
      </c>
    </row>
    <row r="89" spans="1:14" ht="43.5" x14ac:dyDescent="0.35">
      <c r="A89" s="24">
        <v>1680</v>
      </c>
      <c r="B89" s="24">
        <v>2083</v>
      </c>
      <c r="C89" s="24" t="s">
        <v>1073</v>
      </c>
      <c r="D89" s="48" t="s">
        <v>253</v>
      </c>
      <c r="E89" s="48" t="s">
        <v>247</v>
      </c>
      <c r="F89" s="134" t="s">
        <v>1002</v>
      </c>
      <c r="G89" s="134">
        <v>3512</v>
      </c>
      <c r="H89" s="48" t="s">
        <v>1695</v>
      </c>
      <c r="I89" s="48" t="s">
        <v>1867</v>
      </c>
      <c r="J89" s="48" t="s">
        <v>1868</v>
      </c>
      <c r="K89" s="24">
        <v>884441</v>
      </c>
      <c r="L89" s="4" t="s">
        <v>1782</v>
      </c>
      <c r="M89" s="4" t="s">
        <v>3865</v>
      </c>
      <c r="N89" s="4" t="s">
        <v>3865</v>
      </c>
    </row>
    <row r="90" spans="1:14" ht="58" x14ac:dyDescent="0.35">
      <c r="A90" s="24">
        <v>1186</v>
      </c>
      <c r="B90" s="24">
        <v>2083</v>
      </c>
      <c r="C90" s="24" t="s">
        <v>1073</v>
      </c>
      <c r="D90" s="48" t="s">
        <v>246</v>
      </c>
      <c r="E90" s="48" t="s">
        <v>247</v>
      </c>
      <c r="F90" s="134" t="s">
        <v>1002</v>
      </c>
      <c r="G90" s="134">
        <v>3515</v>
      </c>
      <c r="H90" s="48" t="s">
        <v>1695</v>
      </c>
      <c r="I90" s="48" t="s">
        <v>1869</v>
      </c>
      <c r="J90" s="48" t="s">
        <v>1870</v>
      </c>
      <c r="K90" s="24"/>
      <c r="M90" s="4" t="s">
        <v>3865</v>
      </c>
      <c r="N90" s="4" t="s">
        <v>3865</v>
      </c>
    </row>
    <row r="91" spans="1:14" ht="29" x14ac:dyDescent="0.35">
      <c r="A91" s="24">
        <v>1365</v>
      </c>
      <c r="B91" s="24">
        <v>2081</v>
      </c>
      <c r="C91" s="24" t="s">
        <v>1073</v>
      </c>
      <c r="D91" s="48" t="s">
        <v>242</v>
      </c>
      <c r="E91" s="48" t="s">
        <v>243</v>
      </c>
      <c r="F91" s="134" t="s">
        <v>1002</v>
      </c>
      <c r="G91" s="134">
        <v>3521</v>
      </c>
      <c r="H91" s="48" t="s">
        <v>1712</v>
      </c>
      <c r="I91" s="48" t="s">
        <v>1871</v>
      </c>
      <c r="J91" s="48" t="s">
        <v>1872</v>
      </c>
      <c r="K91" s="24"/>
      <c r="M91" s="4" t="s">
        <v>3865</v>
      </c>
      <c r="N91" s="4" t="s">
        <v>3865</v>
      </c>
    </row>
    <row r="92" spans="1:14" ht="29" x14ac:dyDescent="0.35">
      <c r="A92" s="24">
        <v>1669</v>
      </c>
      <c r="B92" s="24">
        <v>2081</v>
      </c>
      <c r="C92" s="24" t="s">
        <v>1073</v>
      </c>
      <c r="D92" s="48" t="s">
        <v>242</v>
      </c>
      <c r="E92" s="48" t="s">
        <v>243</v>
      </c>
      <c r="F92" s="134" t="s">
        <v>1002</v>
      </c>
      <c r="G92" s="134">
        <v>3522</v>
      </c>
      <c r="H92" s="48" t="s">
        <v>1695</v>
      </c>
      <c r="I92" s="48" t="s">
        <v>1873</v>
      </c>
      <c r="J92" s="48" t="s">
        <v>1874</v>
      </c>
      <c r="K92" s="24">
        <v>884441</v>
      </c>
      <c r="L92" s="4" t="s">
        <v>1782</v>
      </c>
      <c r="M92" s="4" t="s">
        <v>3865</v>
      </c>
      <c r="N92" s="4" t="s">
        <v>3865</v>
      </c>
    </row>
    <row r="93" spans="1:14" ht="29" x14ac:dyDescent="0.35">
      <c r="A93" s="24">
        <v>1133</v>
      </c>
      <c r="B93" s="24">
        <v>2085</v>
      </c>
      <c r="C93" s="24" t="s">
        <v>1078</v>
      </c>
      <c r="D93" s="48" t="s">
        <v>251</v>
      </c>
      <c r="E93" s="48" t="s">
        <v>252</v>
      </c>
      <c r="F93" s="134" t="s">
        <v>1002</v>
      </c>
      <c r="G93" s="134">
        <v>3541</v>
      </c>
      <c r="H93" s="48" t="s">
        <v>1721</v>
      </c>
      <c r="I93" s="48" t="s">
        <v>1875</v>
      </c>
      <c r="J93" s="48" t="s">
        <v>1876</v>
      </c>
      <c r="K93" s="24"/>
      <c r="M93" s="4" t="s">
        <v>3865</v>
      </c>
      <c r="N93" s="4" t="s">
        <v>3865</v>
      </c>
    </row>
    <row r="94" spans="1:14" ht="43.5" x14ac:dyDescent="0.35">
      <c r="A94" s="24">
        <v>1670</v>
      </c>
      <c r="B94" s="24">
        <v>2085</v>
      </c>
      <c r="C94" s="24" t="s">
        <v>1078</v>
      </c>
      <c r="D94" s="48" t="s">
        <v>251</v>
      </c>
      <c r="E94" s="48" t="s">
        <v>252</v>
      </c>
      <c r="F94" s="134" t="s">
        <v>1002</v>
      </c>
      <c r="G94" s="134">
        <v>3542</v>
      </c>
      <c r="H94" s="48" t="s">
        <v>1695</v>
      </c>
      <c r="I94" s="48" t="s">
        <v>1877</v>
      </c>
      <c r="J94" s="48" t="s">
        <v>1878</v>
      </c>
      <c r="K94" s="24">
        <v>884441</v>
      </c>
      <c r="L94" s="4" t="s">
        <v>1782</v>
      </c>
      <c r="M94" s="4" t="s">
        <v>3865</v>
      </c>
      <c r="N94" s="4" t="s">
        <v>3865</v>
      </c>
    </row>
    <row r="95" spans="1:14" ht="58" x14ac:dyDescent="0.35">
      <c r="A95" s="24">
        <v>1187</v>
      </c>
      <c r="B95" s="24">
        <v>2085</v>
      </c>
      <c r="C95" s="24" t="s">
        <v>1078</v>
      </c>
      <c r="D95" s="48" t="s">
        <v>251</v>
      </c>
      <c r="E95" s="48" t="s">
        <v>252</v>
      </c>
      <c r="F95" s="134" t="s">
        <v>1002</v>
      </c>
      <c r="G95" s="134">
        <v>3545</v>
      </c>
      <c r="H95" s="48" t="s">
        <v>1695</v>
      </c>
      <c r="I95" s="48" t="s">
        <v>1879</v>
      </c>
      <c r="J95" s="48" t="s">
        <v>1880</v>
      </c>
      <c r="K95" s="24"/>
      <c r="M95" s="4" t="s">
        <v>3865</v>
      </c>
      <c r="N95" s="4" t="s">
        <v>3865</v>
      </c>
    </row>
    <row r="96" spans="1:14" ht="29" x14ac:dyDescent="0.35">
      <c r="A96" s="24">
        <v>1134</v>
      </c>
      <c r="B96" s="24">
        <v>2086</v>
      </c>
      <c r="C96" s="24" t="s">
        <v>1078</v>
      </c>
      <c r="D96" s="48" t="s">
        <v>253</v>
      </c>
      <c r="E96" s="48" t="s">
        <v>254</v>
      </c>
      <c r="F96" s="134" t="s">
        <v>1002</v>
      </c>
      <c r="G96" s="134">
        <v>3551</v>
      </c>
      <c r="H96" s="48" t="s">
        <v>1721</v>
      </c>
      <c r="I96" s="48" t="s">
        <v>1881</v>
      </c>
      <c r="J96" s="48" t="s">
        <v>1882</v>
      </c>
      <c r="K96" s="24"/>
      <c r="M96" s="4" t="s">
        <v>3865</v>
      </c>
      <c r="N96" s="4" t="s">
        <v>3865</v>
      </c>
    </row>
    <row r="97" spans="1:14" ht="43.5" x14ac:dyDescent="0.35">
      <c r="A97" s="24">
        <v>1671</v>
      </c>
      <c r="B97" s="24">
        <v>2086</v>
      </c>
      <c r="C97" s="24" t="s">
        <v>1078</v>
      </c>
      <c r="D97" s="48" t="s">
        <v>253</v>
      </c>
      <c r="E97" s="48" t="s">
        <v>254</v>
      </c>
      <c r="F97" s="134" t="s">
        <v>1002</v>
      </c>
      <c r="G97" s="134">
        <v>3552</v>
      </c>
      <c r="H97" s="48" t="s">
        <v>1695</v>
      </c>
      <c r="I97" s="48" t="s">
        <v>1883</v>
      </c>
      <c r="J97" s="48" t="s">
        <v>1884</v>
      </c>
      <c r="K97" s="24">
        <v>884441</v>
      </c>
      <c r="L97" s="4" t="s">
        <v>1782</v>
      </c>
      <c r="M97" s="4" t="s">
        <v>3865</v>
      </c>
      <c r="N97" s="4" t="s">
        <v>3865</v>
      </c>
    </row>
    <row r="98" spans="1:14" ht="58" x14ac:dyDescent="0.35">
      <c r="A98" s="24">
        <v>1188</v>
      </c>
      <c r="B98" s="24">
        <v>2086</v>
      </c>
      <c r="C98" s="24" t="s">
        <v>1078</v>
      </c>
      <c r="D98" s="48" t="s">
        <v>253</v>
      </c>
      <c r="E98" s="48" t="s">
        <v>254</v>
      </c>
      <c r="F98" s="134" t="s">
        <v>1002</v>
      </c>
      <c r="G98" s="134">
        <v>3555</v>
      </c>
      <c r="H98" s="48" t="s">
        <v>1695</v>
      </c>
      <c r="I98" s="48" t="s">
        <v>1885</v>
      </c>
      <c r="J98" s="48" t="s">
        <v>1886</v>
      </c>
      <c r="K98" s="24"/>
      <c r="M98" s="4" t="s">
        <v>3865</v>
      </c>
      <c r="N98" s="4" t="s">
        <v>3865</v>
      </c>
    </row>
    <row r="99" spans="1:14" ht="29" x14ac:dyDescent="0.35">
      <c r="A99" s="24">
        <v>1366</v>
      </c>
      <c r="B99" s="24">
        <v>2084</v>
      </c>
      <c r="C99" s="24" t="s">
        <v>1078</v>
      </c>
      <c r="D99" s="48" t="s">
        <v>249</v>
      </c>
      <c r="E99" s="48" t="s">
        <v>250</v>
      </c>
      <c r="F99" s="134" t="s">
        <v>1002</v>
      </c>
      <c r="G99" s="134">
        <v>3561</v>
      </c>
      <c r="H99" s="48" t="s">
        <v>1712</v>
      </c>
      <c r="I99" s="48" t="s">
        <v>1887</v>
      </c>
      <c r="J99" s="48" t="s">
        <v>1888</v>
      </c>
      <c r="K99" s="24"/>
      <c r="M99" s="4" t="s">
        <v>3865</v>
      </c>
      <c r="N99" s="4" t="s">
        <v>3865</v>
      </c>
    </row>
    <row r="100" spans="1:14" ht="29" x14ac:dyDescent="0.35">
      <c r="A100" s="24">
        <v>1672</v>
      </c>
      <c r="B100" s="24">
        <v>2084</v>
      </c>
      <c r="C100" s="24" t="s">
        <v>1078</v>
      </c>
      <c r="D100" s="48" t="s">
        <v>249</v>
      </c>
      <c r="E100" s="48" t="s">
        <v>250</v>
      </c>
      <c r="F100" s="134" t="s">
        <v>1002</v>
      </c>
      <c r="G100" s="134">
        <v>3562</v>
      </c>
      <c r="H100" s="48" t="s">
        <v>1695</v>
      </c>
      <c r="I100" s="48" t="s">
        <v>1889</v>
      </c>
      <c r="J100" s="48" t="s">
        <v>1890</v>
      </c>
      <c r="K100" s="24">
        <v>884441</v>
      </c>
      <c r="L100" s="4" t="s">
        <v>1782</v>
      </c>
      <c r="M100" s="4" t="s">
        <v>3865</v>
      </c>
      <c r="N100" s="4" t="s">
        <v>3865</v>
      </c>
    </row>
    <row r="101" spans="1:14" ht="29" x14ac:dyDescent="0.35">
      <c r="A101" s="24">
        <v>1135</v>
      </c>
      <c r="B101" s="24">
        <v>2088</v>
      </c>
      <c r="C101" s="24" t="s">
        <v>1083</v>
      </c>
      <c r="D101" s="48" t="s">
        <v>258</v>
      </c>
      <c r="E101" s="48" t="s">
        <v>259</v>
      </c>
      <c r="F101" s="134" t="s">
        <v>1002</v>
      </c>
      <c r="G101" s="134">
        <v>3601</v>
      </c>
      <c r="H101" s="48" t="s">
        <v>1721</v>
      </c>
      <c r="I101" s="48" t="s">
        <v>1891</v>
      </c>
      <c r="J101" s="48" t="s">
        <v>1892</v>
      </c>
      <c r="K101" s="24"/>
      <c r="M101" s="4" t="s">
        <v>3865</v>
      </c>
      <c r="N101" s="4" t="s">
        <v>3865</v>
      </c>
    </row>
    <row r="102" spans="1:14" ht="43.5" x14ac:dyDescent="0.35">
      <c r="A102" s="24">
        <v>1673</v>
      </c>
      <c r="B102" s="24">
        <v>2088</v>
      </c>
      <c r="C102" s="24" t="s">
        <v>1073</v>
      </c>
      <c r="D102" s="48" t="s">
        <v>258</v>
      </c>
      <c r="E102" s="48" t="s">
        <v>259</v>
      </c>
      <c r="F102" s="134" t="s">
        <v>1002</v>
      </c>
      <c r="G102" s="134">
        <v>3602</v>
      </c>
      <c r="H102" s="48" t="s">
        <v>1695</v>
      </c>
      <c r="I102" s="48" t="s">
        <v>1893</v>
      </c>
      <c r="J102" s="48" t="s">
        <v>1894</v>
      </c>
      <c r="K102" s="24">
        <v>884441</v>
      </c>
      <c r="L102" s="4" t="s">
        <v>1782</v>
      </c>
      <c r="M102" s="4" t="s">
        <v>3865</v>
      </c>
      <c r="N102" s="4" t="s">
        <v>3865</v>
      </c>
    </row>
    <row r="103" spans="1:14" ht="58" x14ac:dyDescent="0.35">
      <c r="A103" s="24">
        <v>1189</v>
      </c>
      <c r="B103" s="24">
        <v>2088</v>
      </c>
      <c r="C103" s="24" t="s">
        <v>1083</v>
      </c>
      <c r="D103" s="48" t="s">
        <v>258</v>
      </c>
      <c r="E103" s="48" t="s">
        <v>259</v>
      </c>
      <c r="F103" s="134" t="s">
        <v>1002</v>
      </c>
      <c r="G103" s="134">
        <v>3605</v>
      </c>
      <c r="H103" s="48" t="s">
        <v>1695</v>
      </c>
      <c r="I103" s="48" t="s">
        <v>1895</v>
      </c>
      <c r="J103" s="48" t="s">
        <v>1896</v>
      </c>
      <c r="K103" s="24"/>
      <c r="M103" s="4" t="s">
        <v>3865</v>
      </c>
      <c r="N103" s="4" t="s">
        <v>3865</v>
      </c>
    </row>
    <row r="104" spans="1:14" ht="29" x14ac:dyDescent="0.35">
      <c r="A104" s="24">
        <v>1136</v>
      </c>
      <c r="B104" s="24">
        <v>2089</v>
      </c>
      <c r="C104" s="24" t="s">
        <v>1083</v>
      </c>
      <c r="D104" s="48" t="s">
        <v>260</v>
      </c>
      <c r="E104" s="48" t="s">
        <v>261</v>
      </c>
      <c r="F104" s="134" t="s">
        <v>1002</v>
      </c>
      <c r="G104" s="134">
        <v>3611</v>
      </c>
      <c r="H104" s="48" t="s">
        <v>1721</v>
      </c>
      <c r="I104" s="48" t="s">
        <v>1897</v>
      </c>
      <c r="J104" s="48" t="s">
        <v>1898</v>
      </c>
      <c r="K104" s="24"/>
      <c r="M104" s="4" t="s">
        <v>3865</v>
      </c>
      <c r="N104" s="4" t="s">
        <v>3865</v>
      </c>
    </row>
    <row r="105" spans="1:14" ht="43.5" x14ac:dyDescent="0.35">
      <c r="A105" s="24">
        <v>1674</v>
      </c>
      <c r="B105" s="24">
        <v>2089</v>
      </c>
      <c r="C105" s="24" t="s">
        <v>1088</v>
      </c>
      <c r="D105" s="48" t="s">
        <v>260</v>
      </c>
      <c r="E105" s="48" t="s">
        <v>261</v>
      </c>
      <c r="F105" s="134" t="s">
        <v>1002</v>
      </c>
      <c r="G105" s="134">
        <v>3612</v>
      </c>
      <c r="H105" s="48" t="s">
        <v>1695</v>
      </c>
      <c r="I105" s="48" t="s">
        <v>1899</v>
      </c>
      <c r="J105" s="48" t="s">
        <v>1900</v>
      </c>
      <c r="K105" s="24">
        <v>884441</v>
      </c>
      <c r="L105" s="4" t="s">
        <v>1782</v>
      </c>
      <c r="M105" s="4" t="s">
        <v>3865</v>
      </c>
      <c r="N105" s="4" t="s">
        <v>3865</v>
      </c>
    </row>
    <row r="106" spans="1:14" ht="58" x14ac:dyDescent="0.35">
      <c r="A106" s="24">
        <v>1190</v>
      </c>
      <c r="B106" s="24">
        <v>2089</v>
      </c>
      <c r="C106" s="24" t="s">
        <v>1083</v>
      </c>
      <c r="D106" s="48" t="s">
        <v>260</v>
      </c>
      <c r="E106" s="48" t="s">
        <v>261</v>
      </c>
      <c r="F106" s="134" t="s">
        <v>1002</v>
      </c>
      <c r="G106" s="134">
        <v>3615</v>
      </c>
      <c r="H106" s="48" t="s">
        <v>1695</v>
      </c>
      <c r="I106" s="48" t="s">
        <v>1901</v>
      </c>
      <c r="J106" s="48" t="s">
        <v>1902</v>
      </c>
      <c r="K106" s="24"/>
      <c r="M106" s="4" t="s">
        <v>3865</v>
      </c>
      <c r="N106" s="4" t="s">
        <v>3865</v>
      </c>
    </row>
    <row r="107" spans="1:14" ht="29" x14ac:dyDescent="0.35">
      <c r="A107" s="24">
        <v>1367</v>
      </c>
      <c r="B107" s="24">
        <v>2087</v>
      </c>
      <c r="C107" s="24" t="s">
        <v>1083</v>
      </c>
      <c r="D107" s="48" t="s">
        <v>256</v>
      </c>
      <c r="E107" s="48" t="s">
        <v>257</v>
      </c>
      <c r="F107" s="134" t="s">
        <v>1002</v>
      </c>
      <c r="G107" s="134">
        <v>3621</v>
      </c>
      <c r="H107" s="48" t="s">
        <v>1712</v>
      </c>
      <c r="I107" s="48" t="s">
        <v>1903</v>
      </c>
      <c r="J107" s="48" t="s">
        <v>1904</v>
      </c>
      <c r="K107" s="24"/>
      <c r="M107" s="4" t="s">
        <v>3865</v>
      </c>
      <c r="N107" s="4" t="s">
        <v>3865</v>
      </c>
    </row>
    <row r="108" spans="1:14" ht="29" x14ac:dyDescent="0.35">
      <c r="A108" s="24">
        <v>1675</v>
      </c>
      <c r="B108" s="24">
        <v>2087</v>
      </c>
      <c r="C108" s="24" t="s">
        <v>1083</v>
      </c>
      <c r="D108" s="48" t="s">
        <v>256</v>
      </c>
      <c r="E108" s="48" t="s">
        <v>257</v>
      </c>
      <c r="F108" s="134" t="s">
        <v>1002</v>
      </c>
      <c r="G108" s="134">
        <v>3622</v>
      </c>
      <c r="H108" s="48" t="s">
        <v>1695</v>
      </c>
      <c r="I108" s="48" t="s">
        <v>1905</v>
      </c>
      <c r="J108" s="48" t="s">
        <v>1906</v>
      </c>
      <c r="K108" s="24">
        <v>884441</v>
      </c>
      <c r="L108" s="4" t="s">
        <v>1782</v>
      </c>
      <c r="M108" s="4" t="s">
        <v>3865</v>
      </c>
      <c r="N108" s="4" t="s">
        <v>3865</v>
      </c>
    </row>
    <row r="109" spans="1:14" ht="29" x14ac:dyDescent="0.35">
      <c r="A109" s="24">
        <v>1137</v>
      </c>
      <c r="B109" s="24">
        <v>2091</v>
      </c>
      <c r="C109" s="24" t="s">
        <v>1088</v>
      </c>
      <c r="D109" s="48" t="s">
        <v>265</v>
      </c>
      <c r="E109" s="48" t="s">
        <v>266</v>
      </c>
      <c r="F109" s="134" t="s">
        <v>1002</v>
      </c>
      <c r="G109" s="134">
        <v>3641</v>
      </c>
      <c r="H109" s="48" t="s">
        <v>1721</v>
      </c>
      <c r="I109" s="48" t="s">
        <v>1907</v>
      </c>
      <c r="J109" s="48" t="s">
        <v>1908</v>
      </c>
      <c r="K109" s="24"/>
      <c r="M109" s="4" t="s">
        <v>3865</v>
      </c>
      <c r="N109" s="4" t="s">
        <v>3865</v>
      </c>
    </row>
    <row r="110" spans="1:14" ht="43.5" x14ac:dyDescent="0.35">
      <c r="A110" s="24">
        <v>1676</v>
      </c>
      <c r="B110" s="24">
        <v>2091</v>
      </c>
      <c r="C110" s="24" t="s">
        <v>1088</v>
      </c>
      <c r="D110" s="48" t="s">
        <v>265</v>
      </c>
      <c r="E110" s="48" t="s">
        <v>266</v>
      </c>
      <c r="F110" s="134" t="s">
        <v>1002</v>
      </c>
      <c r="G110" s="134">
        <v>3642</v>
      </c>
      <c r="H110" s="48" t="s">
        <v>1695</v>
      </c>
      <c r="I110" s="48" t="s">
        <v>1909</v>
      </c>
      <c r="J110" s="48" t="s">
        <v>1910</v>
      </c>
      <c r="K110" s="24">
        <v>884441</v>
      </c>
      <c r="L110" s="4" t="s">
        <v>1782</v>
      </c>
      <c r="M110" s="4" t="s">
        <v>3865</v>
      </c>
      <c r="N110" s="4" t="s">
        <v>3865</v>
      </c>
    </row>
    <row r="111" spans="1:14" ht="58" x14ac:dyDescent="0.35">
      <c r="A111" s="24">
        <v>1191</v>
      </c>
      <c r="B111" s="24">
        <v>2091</v>
      </c>
      <c r="C111" s="24" t="s">
        <v>1088</v>
      </c>
      <c r="D111" s="48" t="s">
        <v>265</v>
      </c>
      <c r="E111" s="48" t="s">
        <v>266</v>
      </c>
      <c r="F111" s="134" t="s">
        <v>1002</v>
      </c>
      <c r="G111" s="134">
        <v>3645</v>
      </c>
      <c r="H111" s="48" t="s">
        <v>1695</v>
      </c>
      <c r="I111" s="48" t="s">
        <v>1911</v>
      </c>
      <c r="J111" s="48" t="s">
        <v>1912</v>
      </c>
      <c r="K111" s="24"/>
      <c r="M111" s="4" t="s">
        <v>3865</v>
      </c>
      <c r="N111" s="4" t="s">
        <v>3865</v>
      </c>
    </row>
    <row r="112" spans="1:14" ht="29" x14ac:dyDescent="0.35">
      <c r="A112" s="24">
        <v>1138</v>
      </c>
      <c r="B112" s="24">
        <v>2092</v>
      </c>
      <c r="C112" s="24" t="s">
        <v>1088</v>
      </c>
      <c r="D112" s="48" t="s">
        <v>267</v>
      </c>
      <c r="E112" s="48" t="s">
        <v>268</v>
      </c>
      <c r="F112" s="134" t="s">
        <v>1002</v>
      </c>
      <c r="G112" s="134">
        <v>3651</v>
      </c>
      <c r="H112" s="48" t="s">
        <v>1721</v>
      </c>
      <c r="I112" s="48" t="s">
        <v>1913</v>
      </c>
      <c r="J112" s="48" t="s">
        <v>1914</v>
      </c>
      <c r="K112" s="24"/>
      <c r="M112" s="4" t="s">
        <v>3865</v>
      </c>
      <c r="N112" s="4" t="s">
        <v>3865</v>
      </c>
    </row>
    <row r="113" spans="1:14" ht="43.5" x14ac:dyDescent="0.35">
      <c r="A113" s="24">
        <v>1677</v>
      </c>
      <c r="B113" s="24">
        <v>2092</v>
      </c>
      <c r="C113" s="24" t="s">
        <v>1088</v>
      </c>
      <c r="D113" s="48" t="s">
        <v>267</v>
      </c>
      <c r="E113" s="48" t="s">
        <v>268</v>
      </c>
      <c r="F113" s="134" t="s">
        <v>1002</v>
      </c>
      <c r="G113" s="134">
        <v>3652</v>
      </c>
      <c r="H113" s="48" t="s">
        <v>1695</v>
      </c>
      <c r="I113" s="48" t="s">
        <v>1915</v>
      </c>
      <c r="J113" s="48" t="s">
        <v>1916</v>
      </c>
      <c r="K113" s="24">
        <v>884441</v>
      </c>
      <c r="L113" s="4" t="s">
        <v>1782</v>
      </c>
      <c r="M113" s="4" t="s">
        <v>3865</v>
      </c>
      <c r="N113" s="4" t="s">
        <v>3865</v>
      </c>
    </row>
    <row r="114" spans="1:14" ht="58" x14ac:dyDescent="0.35">
      <c r="A114" s="24">
        <v>1192</v>
      </c>
      <c r="B114" s="24">
        <v>2092</v>
      </c>
      <c r="C114" s="24" t="s">
        <v>1088</v>
      </c>
      <c r="D114" s="48" t="s">
        <v>267</v>
      </c>
      <c r="E114" s="48" t="s">
        <v>268</v>
      </c>
      <c r="F114" s="134" t="s">
        <v>1002</v>
      </c>
      <c r="G114" s="134">
        <v>3655</v>
      </c>
      <c r="H114" s="48" t="s">
        <v>1695</v>
      </c>
      <c r="I114" s="48" t="s">
        <v>1917</v>
      </c>
      <c r="J114" s="48" t="s">
        <v>1918</v>
      </c>
      <c r="K114" s="24"/>
      <c r="M114" s="4" t="s">
        <v>3865</v>
      </c>
      <c r="N114" s="4" t="s">
        <v>3865</v>
      </c>
    </row>
    <row r="115" spans="1:14" ht="29" x14ac:dyDescent="0.35">
      <c r="A115" s="24">
        <v>1368</v>
      </c>
      <c r="B115" s="24">
        <v>2090</v>
      </c>
      <c r="C115" s="24" t="s">
        <v>1088</v>
      </c>
      <c r="D115" s="48" t="s">
        <v>263</v>
      </c>
      <c r="E115" s="48" t="s">
        <v>264</v>
      </c>
      <c r="F115" s="134" t="s">
        <v>1002</v>
      </c>
      <c r="G115" s="134">
        <v>3661</v>
      </c>
      <c r="H115" s="48" t="s">
        <v>1712</v>
      </c>
      <c r="I115" s="48" t="s">
        <v>1919</v>
      </c>
      <c r="J115" s="48" t="s">
        <v>1920</v>
      </c>
      <c r="K115" s="24"/>
      <c r="M115" s="4" t="s">
        <v>3865</v>
      </c>
      <c r="N115" s="4" t="s">
        <v>3865</v>
      </c>
    </row>
    <row r="116" spans="1:14" ht="29" x14ac:dyDescent="0.35">
      <c r="A116" s="135">
        <v>1678</v>
      </c>
      <c r="B116" s="135">
        <v>2090</v>
      </c>
      <c r="C116" s="135" t="s">
        <v>1088</v>
      </c>
      <c r="D116" s="136" t="s">
        <v>263</v>
      </c>
      <c r="E116" s="136" t="s">
        <v>264</v>
      </c>
      <c r="F116" s="137" t="s">
        <v>1002</v>
      </c>
      <c r="G116" s="137">
        <v>3662</v>
      </c>
      <c r="H116" s="136" t="s">
        <v>1695</v>
      </c>
      <c r="I116" s="136" t="s">
        <v>1921</v>
      </c>
      <c r="J116" s="136" t="s">
        <v>1922</v>
      </c>
      <c r="K116" s="135">
        <v>884441</v>
      </c>
      <c r="L116" s="4" t="s">
        <v>1782</v>
      </c>
      <c r="M116" s="4" t="s">
        <v>3865</v>
      </c>
      <c r="N116" s="4" t="s">
        <v>3865</v>
      </c>
    </row>
    <row r="117" spans="1:14" ht="87" x14ac:dyDescent="0.35">
      <c r="A117" s="161">
        <v>1092</v>
      </c>
      <c r="B117" s="161">
        <v>2101</v>
      </c>
      <c r="C117" s="161">
        <v>38</v>
      </c>
      <c r="D117" s="28" t="s">
        <v>1923</v>
      </c>
      <c r="E117" s="28" t="s">
        <v>289</v>
      </c>
      <c r="F117" s="162" t="s">
        <v>1002</v>
      </c>
      <c r="G117" s="162">
        <v>3801</v>
      </c>
      <c r="H117" s="28" t="s">
        <v>1689</v>
      </c>
      <c r="I117" s="28" t="s">
        <v>1924</v>
      </c>
      <c r="J117" s="28" t="s">
        <v>1925</v>
      </c>
      <c r="K117" s="24"/>
      <c r="L117" s="148"/>
      <c r="M117" s="4" t="s">
        <v>3865</v>
      </c>
      <c r="N117" s="4" t="s">
        <v>3865</v>
      </c>
    </row>
    <row r="118" spans="1:14" x14ac:dyDescent="0.35">
      <c r="A118" s="161">
        <v>1047</v>
      </c>
      <c r="B118" s="161">
        <v>2100</v>
      </c>
      <c r="C118" s="161">
        <v>38</v>
      </c>
      <c r="D118" s="28" t="s">
        <v>1926</v>
      </c>
      <c r="E118" s="28" t="s">
        <v>287</v>
      </c>
      <c r="F118" s="162" t="s">
        <v>1002</v>
      </c>
      <c r="G118" s="162">
        <v>3802</v>
      </c>
      <c r="H118" s="28" t="s">
        <v>1692</v>
      </c>
      <c r="I118" s="28" t="s">
        <v>1927</v>
      </c>
      <c r="J118" s="28" t="s">
        <v>1928</v>
      </c>
      <c r="K118" s="24"/>
      <c r="L118" s="148"/>
      <c r="M118" s="4" t="s">
        <v>3865</v>
      </c>
      <c r="N118" s="4" t="s">
        <v>3865</v>
      </c>
    </row>
    <row r="119" spans="1:14" ht="29" x14ac:dyDescent="0.35">
      <c r="A119" s="24">
        <v>1369</v>
      </c>
      <c r="B119" s="24">
        <v>2105</v>
      </c>
      <c r="C119" s="24" t="s">
        <v>1095</v>
      </c>
      <c r="D119" s="48" t="s">
        <v>297</v>
      </c>
      <c r="E119" s="48" t="s">
        <v>298</v>
      </c>
      <c r="F119" s="134" t="s">
        <v>1002</v>
      </c>
      <c r="G119" s="134">
        <v>3901</v>
      </c>
      <c r="H119" s="48" t="s">
        <v>1712</v>
      </c>
      <c r="I119" s="48" t="s">
        <v>1929</v>
      </c>
      <c r="J119" s="48" t="s">
        <v>1930</v>
      </c>
      <c r="K119" s="24"/>
      <c r="L119" s="148"/>
      <c r="M119" s="4" t="s">
        <v>3865</v>
      </c>
      <c r="N119" s="4" t="s">
        <v>3865</v>
      </c>
    </row>
    <row r="120" spans="1:14" ht="43.5" x14ac:dyDescent="0.35">
      <c r="A120" s="24">
        <v>1652</v>
      </c>
      <c r="B120" s="24">
        <v>2105</v>
      </c>
      <c r="C120" s="24" t="s">
        <v>1095</v>
      </c>
      <c r="D120" s="48" t="s">
        <v>297</v>
      </c>
      <c r="E120" s="48" t="s">
        <v>298</v>
      </c>
      <c r="F120" s="134" t="s">
        <v>1002</v>
      </c>
      <c r="G120" s="134">
        <v>3902</v>
      </c>
      <c r="H120" s="48" t="s">
        <v>1695</v>
      </c>
      <c r="I120" s="48" t="s">
        <v>1931</v>
      </c>
      <c r="J120" s="48" t="s">
        <v>1932</v>
      </c>
      <c r="K120" s="24">
        <v>884442</v>
      </c>
      <c r="L120" s="148" t="s">
        <v>1782</v>
      </c>
      <c r="M120" s="4" t="s">
        <v>3865</v>
      </c>
      <c r="N120" s="4" t="s">
        <v>3865</v>
      </c>
    </row>
    <row r="121" spans="1:14" ht="43.5" x14ac:dyDescent="0.35">
      <c r="A121" s="24">
        <v>1200</v>
      </c>
      <c r="B121" s="24">
        <v>2106</v>
      </c>
      <c r="C121" s="24" t="s">
        <v>1095</v>
      </c>
      <c r="D121" s="48" t="s">
        <v>299</v>
      </c>
      <c r="E121" s="48" t="s">
        <v>300</v>
      </c>
      <c r="F121" s="134" t="s">
        <v>1002</v>
      </c>
      <c r="G121" s="134">
        <v>3905</v>
      </c>
      <c r="H121" s="48" t="s">
        <v>1695</v>
      </c>
      <c r="I121" s="48" t="s">
        <v>1933</v>
      </c>
      <c r="J121" s="48" t="s">
        <v>1934</v>
      </c>
      <c r="K121" s="24"/>
      <c r="L121" s="148"/>
      <c r="M121" s="4" t="s">
        <v>3865</v>
      </c>
      <c r="N121" s="4" t="s">
        <v>3865</v>
      </c>
    </row>
    <row r="122" spans="1:14" ht="29" x14ac:dyDescent="0.35">
      <c r="A122" s="142">
        <v>1370</v>
      </c>
      <c r="B122" s="142">
        <v>2107</v>
      </c>
      <c r="C122" s="142" t="s">
        <v>1099</v>
      </c>
      <c r="D122" s="143" t="s">
        <v>302</v>
      </c>
      <c r="E122" s="143" t="s">
        <v>303</v>
      </c>
      <c r="F122" s="144" t="s">
        <v>1002</v>
      </c>
      <c r="G122" s="144">
        <v>3911</v>
      </c>
      <c r="H122" s="143" t="s">
        <v>1712</v>
      </c>
      <c r="I122" s="143" t="s">
        <v>1935</v>
      </c>
      <c r="J122" s="143" t="s">
        <v>1936</v>
      </c>
      <c r="M122" s="4" t="s">
        <v>3865</v>
      </c>
      <c r="N122" s="4" t="s">
        <v>3865</v>
      </c>
    </row>
    <row r="123" spans="1:14" ht="43.5" x14ac:dyDescent="0.35">
      <c r="A123" s="24">
        <v>1653</v>
      </c>
      <c r="B123" s="24">
        <v>2107</v>
      </c>
      <c r="C123" s="24" t="s">
        <v>1099</v>
      </c>
      <c r="D123" s="48" t="s">
        <v>302</v>
      </c>
      <c r="E123" s="48" t="s">
        <v>303</v>
      </c>
      <c r="F123" s="134" t="s">
        <v>1002</v>
      </c>
      <c r="G123" s="134">
        <v>3912</v>
      </c>
      <c r="H123" s="48" t="s">
        <v>1695</v>
      </c>
      <c r="I123" s="48" t="s">
        <v>1937</v>
      </c>
      <c r="J123" s="48" t="s">
        <v>1938</v>
      </c>
      <c r="K123" s="166">
        <v>884442</v>
      </c>
      <c r="L123" s="4" t="s">
        <v>1782</v>
      </c>
      <c r="M123" s="4" t="s">
        <v>3865</v>
      </c>
      <c r="N123" s="4" t="s">
        <v>3865</v>
      </c>
    </row>
    <row r="124" spans="1:14" ht="43.5" x14ac:dyDescent="0.35">
      <c r="A124" s="24">
        <v>1201</v>
      </c>
      <c r="B124" s="24">
        <v>2108</v>
      </c>
      <c r="C124" s="24" t="s">
        <v>1099</v>
      </c>
      <c r="D124" s="48" t="s">
        <v>304</v>
      </c>
      <c r="E124" s="48" t="s">
        <v>305</v>
      </c>
      <c r="F124" s="134" t="s">
        <v>1002</v>
      </c>
      <c r="G124" s="134">
        <v>3915</v>
      </c>
      <c r="H124" s="48" t="s">
        <v>1695</v>
      </c>
      <c r="I124" s="48" t="s">
        <v>1939</v>
      </c>
      <c r="J124" s="48" t="s">
        <v>1940</v>
      </c>
      <c r="M124" s="4" t="s">
        <v>3865</v>
      </c>
      <c r="N124" s="4" t="s">
        <v>3865</v>
      </c>
    </row>
    <row r="125" spans="1:14" ht="29" x14ac:dyDescent="0.35">
      <c r="A125" s="24">
        <v>1371</v>
      </c>
      <c r="B125" s="24">
        <v>2109</v>
      </c>
      <c r="C125" s="24" t="s">
        <v>1100</v>
      </c>
      <c r="D125" s="48" t="s">
        <v>307</v>
      </c>
      <c r="E125" s="48" t="s">
        <v>308</v>
      </c>
      <c r="F125" s="134" t="s">
        <v>1002</v>
      </c>
      <c r="G125" s="134">
        <v>3921</v>
      </c>
      <c r="H125" s="48" t="s">
        <v>1712</v>
      </c>
      <c r="I125" s="48" t="s">
        <v>1941</v>
      </c>
      <c r="J125" s="48" t="s">
        <v>1942</v>
      </c>
      <c r="M125" s="4" t="s">
        <v>3865</v>
      </c>
      <c r="N125" s="4" t="s">
        <v>3865</v>
      </c>
    </row>
    <row r="126" spans="1:14" ht="43.5" x14ac:dyDescent="0.35">
      <c r="A126" s="24">
        <v>1654</v>
      </c>
      <c r="B126" s="24">
        <v>2109</v>
      </c>
      <c r="C126" s="24" t="s">
        <v>1100</v>
      </c>
      <c r="D126" s="48" t="s">
        <v>307</v>
      </c>
      <c r="E126" s="48" t="s">
        <v>308</v>
      </c>
      <c r="F126" s="134" t="s">
        <v>1002</v>
      </c>
      <c r="G126" s="134">
        <v>3922</v>
      </c>
      <c r="H126" s="48" t="s">
        <v>1695</v>
      </c>
      <c r="I126" s="48" t="s">
        <v>1943</v>
      </c>
      <c r="J126" s="48" t="s">
        <v>1944</v>
      </c>
      <c r="K126" s="166">
        <v>884442</v>
      </c>
      <c r="L126" s="4" t="s">
        <v>1782</v>
      </c>
      <c r="M126" s="4" t="s">
        <v>3865</v>
      </c>
      <c r="N126" s="4" t="s">
        <v>3865</v>
      </c>
    </row>
    <row r="127" spans="1:14" ht="43.5" x14ac:dyDescent="0.35">
      <c r="A127" s="24">
        <v>1202</v>
      </c>
      <c r="B127" s="24">
        <v>2110</v>
      </c>
      <c r="C127" s="24" t="s">
        <v>1100</v>
      </c>
      <c r="D127" s="48" t="s">
        <v>309</v>
      </c>
      <c r="E127" s="48" t="s">
        <v>310</v>
      </c>
      <c r="F127" s="134" t="s">
        <v>1002</v>
      </c>
      <c r="G127" s="134">
        <v>3925</v>
      </c>
      <c r="H127" s="48" t="s">
        <v>1695</v>
      </c>
      <c r="I127" s="48" t="s">
        <v>1945</v>
      </c>
      <c r="J127" s="48" t="s">
        <v>1946</v>
      </c>
      <c r="M127" s="4" t="s">
        <v>3865</v>
      </c>
      <c r="N127" s="4" t="s">
        <v>3865</v>
      </c>
    </row>
    <row r="128" spans="1:14" ht="29" x14ac:dyDescent="0.35">
      <c r="A128" s="24">
        <v>1372</v>
      </c>
      <c r="B128" s="24">
        <v>2111</v>
      </c>
      <c r="C128" s="24" t="s">
        <v>1101</v>
      </c>
      <c r="D128" s="48" t="s">
        <v>312</v>
      </c>
      <c r="E128" s="48" t="s">
        <v>313</v>
      </c>
      <c r="F128" s="134" t="s">
        <v>1002</v>
      </c>
      <c r="G128" s="134">
        <v>3931</v>
      </c>
      <c r="H128" s="48" t="s">
        <v>1712</v>
      </c>
      <c r="I128" s="48" t="s">
        <v>1947</v>
      </c>
      <c r="J128" s="48" t="s">
        <v>1948</v>
      </c>
      <c r="M128" s="4" t="s">
        <v>3865</v>
      </c>
      <c r="N128" s="4" t="s">
        <v>3865</v>
      </c>
    </row>
    <row r="129" spans="1:14" ht="43.5" x14ac:dyDescent="0.35">
      <c r="A129" s="24">
        <v>1655</v>
      </c>
      <c r="B129" s="24">
        <v>2111</v>
      </c>
      <c r="C129" s="24" t="s">
        <v>1101</v>
      </c>
      <c r="D129" s="48" t="s">
        <v>312</v>
      </c>
      <c r="E129" s="48" t="s">
        <v>313</v>
      </c>
      <c r="F129" s="134" t="s">
        <v>1002</v>
      </c>
      <c r="G129" s="134">
        <v>3932</v>
      </c>
      <c r="H129" s="48" t="s">
        <v>1695</v>
      </c>
      <c r="I129" s="48" t="s">
        <v>1949</v>
      </c>
      <c r="J129" s="48" t="s">
        <v>1950</v>
      </c>
      <c r="K129" s="166">
        <v>884442</v>
      </c>
      <c r="L129" s="4" t="s">
        <v>1782</v>
      </c>
      <c r="M129" s="4" t="s">
        <v>3865</v>
      </c>
      <c r="N129" s="4" t="s">
        <v>3865</v>
      </c>
    </row>
    <row r="130" spans="1:14" ht="43.5" x14ac:dyDescent="0.35">
      <c r="A130" s="24">
        <v>1203</v>
      </c>
      <c r="B130" s="24">
        <v>2112</v>
      </c>
      <c r="C130" s="24" t="s">
        <v>1101</v>
      </c>
      <c r="D130" s="48" t="s">
        <v>314</v>
      </c>
      <c r="E130" s="48" t="s">
        <v>315</v>
      </c>
      <c r="F130" s="134" t="s">
        <v>1002</v>
      </c>
      <c r="G130" s="134">
        <v>3935</v>
      </c>
      <c r="H130" s="48" t="s">
        <v>1695</v>
      </c>
      <c r="I130" s="48" t="s">
        <v>1951</v>
      </c>
      <c r="J130" s="48" t="s">
        <v>1952</v>
      </c>
      <c r="M130" s="4" t="s">
        <v>3865</v>
      </c>
      <c r="N130" s="4" t="s">
        <v>3865</v>
      </c>
    </row>
    <row r="131" spans="1:14" ht="29" x14ac:dyDescent="0.35">
      <c r="A131" s="24">
        <v>1373</v>
      </c>
      <c r="B131" s="24">
        <v>2113</v>
      </c>
      <c r="C131" s="24" t="s">
        <v>1102</v>
      </c>
      <c r="D131" s="48" t="s">
        <v>317</v>
      </c>
      <c r="E131" s="48" t="s">
        <v>318</v>
      </c>
      <c r="F131" s="134" t="s">
        <v>1002</v>
      </c>
      <c r="G131" s="134">
        <v>4001</v>
      </c>
      <c r="H131" s="48" t="s">
        <v>1712</v>
      </c>
      <c r="I131" s="48" t="s">
        <v>1953</v>
      </c>
      <c r="J131" s="48" t="s">
        <v>1954</v>
      </c>
      <c r="M131" s="4" t="s">
        <v>3865</v>
      </c>
      <c r="N131" s="4" t="s">
        <v>3865</v>
      </c>
    </row>
    <row r="132" spans="1:14" ht="43.5" x14ac:dyDescent="0.35">
      <c r="A132" s="24">
        <v>1656</v>
      </c>
      <c r="B132" s="24">
        <v>2113</v>
      </c>
      <c r="C132" s="24" t="s">
        <v>1102</v>
      </c>
      <c r="D132" s="48" t="s">
        <v>317</v>
      </c>
      <c r="E132" s="48" t="s">
        <v>318</v>
      </c>
      <c r="F132" s="134" t="s">
        <v>1002</v>
      </c>
      <c r="G132" s="134">
        <v>4002</v>
      </c>
      <c r="H132" s="48" t="s">
        <v>1695</v>
      </c>
      <c r="I132" s="48" t="s">
        <v>1955</v>
      </c>
      <c r="J132" s="48" t="s">
        <v>1956</v>
      </c>
      <c r="K132" s="166">
        <v>884442</v>
      </c>
      <c r="L132" s="4" t="s">
        <v>1782</v>
      </c>
      <c r="M132" s="4" t="s">
        <v>3865</v>
      </c>
      <c r="N132" s="4" t="s">
        <v>3865</v>
      </c>
    </row>
    <row r="133" spans="1:14" ht="43.5" x14ac:dyDescent="0.35">
      <c r="A133" s="24">
        <v>1204</v>
      </c>
      <c r="B133" s="24">
        <v>2114</v>
      </c>
      <c r="C133" s="24" t="s">
        <v>1102</v>
      </c>
      <c r="D133" s="48" t="s">
        <v>319</v>
      </c>
      <c r="E133" s="48" t="s">
        <v>320</v>
      </c>
      <c r="F133" s="134" t="s">
        <v>1002</v>
      </c>
      <c r="G133" s="134">
        <v>4005</v>
      </c>
      <c r="H133" s="48" t="s">
        <v>1695</v>
      </c>
      <c r="I133" s="48" t="s">
        <v>1957</v>
      </c>
      <c r="J133" s="48" t="s">
        <v>1958</v>
      </c>
      <c r="M133" s="4" t="s">
        <v>3865</v>
      </c>
      <c r="N133" s="4" t="s">
        <v>3865</v>
      </c>
    </row>
    <row r="134" spans="1:14" ht="29" x14ac:dyDescent="0.35">
      <c r="A134" s="24">
        <v>1374</v>
      </c>
      <c r="B134" s="24">
        <v>2115</v>
      </c>
      <c r="C134" s="24" t="s">
        <v>1103</v>
      </c>
      <c r="D134" s="48" t="s">
        <v>322</v>
      </c>
      <c r="E134" s="48" t="s">
        <v>323</v>
      </c>
      <c r="F134" s="134" t="s">
        <v>1002</v>
      </c>
      <c r="G134" s="134">
        <v>4011</v>
      </c>
      <c r="H134" s="48" t="s">
        <v>1712</v>
      </c>
      <c r="I134" s="48" t="s">
        <v>1959</v>
      </c>
      <c r="J134" s="48" t="s">
        <v>1960</v>
      </c>
      <c r="M134" s="4" t="s">
        <v>3865</v>
      </c>
      <c r="N134" s="4" t="s">
        <v>3865</v>
      </c>
    </row>
    <row r="135" spans="1:14" ht="43.5" x14ac:dyDescent="0.35">
      <c r="A135" s="24">
        <v>1657</v>
      </c>
      <c r="B135" s="24">
        <v>2115</v>
      </c>
      <c r="C135" s="24" t="s">
        <v>1103</v>
      </c>
      <c r="D135" s="48" t="s">
        <v>322</v>
      </c>
      <c r="E135" s="48" t="s">
        <v>323</v>
      </c>
      <c r="F135" s="134" t="s">
        <v>1002</v>
      </c>
      <c r="G135" s="134">
        <v>4012</v>
      </c>
      <c r="H135" s="48" t="s">
        <v>1695</v>
      </c>
      <c r="I135" s="48" t="s">
        <v>1961</v>
      </c>
      <c r="J135" s="48" t="s">
        <v>1962</v>
      </c>
      <c r="K135" s="166">
        <v>884442</v>
      </c>
      <c r="L135" s="4" t="s">
        <v>1782</v>
      </c>
      <c r="M135" s="4" t="s">
        <v>3865</v>
      </c>
      <c r="N135" s="4" t="s">
        <v>3865</v>
      </c>
    </row>
    <row r="136" spans="1:14" ht="43.5" x14ac:dyDescent="0.35">
      <c r="A136" s="24">
        <v>1205</v>
      </c>
      <c r="B136" s="24">
        <v>2116</v>
      </c>
      <c r="C136" s="24" t="s">
        <v>1103</v>
      </c>
      <c r="D136" s="48" t="s">
        <v>324</v>
      </c>
      <c r="E136" s="48" t="s">
        <v>325</v>
      </c>
      <c r="F136" s="134" t="s">
        <v>1002</v>
      </c>
      <c r="G136" s="134">
        <v>4015</v>
      </c>
      <c r="H136" s="48" t="s">
        <v>1695</v>
      </c>
      <c r="I136" s="48" t="s">
        <v>1963</v>
      </c>
      <c r="J136" s="48" t="s">
        <v>1964</v>
      </c>
      <c r="M136" s="4" t="s">
        <v>3865</v>
      </c>
      <c r="N136" s="4" t="s">
        <v>3865</v>
      </c>
    </row>
    <row r="137" spans="1:14" ht="29" x14ac:dyDescent="0.35">
      <c r="A137" s="24">
        <v>1375</v>
      </c>
      <c r="B137" s="24">
        <v>2117</v>
      </c>
      <c r="C137" s="24" t="s">
        <v>1104</v>
      </c>
      <c r="D137" s="48" t="s">
        <v>327</v>
      </c>
      <c r="E137" s="48" t="s">
        <v>328</v>
      </c>
      <c r="F137" s="134" t="s">
        <v>1002</v>
      </c>
      <c r="G137" s="134">
        <v>4021</v>
      </c>
      <c r="H137" s="48" t="s">
        <v>1712</v>
      </c>
      <c r="I137" s="48" t="s">
        <v>1965</v>
      </c>
      <c r="J137" s="48" t="s">
        <v>1966</v>
      </c>
      <c r="M137" s="4" t="s">
        <v>3865</v>
      </c>
      <c r="N137" s="4" t="s">
        <v>3865</v>
      </c>
    </row>
    <row r="138" spans="1:14" ht="43.5" x14ac:dyDescent="0.35">
      <c r="A138" s="24">
        <v>1658</v>
      </c>
      <c r="B138" s="24">
        <v>2117</v>
      </c>
      <c r="C138" s="24" t="s">
        <v>1104</v>
      </c>
      <c r="D138" s="48" t="s">
        <v>327</v>
      </c>
      <c r="E138" s="48" t="s">
        <v>328</v>
      </c>
      <c r="F138" s="134" t="s">
        <v>1002</v>
      </c>
      <c r="G138" s="134">
        <v>4022</v>
      </c>
      <c r="H138" s="48" t="s">
        <v>1695</v>
      </c>
      <c r="I138" s="48" t="s">
        <v>1967</v>
      </c>
      <c r="J138" s="48" t="s">
        <v>1968</v>
      </c>
      <c r="K138" s="24">
        <v>884442</v>
      </c>
      <c r="L138" s="4" t="s">
        <v>1782</v>
      </c>
      <c r="M138" s="4" t="s">
        <v>3865</v>
      </c>
      <c r="N138" s="4" t="s">
        <v>3865</v>
      </c>
    </row>
    <row r="139" spans="1:14" ht="43.5" x14ac:dyDescent="0.35">
      <c r="A139" s="24">
        <v>1206</v>
      </c>
      <c r="B139" s="24">
        <v>2118</v>
      </c>
      <c r="C139" s="24" t="s">
        <v>1104</v>
      </c>
      <c r="D139" s="48" t="s">
        <v>329</v>
      </c>
      <c r="E139" s="48" t="s">
        <v>330</v>
      </c>
      <c r="F139" s="134" t="s">
        <v>1002</v>
      </c>
      <c r="G139" s="134">
        <v>4025</v>
      </c>
      <c r="H139" s="48" t="s">
        <v>1695</v>
      </c>
      <c r="I139" s="48" t="s">
        <v>1969</v>
      </c>
      <c r="J139" s="48" t="s">
        <v>1970</v>
      </c>
      <c r="K139" s="24"/>
      <c r="M139" s="4" t="s">
        <v>3865</v>
      </c>
      <c r="N139" s="4" t="s">
        <v>3865</v>
      </c>
    </row>
    <row r="140" spans="1:14" ht="29" x14ac:dyDescent="0.35">
      <c r="A140" s="24">
        <v>1376</v>
      </c>
      <c r="B140" s="24">
        <v>2119</v>
      </c>
      <c r="C140" s="24" t="s">
        <v>1105</v>
      </c>
      <c r="D140" s="48" t="s">
        <v>332</v>
      </c>
      <c r="E140" s="48" t="s">
        <v>333</v>
      </c>
      <c r="F140" s="134" t="s">
        <v>1002</v>
      </c>
      <c r="G140" s="134">
        <v>4031</v>
      </c>
      <c r="H140" s="48" t="s">
        <v>1712</v>
      </c>
      <c r="I140" s="48" t="s">
        <v>1971</v>
      </c>
      <c r="J140" s="48" t="s">
        <v>1972</v>
      </c>
      <c r="K140" s="24"/>
      <c r="M140" s="4" t="s">
        <v>3865</v>
      </c>
      <c r="N140" s="4" t="s">
        <v>3865</v>
      </c>
    </row>
    <row r="141" spans="1:14" ht="43.5" x14ac:dyDescent="0.35">
      <c r="A141" s="24">
        <v>1659</v>
      </c>
      <c r="B141" s="24">
        <v>2119</v>
      </c>
      <c r="C141" s="24" t="s">
        <v>1105</v>
      </c>
      <c r="D141" s="48" t="s">
        <v>332</v>
      </c>
      <c r="E141" s="48" t="s">
        <v>333</v>
      </c>
      <c r="F141" s="134" t="s">
        <v>1002</v>
      </c>
      <c r="G141" s="134">
        <v>4032</v>
      </c>
      <c r="H141" s="48" t="s">
        <v>1695</v>
      </c>
      <c r="I141" s="48" t="s">
        <v>1973</v>
      </c>
      <c r="J141" s="48" t="s">
        <v>1974</v>
      </c>
      <c r="K141" s="24">
        <v>884442</v>
      </c>
      <c r="L141" s="4" t="s">
        <v>1782</v>
      </c>
      <c r="M141" s="4" t="s">
        <v>3865</v>
      </c>
      <c r="N141" s="4" t="s">
        <v>3865</v>
      </c>
    </row>
    <row r="142" spans="1:14" ht="43.5" x14ac:dyDescent="0.35">
      <c r="A142" s="24">
        <v>1207</v>
      </c>
      <c r="B142" s="24">
        <v>2120</v>
      </c>
      <c r="C142" s="24" t="s">
        <v>1105</v>
      </c>
      <c r="D142" s="48" t="s">
        <v>334</v>
      </c>
      <c r="E142" s="48" t="s">
        <v>335</v>
      </c>
      <c r="F142" s="134" t="s">
        <v>1002</v>
      </c>
      <c r="G142" s="134">
        <v>4035</v>
      </c>
      <c r="H142" s="48" t="s">
        <v>1695</v>
      </c>
      <c r="I142" s="48" t="s">
        <v>1975</v>
      </c>
      <c r="J142" s="48" t="s">
        <v>1976</v>
      </c>
      <c r="K142" s="24"/>
      <c r="M142" s="4" t="s">
        <v>3865</v>
      </c>
      <c r="N142" s="4" t="s">
        <v>3865</v>
      </c>
    </row>
    <row r="143" spans="1:14" ht="29" x14ac:dyDescent="0.35">
      <c r="A143" s="24">
        <v>1377</v>
      </c>
      <c r="B143" s="24">
        <v>2121</v>
      </c>
      <c r="C143" s="24" t="s">
        <v>1106</v>
      </c>
      <c r="D143" s="48" t="s">
        <v>337</v>
      </c>
      <c r="E143" s="48" t="s">
        <v>338</v>
      </c>
      <c r="F143" s="134" t="s">
        <v>1002</v>
      </c>
      <c r="G143" s="134">
        <v>4101</v>
      </c>
      <c r="H143" s="48" t="s">
        <v>1712</v>
      </c>
      <c r="I143" s="48" t="s">
        <v>1977</v>
      </c>
      <c r="J143" s="48" t="s">
        <v>1978</v>
      </c>
      <c r="K143" s="24"/>
      <c r="M143" s="4" t="s">
        <v>3865</v>
      </c>
      <c r="N143" s="4" t="s">
        <v>3865</v>
      </c>
    </row>
    <row r="144" spans="1:14" ht="43.5" x14ac:dyDescent="0.35">
      <c r="A144" s="24">
        <v>1660</v>
      </c>
      <c r="B144" s="24">
        <v>2121</v>
      </c>
      <c r="C144" s="24" t="s">
        <v>1106</v>
      </c>
      <c r="D144" s="48" t="s">
        <v>337</v>
      </c>
      <c r="E144" s="48" t="s">
        <v>338</v>
      </c>
      <c r="F144" s="134" t="s">
        <v>1002</v>
      </c>
      <c r="G144" s="134">
        <v>4102</v>
      </c>
      <c r="H144" s="48" t="s">
        <v>1695</v>
      </c>
      <c r="I144" s="48" t="s">
        <v>1979</v>
      </c>
      <c r="J144" s="48" t="s">
        <v>1980</v>
      </c>
      <c r="K144" s="24">
        <v>884442</v>
      </c>
      <c r="L144" s="4" t="s">
        <v>1782</v>
      </c>
      <c r="M144" s="4" t="s">
        <v>3865</v>
      </c>
      <c r="N144" s="4" t="s">
        <v>3865</v>
      </c>
    </row>
    <row r="145" spans="1:18" ht="43.5" x14ac:dyDescent="0.35">
      <c r="A145" s="24">
        <v>1208</v>
      </c>
      <c r="B145" s="24">
        <v>2122</v>
      </c>
      <c r="C145" s="24" t="s">
        <v>1106</v>
      </c>
      <c r="D145" s="48" t="s">
        <v>339</v>
      </c>
      <c r="E145" s="48" t="s">
        <v>340</v>
      </c>
      <c r="F145" s="134" t="s">
        <v>1002</v>
      </c>
      <c r="G145" s="134">
        <v>4105</v>
      </c>
      <c r="H145" s="48" t="s">
        <v>1695</v>
      </c>
      <c r="I145" s="48" t="s">
        <v>1981</v>
      </c>
      <c r="J145" s="48" t="s">
        <v>1982</v>
      </c>
      <c r="K145" s="24"/>
      <c r="M145" s="4" t="s">
        <v>3865</v>
      </c>
      <c r="N145" s="4" t="s">
        <v>3865</v>
      </c>
      <c r="Q145"/>
      <c r="R145"/>
    </row>
    <row r="146" spans="1:18" ht="29" x14ac:dyDescent="0.35">
      <c r="A146" s="24">
        <v>1378</v>
      </c>
      <c r="B146" s="24">
        <v>2123</v>
      </c>
      <c r="C146" s="24" t="s">
        <v>1107</v>
      </c>
      <c r="D146" s="48" t="s">
        <v>342</v>
      </c>
      <c r="E146" s="48" t="s">
        <v>343</v>
      </c>
      <c r="F146" s="134" t="s">
        <v>1002</v>
      </c>
      <c r="G146" s="134">
        <v>4111</v>
      </c>
      <c r="H146" s="48" t="s">
        <v>1712</v>
      </c>
      <c r="I146" s="48" t="s">
        <v>1983</v>
      </c>
      <c r="J146" s="48" t="s">
        <v>1984</v>
      </c>
      <c r="K146" s="24"/>
      <c r="M146" s="4" t="s">
        <v>3865</v>
      </c>
      <c r="N146" s="4" t="s">
        <v>3865</v>
      </c>
      <c r="Q146"/>
      <c r="R146"/>
    </row>
    <row r="147" spans="1:18" ht="43.5" x14ac:dyDescent="0.35">
      <c r="A147" s="24">
        <v>1661</v>
      </c>
      <c r="B147" s="24">
        <v>2123</v>
      </c>
      <c r="C147" s="24" t="s">
        <v>1107</v>
      </c>
      <c r="D147" s="48" t="s">
        <v>342</v>
      </c>
      <c r="E147" s="48" t="s">
        <v>343</v>
      </c>
      <c r="F147" s="134" t="s">
        <v>1002</v>
      </c>
      <c r="G147" s="134">
        <v>4112</v>
      </c>
      <c r="H147" s="48" t="s">
        <v>1695</v>
      </c>
      <c r="I147" s="48" t="s">
        <v>1985</v>
      </c>
      <c r="J147" s="48" t="s">
        <v>1986</v>
      </c>
      <c r="K147" s="24">
        <v>884442</v>
      </c>
      <c r="L147" s="4" t="s">
        <v>1782</v>
      </c>
      <c r="M147" s="4" t="s">
        <v>3865</v>
      </c>
      <c r="N147" s="4" t="s">
        <v>3865</v>
      </c>
      <c r="Q147"/>
      <c r="R147"/>
    </row>
    <row r="148" spans="1:18" ht="43.5" x14ac:dyDescent="0.35">
      <c r="A148" s="24">
        <v>1209</v>
      </c>
      <c r="B148" s="24">
        <v>2124</v>
      </c>
      <c r="C148" s="24" t="s">
        <v>1107</v>
      </c>
      <c r="D148" s="48" t="s">
        <v>344</v>
      </c>
      <c r="E148" s="48" t="s">
        <v>345</v>
      </c>
      <c r="F148" s="134" t="s">
        <v>1002</v>
      </c>
      <c r="G148" s="134">
        <v>4115</v>
      </c>
      <c r="H148" s="48" t="s">
        <v>1695</v>
      </c>
      <c r="I148" s="48" t="s">
        <v>1987</v>
      </c>
      <c r="J148" s="48" t="s">
        <v>1988</v>
      </c>
      <c r="K148" s="24"/>
      <c r="M148" s="4" t="s">
        <v>3865</v>
      </c>
      <c r="N148" s="4" t="s">
        <v>3865</v>
      </c>
      <c r="Q148"/>
      <c r="R148"/>
    </row>
    <row r="149" spans="1:18" ht="29" x14ac:dyDescent="0.35">
      <c r="A149" s="24">
        <v>1379</v>
      </c>
      <c r="B149" s="24">
        <v>2125</v>
      </c>
      <c r="C149" s="24" t="s">
        <v>1108</v>
      </c>
      <c r="D149" s="48" t="s">
        <v>347</v>
      </c>
      <c r="E149" s="48" t="s">
        <v>348</v>
      </c>
      <c r="F149" s="134" t="s">
        <v>1002</v>
      </c>
      <c r="G149" s="134">
        <v>4121</v>
      </c>
      <c r="H149" s="48" t="s">
        <v>1712</v>
      </c>
      <c r="I149" s="48" t="s">
        <v>1989</v>
      </c>
      <c r="J149" s="48" t="s">
        <v>1990</v>
      </c>
      <c r="K149" s="24"/>
      <c r="M149" s="4" t="s">
        <v>3865</v>
      </c>
      <c r="N149" s="4" t="s">
        <v>3865</v>
      </c>
      <c r="Q149"/>
      <c r="R149"/>
    </row>
    <row r="150" spans="1:18" ht="43.5" x14ac:dyDescent="0.35">
      <c r="A150" s="24">
        <v>1662</v>
      </c>
      <c r="B150" s="24">
        <v>2125</v>
      </c>
      <c r="C150" s="24" t="s">
        <v>1108</v>
      </c>
      <c r="D150" s="48" t="s">
        <v>347</v>
      </c>
      <c r="E150" s="48" t="s">
        <v>348</v>
      </c>
      <c r="F150" s="134" t="s">
        <v>1002</v>
      </c>
      <c r="G150" s="134">
        <v>4122</v>
      </c>
      <c r="H150" s="48" t="s">
        <v>1695</v>
      </c>
      <c r="I150" s="48" t="s">
        <v>1991</v>
      </c>
      <c r="J150" s="48" t="s">
        <v>1992</v>
      </c>
      <c r="K150" s="24">
        <v>884442</v>
      </c>
      <c r="L150" s="4" t="s">
        <v>1782</v>
      </c>
      <c r="M150" s="4" t="s">
        <v>3865</v>
      </c>
      <c r="N150" s="4" t="s">
        <v>3865</v>
      </c>
      <c r="Q150"/>
      <c r="R150"/>
    </row>
    <row r="151" spans="1:18" ht="43.5" x14ac:dyDescent="0.35">
      <c r="A151" s="24">
        <v>1210</v>
      </c>
      <c r="B151" s="24">
        <v>2126</v>
      </c>
      <c r="C151" s="24" t="s">
        <v>1108</v>
      </c>
      <c r="D151" s="48" t="s">
        <v>349</v>
      </c>
      <c r="E151" s="48" t="s">
        <v>350</v>
      </c>
      <c r="F151" s="134" t="s">
        <v>1002</v>
      </c>
      <c r="G151" s="134">
        <v>4125</v>
      </c>
      <c r="H151" s="48" t="s">
        <v>1695</v>
      </c>
      <c r="I151" s="48" t="s">
        <v>1993</v>
      </c>
      <c r="J151" s="48" t="s">
        <v>1994</v>
      </c>
      <c r="K151" s="24"/>
      <c r="M151" s="4" t="s">
        <v>3865</v>
      </c>
      <c r="N151" s="4" t="s">
        <v>3865</v>
      </c>
      <c r="Q151"/>
      <c r="R151"/>
    </row>
    <row r="152" spans="1:18" ht="29" x14ac:dyDescent="0.35">
      <c r="A152" s="24">
        <v>1380</v>
      </c>
      <c r="B152" s="24">
        <v>2127</v>
      </c>
      <c r="C152" s="24" t="s">
        <v>1109</v>
      </c>
      <c r="D152" s="48" t="s">
        <v>352</v>
      </c>
      <c r="E152" s="48" t="s">
        <v>353</v>
      </c>
      <c r="F152" s="134" t="s">
        <v>1002</v>
      </c>
      <c r="G152" s="134">
        <v>4131</v>
      </c>
      <c r="H152" s="48" t="s">
        <v>1712</v>
      </c>
      <c r="I152" s="48" t="s">
        <v>1995</v>
      </c>
      <c r="J152" s="48" t="s">
        <v>1996</v>
      </c>
      <c r="K152" s="24"/>
      <c r="M152" s="4" t="s">
        <v>3865</v>
      </c>
      <c r="N152" s="4" t="s">
        <v>3865</v>
      </c>
      <c r="Q152" t="s">
        <v>1239</v>
      </c>
      <c r="R152" t="s">
        <v>3912</v>
      </c>
    </row>
    <row r="153" spans="1:18" ht="43.5" x14ac:dyDescent="0.35">
      <c r="A153" s="24">
        <v>1663</v>
      </c>
      <c r="B153" s="24">
        <v>2127</v>
      </c>
      <c r="C153" s="24" t="s">
        <v>1109</v>
      </c>
      <c r="D153" s="48" t="s">
        <v>352</v>
      </c>
      <c r="E153" s="48" t="s">
        <v>353</v>
      </c>
      <c r="F153" s="134" t="s">
        <v>1002</v>
      </c>
      <c r="G153" s="134">
        <v>4132</v>
      </c>
      <c r="H153" s="48" t="s">
        <v>1695</v>
      </c>
      <c r="I153" s="48" t="s">
        <v>1997</v>
      </c>
      <c r="J153" s="48" t="s">
        <v>1998</v>
      </c>
      <c r="K153" s="24">
        <v>884442</v>
      </c>
      <c r="L153" s="4" t="s">
        <v>1782</v>
      </c>
      <c r="M153" s="4" t="s">
        <v>3865</v>
      </c>
      <c r="N153" s="4" t="s">
        <v>3865</v>
      </c>
      <c r="Q153" t="s">
        <v>3900</v>
      </c>
      <c r="R153" t="s">
        <v>3901</v>
      </c>
    </row>
    <row r="154" spans="1:18" ht="43.5" x14ac:dyDescent="0.35">
      <c r="A154" s="24">
        <v>1211</v>
      </c>
      <c r="B154" s="24">
        <v>2128</v>
      </c>
      <c r="C154" s="24" t="s">
        <v>1109</v>
      </c>
      <c r="D154" s="48" t="s">
        <v>354</v>
      </c>
      <c r="E154" s="48" t="s">
        <v>355</v>
      </c>
      <c r="F154" s="134" t="s">
        <v>1002</v>
      </c>
      <c r="G154" s="134">
        <v>4135</v>
      </c>
      <c r="H154" s="48" t="s">
        <v>1695</v>
      </c>
      <c r="I154" s="48" t="s">
        <v>1999</v>
      </c>
      <c r="J154" s="48" t="s">
        <v>2000</v>
      </c>
      <c r="K154" s="24"/>
      <c r="M154" s="4" t="s">
        <v>3865</v>
      </c>
      <c r="N154" s="4" t="s">
        <v>3865</v>
      </c>
      <c r="Q154" t="s">
        <v>1239</v>
      </c>
      <c r="R154" t="s">
        <v>3902</v>
      </c>
    </row>
    <row r="155" spans="1:18" ht="3.4" customHeight="1" x14ac:dyDescent="0.35">
      <c r="A155" s="88"/>
      <c r="B155" s="88"/>
      <c r="C155" s="88"/>
      <c r="D155" s="87"/>
      <c r="E155" s="87"/>
      <c r="F155" s="90"/>
      <c r="G155" s="90"/>
      <c r="H155" s="87"/>
      <c r="I155" s="87"/>
      <c r="J155" s="87"/>
      <c r="K155" s="87"/>
      <c r="M155" s="4" t="s">
        <v>3865</v>
      </c>
      <c r="N155" s="4" t="s">
        <v>3865</v>
      </c>
      <c r="Q155" t="s">
        <v>3900</v>
      </c>
      <c r="R155" t="s">
        <v>3901</v>
      </c>
    </row>
    <row r="156" spans="1:18" ht="58" x14ac:dyDescent="0.35">
      <c r="A156" s="24">
        <v>1418</v>
      </c>
      <c r="B156" s="24">
        <v>2501</v>
      </c>
      <c r="C156" s="24">
        <v>42</v>
      </c>
      <c r="D156" s="48" t="s">
        <v>357</v>
      </c>
      <c r="E156" s="48" t="s">
        <v>358</v>
      </c>
      <c r="F156" s="134" t="s">
        <v>1110</v>
      </c>
      <c r="G156" s="134">
        <v>4200</v>
      </c>
      <c r="H156" s="167" t="s">
        <v>2001</v>
      </c>
      <c r="I156" s="167" t="s">
        <v>2002</v>
      </c>
      <c r="J156" s="167" t="s">
        <v>2003</v>
      </c>
      <c r="K156" s="24"/>
      <c r="L156" s="148"/>
      <c r="M156" s="4" t="s">
        <v>3865</v>
      </c>
      <c r="N156" s="4" t="s">
        <v>3865</v>
      </c>
      <c r="Q156" t="s">
        <v>3900</v>
      </c>
      <c r="R156" t="s">
        <v>3901</v>
      </c>
    </row>
    <row r="157" spans="1:18" ht="72.5" x14ac:dyDescent="0.35">
      <c r="A157" s="24">
        <v>1386</v>
      </c>
      <c r="B157" s="24">
        <v>2501</v>
      </c>
      <c r="C157" s="24">
        <v>42</v>
      </c>
      <c r="D157" s="48" t="s">
        <v>357</v>
      </c>
      <c r="E157" s="48" t="s">
        <v>358</v>
      </c>
      <c r="F157" s="134" t="s">
        <v>1110</v>
      </c>
      <c r="G157" s="134">
        <v>4201</v>
      </c>
      <c r="H157" s="167" t="s">
        <v>1695</v>
      </c>
      <c r="I157" s="167" t="s">
        <v>2004</v>
      </c>
      <c r="J157" s="167" t="s">
        <v>2005</v>
      </c>
      <c r="K157" s="24">
        <v>884443</v>
      </c>
      <c r="L157" s="148" t="s">
        <v>1755</v>
      </c>
      <c r="M157" s="4" t="s">
        <v>3865</v>
      </c>
      <c r="N157" s="4" t="s">
        <v>3865</v>
      </c>
      <c r="Q157" t="s">
        <v>1239</v>
      </c>
      <c r="R157" t="s">
        <v>3912</v>
      </c>
    </row>
    <row r="158" spans="1:18" ht="29" x14ac:dyDescent="0.35">
      <c r="A158" s="138">
        <v>1427</v>
      </c>
      <c r="B158" s="138">
        <v>2501</v>
      </c>
      <c r="C158" s="138">
        <v>42</v>
      </c>
      <c r="D158" s="139" t="s">
        <v>357</v>
      </c>
      <c r="E158" s="139" t="s">
        <v>358</v>
      </c>
      <c r="F158" s="140" t="s">
        <v>1110</v>
      </c>
      <c r="G158" s="140">
        <v>4211</v>
      </c>
      <c r="H158" s="139" t="s">
        <v>1712</v>
      </c>
      <c r="I158" s="139" t="s">
        <v>2006</v>
      </c>
      <c r="J158" s="139" t="s">
        <v>2007</v>
      </c>
      <c r="M158" s="4" t="s">
        <v>3865</v>
      </c>
      <c r="N158" s="4" t="s">
        <v>3865</v>
      </c>
      <c r="Q158" t="s">
        <v>3900</v>
      </c>
      <c r="R158" t="s">
        <v>3901</v>
      </c>
    </row>
    <row r="159" spans="1:18" ht="159.5" x14ac:dyDescent="0.35">
      <c r="A159" s="270">
        <v>264</v>
      </c>
      <c r="B159" s="270">
        <v>2501</v>
      </c>
      <c r="C159" s="270">
        <v>42</v>
      </c>
      <c r="D159" s="271" t="s">
        <v>357</v>
      </c>
      <c r="E159" s="271" t="s">
        <v>358</v>
      </c>
      <c r="F159" s="272" t="s">
        <v>1110</v>
      </c>
      <c r="G159" s="272">
        <v>4221</v>
      </c>
      <c r="H159" s="273" t="s">
        <v>1695</v>
      </c>
      <c r="I159" s="271" t="s">
        <v>2008</v>
      </c>
      <c r="J159" s="271" t="s">
        <v>2009</v>
      </c>
      <c r="K159" s="22">
        <v>886917</v>
      </c>
      <c r="M159" s="4" t="s">
        <v>3865</v>
      </c>
      <c r="N159" s="4" t="s">
        <v>3865</v>
      </c>
      <c r="Q159" t="s">
        <v>1239</v>
      </c>
      <c r="R159" t="s">
        <v>3902</v>
      </c>
    </row>
    <row r="160" spans="1:18" ht="43.5" x14ac:dyDescent="0.35">
      <c r="A160" s="73">
        <v>1429</v>
      </c>
      <c r="B160" s="73">
        <v>2509</v>
      </c>
      <c r="C160" s="73">
        <v>43</v>
      </c>
      <c r="D160" s="75" t="s">
        <v>364</v>
      </c>
      <c r="E160" s="75" t="s">
        <v>365</v>
      </c>
      <c r="F160" s="120" t="s">
        <v>1110</v>
      </c>
      <c r="G160" s="120">
        <v>4301</v>
      </c>
      <c r="H160" s="75" t="s">
        <v>1695</v>
      </c>
      <c r="I160" s="75" t="s">
        <v>2010</v>
      </c>
      <c r="J160" s="75" t="s">
        <v>2011</v>
      </c>
      <c r="M160" s="4" t="s">
        <v>3865</v>
      </c>
      <c r="N160" s="4" t="s">
        <v>3865</v>
      </c>
      <c r="Q160" t="s">
        <v>3900</v>
      </c>
      <c r="R160" t="s">
        <v>3901</v>
      </c>
    </row>
    <row r="161" spans="1:18" ht="43.5" x14ac:dyDescent="0.35">
      <c r="A161" s="73">
        <v>1459</v>
      </c>
      <c r="B161" s="73">
        <v>2509</v>
      </c>
      <c r="C161" s="73">
        <v>43</v>
      </c>
      <c r="D161" s="75" t="s">
        <v>364</v>
      </c>
      <c r="E161" s="75" t="s">
        <v>365</v>
      </c>
      <c r="F161" s="120" t="s">
        <v>1110</v>
      </c>
      <c r="G161" s="120">
        <v>4305</v>
      </c>
      <c r="H161" s="75" t="s">
        <v>1695</v>
      </c>
      <c r="I161" s="75" t="s">
        <v>2012</v>
      </c>
      <c r="J161" s="75" t="s">
        <v>2013</v>
      </c>
      <c r="M161" s="4" t="s">
        <v>3865</v>
      </c>
      <c r="Q161" t="s">
        <v>3900</v>
      </c>
      <c r="R161" t="s">
        <v>3901</v>
      </c>
    </row>
    <row r="162" spans="1:18" ht="43.5" x14ac:dyDescent="0.35">
      <c r="A162" s="73">
        <v>1428</v>
      </c>
      <c r="B162" s="73">
        <v>2511</v>
      </c>
      <c r="C162" s="73">
        <v>43</v>
      </c>
      <c r="D162" s="75" t="s">
        <v>368</v>
      </c>
      <c r="E162" s="75" t="s">
        <v>369</v>
      </c>
      <c r="F162" s="120" t="s">
        <v>1110</v>
      </c>
      <c r="G162" s="120">
        <v>4311</v>
      </c>
      <c r="H162" s="75" t="s">
        <v>1695</v>
      </c>
      <c r="I162" s="75" t="s">
        <v>2014</v>
      </c>
      <c r="J162" s="75" t="s">
        <v>2015</v>
      </c>
      <c r="M162" s="4" t="s">
        <v>3865</v>
      </c>
      <c r="Q162" t="s">
        <v>1239</v>
      </c>
      <c r="R162" t="s">
        <v>3912</v>
      </c>
    </row>
    <row r="163" spans="1:18" ht="43.5" x14ac:dyDescent="0.35">
      <c r="A163" s="73">
        <v>1460</v>
      </c>
      <c r="B163" s="73">
        <v>2511</v>
      </c>
      <c r="C163" s="73">
        <v>43</v>
      </c>
      <c r="D163" s="75" t="s">
        <v>368</v>
      </c>
      <c r="E163" s="75" t="s">
        <v>369</v>
      </c>
      <c r="F163" s="120" t="s">
        <v>1110</v>
      </c>
      <c r="G163" s="120">
        <v>4315</v>
      </c>
      <c r="H163" s="75" t="s">
        <v>1695</v>
      </c>
      <c r="I163" s="75" t="s">
        <v>2016</v>
      </c>
      <c r="J163" s="75" t="s">
        <v>2017</v>
      </c>
      <c r="M163" s="4" t="s">
        <v>3865</v>
      </c>
      <c r="Q163" t="s">
        <v>3900</v>
      </c>
      <c r="R163" t="s">
        <v>3901</v>
      </c>
    </row>
    <row r="164" spans="1:18" ht="43.5" x14ac:dyDescent="0.35">
      <c r="A164" s="73">
        <v>1461</v>
      </c>
      <c r="B164" s="73">
        <v>2510</v>
      </c>
      <c r="C164" s="73">
        <v>43</v>
      </c>
      <c r="D164" s="75" t="s">
        <v>366</v>
      </c>
      <c r="E164" s="75" t="s">
        <v>367</v>
      </c>
      <c r="F164" s="120" t="s">
        <v>1110</v>
      </c>
      <c r="G164" s="120">
        <v>4321</v>
      </c>
      <c r="H164" s="75" t="s">
        <v>1695</v>
      </c>
      <c r="I164" s="75" t="s">
        <v>2018</v>
      </c>
      <c r="J164" s="75" t="s">
        <v>2019</v>
      </c>
      <c r="M164" s="4" t="s">
        <v>3865</v>
      </c>
      <c r="Q164" t="s">
        <v>1239</v>
      </c>
      <c r="R164" t="s">
        <v>3902</v>
      </c>
    </row>
    <row r="165" spans="1:18" ht="72.5" x14ac:dyDescent="0.35">
      <c r="A165" s="73">
        <v>1325</v>
      </c>
      <c r="B165" s="73">
        <v>2513</v>
      </c>
      <c r="C165" s="73">
        <v>44</v>
      </c>
      <c r="D165" s="75" t="s">
        <v>379</v>
      </c>
      <c r="E165" s="75" t="s">
        <v>378</v>
      </c>
      <c r="F165" s="120" t="s">
        <v>1110</v>
      </c>
      <c r="G165" s="120">
        <v>4401</v>
      </c>
      <c r="H165" s="75" t="s">
        <v>1689</v>
      </c>
      <c r="I165" s="75" t="s">
        <v>2020</v>
      </c>
      <c r="J165" s="75" t="s">
        <v>2021</v>
      </c>
      <c r="M165" s="4" t="s">
        <v>3865</v>
      </c>
      <c r="Q165" t="s">
        <v>3900</v>
      </c>
      <c r="R165" t="s">
        <v>3901</v>
      </c>
    </row>
    <row r="166" spans="1:18" ht="29" x14ac:dyDescent="0.35">
      <c r="A166" s="73">
        <v>1326</v>
      </c>
      <c r="B166" s="73">
        <v>2514</v>
      </c>
      <c r="C166" s="73">
        <v>44</v>
      </c>
      <c r="D166" s="75" t="s">
        <v>380</v>
      </c>
      <c r="E166" s="75" t="s">
        <v>381</v>
      </c>
      <c r="F166" s="120" t="s">
        <v>1110</v>
      </c>
      <c r="G166" s="120">
        <v>4411</v>
      </c>
      <c r="H166" s="75" t="s">
        <v>1712</v>
      </c>
      <c r="I166" s="75" t="s">
        <v>2022</v>
      </c>
      <c r="J166" s="130" t="s">
        <v>2023</v>
      </c>
      <c r="K166" s="24"/>
      <c r="M166" s="4" t="s">
        <v>3865</v>
      </c>
      <c r="Q166" t="s">
        <v>3900</v>
      </c>
      <c r="R166" t="s">
        <v>3901</v>
      </c>
    </row>
    <row r="167" spans="1:18" ht="29" x14ac:dyDescent="0.35">
      <c r="A167" s="73">
        <v>1327</v>
      </c>
      <c r="B167" s="73">
        <v>2515</v>
      </c>
      <c r="C167" s="73">
        <v>44</v>
      </c>
      <c r="D167" s="75" t="s">
        <v>382</v>
      </c>
      <c r="E167" s="75" t="s">
        <v>383</v>
      </c>
      <c r="F167" s="120" t="s">
        <v>1110</v>
      </c>
      <c r="G167" s="120">
        <v>4421</v>
      </c>
      <c r="H167" s="75" t="s">
        <v>1712</v>
      </c>
      <c r="I167" s="75" t="s">
        <v>2022</v>
      </c>
      <c r="J167" s="130" t="s">
        <v>2024</v>
      </c>
      <c r="K167" s="24"/>
      <c r="M167" s="4" t="s">
        <v>3865</v>
      </c>
      <c r="Q167" t="s">
        <v>1239</v>
      </c>
      <c r="R167" t="s">
        <v>3912</v>
      </c>
    </row>
    <row r="168" spans="1:18" ht="29" x14ac:dyDescent="0.35">
      <c r="A168" s="73">
        <v>1328</v>
      </c>
      <c r="B168" s="73">
        <v>2516</v>
      </c>
      <c r="C168" s="73">
        <v>44</v>
      </c>
      <c r="D168" s="75" t="s">
        <v>384</v>
      </c>
      <c r="E168" s="75" t="s">
        <v>385</v>
      </c>
      <c r="F168" s="120" t="s">
        <v>1110</v>
      </c>
      <c r="G168" s="120">
        <v>4431</v>
      </c>
      <c r="H168" s="75" t="s">
        <v>1712</v>
      </c>
      <c r="I168" s="75" t="s">
        <v>2022</v>
      </c>
      <c r="J168" s="130" t="s">
        <v>2025</v>
      </c>
      <c r="K168" s="24"/>
      <c r="M168" s="4" t="s">
        <v>3865</v>
      </c>
      <c r="Q168" t="s">
        <v>3900</v>
      </c>
      <c r="R168" t="s">
        <v>3901</v>
      </c>
    </row>
    <row r="169" spans="1:18" ht="29" x14ac:dyDescent="0.35">
      <c r="A169" s="73">
        <v>1329</v>
      </c>
      <c r="B169" s="73">
        <v>2517</v>
      </c>
      <c r="C169" s="73">
        <v>44</v>
      </c>
      <c r="D169" s="75" t="s">
        <v>386</v>
      </c>
      <c r="E169" s="75" t="s">
        <v>387</v>
      </c>
      <c r="F169" s="120" t="s">
        <v>1110</v>
      </c>
      <c r="G169" s="120">
        <v>4441</v>
      </c>
      <c r="H169" s="75" t="s">
        <v>1712</v>
      </c>
      <c r="I169" s="75" t="s">
        <v>2022</v>
      </c>
      <c r="J169" s="130" t="s">
        <v>2026</v>
      </c>
      <c r="K169" s="24"/>
      <c r="M169" s="4" t="s">
        <v>3865</v>
      </c>
      <c r="Q169" t="s">
        <v>1239</v>
      </c>
      <c r="R169" t="s">
        <v>3902</v>
      </c>
    </row>
    <row r="170" spans="1:18" x14ac:dyDescent="0.35">
      <c r="A170" s="73">
        <v>1146</v>
      </c>
      <c r="B170" s="73">
        <v>2504</v>
      </c>
      <c r="C170" s="73">
        <v>45</v>
      </c>
      <c r="D170" s="75" t="s">
        <v>389</v>
      </c>
      <c r="E170" s="75" t="s">
        <v>390</v>
      </c>
      <c r="F170" s="120" t="s">
        <v>1110</v>
      </c>
      <c r="G170" s="120">
        <v>4501</v>
      </c>
      <c r="H170" s="75" t="s">
        <v>1721</v>
      </c>
      <c r="I170" s="75" t="s">
        <v>2027</v>
      </c>
      <c r="J170" s="130" t="s">
        <v>2028</v>
      </c>
      <c r="K170" s="24"/>
      <c r="M170" s="4" t="s">
        <v>3865</v>
      </c>
      <c r="Q170" t="s">
        <v>3900</v>
      </c>
      <c r="R170" t="s">
        <v>3901</v>
      </c>
    </row>
    <row r="171" spans="1:18" ht="29" x14ac:dyDescent="0.35">
      <c r="A171" s="73">
        <v>1199</v>
      </c>
      <c r="B171" s="73">
        <v>2504</v>
      </c>
      <c r="C171" s="73">
        <v>45</v>
      </c>
      <c r="D171" s="75" t="s">
        <v>389</v>
      </c>
      <c r="E171" s="75" t="s">
        <v>390</v>
      </c>
      <c r="F171" s="120" t="s">
        <v>1110</v>
      </c>
      <c r="G171" s="120">
        <v>4511</v>
      </c>
      <c r="H171" s="75" t="s">
        <v>1695</v>
      </c>
      <c r="I171" s="75" t="s">
        <v>2029</v>
      </c>
      <c r="J171" s="130" t="s">
        <v>2030</v>
      </c>
      <c r="K171" s="24"/>
      <c r="M171" s="4" t="s">
        <v>3865</v>
      </c>
      <c r="Q171" t="s">
        <v>3900</v>
      </c>
      <c r="R171" t="s">
        <v>3901</v>
      </c>
    </row>
    <row r="172" spans="1:18" x14ac:dyDescent="0.35">
      <c r="A172" s="73">
        <v>1261</v>
      </c>
      <c r="B172" s="73">
        <v>2505</v>
      </c>
      <c r="C172" s="73">
        <v>46</v>
      </c>
      <c r="D172" s="75" t="s">
        <v>392</v>
      </c>
      <c r="E172" s="75" t="s">
        <v>393</v>
      </c>
      <c r="F172" s="120" t="s">
        <v>1110</v>
      </c>
      <c r="G172" s="120">
        <v>4601</v>
      </c>
      <c r="H172" s="75" t="s">
        <v>1692</v>
      </c>
      <c r="I172" s="75" t="s">
        <v>2031</v>
      </c>
      <c r="J172" s="130" t="s">
        <v>2032</v>
      </c>
      <c r="K172" s="24"/>
      <c r="M172" s="4" t="s">
        <v>3865</v>
      </c>
      <c r="Q172" t="s">
        <v>1239</v>
      </c>
      <c r="R172" t="s">
        <v>3912</v>
      </c>
    </row>
    <row r="173" spans="1:18" ht="29" x14ac:dyDescent="0.35">
      <c r="A173" s="73">
        <v>1091</v>
      </c>
      <c r="B173" s="73">
        <v>2505</v>
      </c>
      <c r="C173" s="73">
        <v>46</v>
      </c>
      <c r="D173" s="75" t="s">
        <v>392</v>
      </c>
      <c r="E173" s="75" t="s">
        <v>393</v>
      </c>
      <c r="F173" s="120" t="s">
        <v>1110</v>
      </c>
      <c r="G173" s="120">
        <v>4602</v>
      </c>
      <c r="H173" s="75" t="s">
        <v>1695</v>
      </c>
      <c r="I173" s="75" t="s">
        <v>2033</v>
      </c>
      <c r="J173" s="130" t="s">
        <v>2034</v>
      </c>
      <c r="K173" s="134" t="s">
        <v>2035</v>
      </c>
      <c r="M173" s="4" t="s">
        <v>3865</v>
      </c>
      <c r="Q173" t="s">
        <v>3900</v>
      </c>
      <c r="R173" t="s">
        <v>3901</v>
      </c>
    </row>
    <row r="174" spans="1:18" ht="58" x14ac:dyDescent="0.35">
      <c r="A174" s="73">
        <v>1335</v>
      </c>
      <c r="B174" s="73">
        <v>2506</v>
      </c>
      <c r="C174" s="73">
        <v>47</v>
      </c>
      <c r="D174" s="75" t="s">
        <v>396</v>
      </c>
      <c r="E174" s="75" t="s">
        <v>397</v>
      </c>
      <c r="F174" s="120" t="s">
        <v>1110</v>
      </c>
      <c r="G174" s="120">
        <v>4701</v>
      </c>
      <c r="H174" s="75" t="s">
        <v>1695</v>
      </c>
      <c r="I174" s="75" t="s">
        <v>2036</v>
      </c>
      <c r="J174" s="130" t="s">
        <v>2037</v>
      </c>
      <c r="K174" s="24"/>
      <c r="M174" s="4" t="s">
        <v>3865</v>
      </c>
      <c r="Q174" t="s">
        <v>1239</v>
      </c>
      <c r="R174" t="s">
        <v>3902</v>
      </c>
    </row>
    <row r="175" spans="1:18" ht="87" x14ac:dyDescent="0.35">
      <c r="A175" s="73">
        <v>1336</v>
      </c>
      <c r="B175" s="73">
        <v>2506</v>
      </c>
      <c r="C175" s="73">
        <v>47</v>
      </c>
      <c r="D175" s="75" t="s">
        <v>396</v>
      </c>
      <c r="E175" s="75" t="s">
        <v>397</v>
      </c>
      <c r="F175" s="120" t="s">
        <v>1110</v>
      </c>
      <c r="G175" s="120">
        <v>4702</v>
      </c>
      <c r="H175" s="75" t="s">
        <v>1695</v>
      </c>
      <c r="I175" s="75" t="s">
        <v>2038</v>
      </c>
      <c r="J175" s="130" t="s">
        <v>2039</v>
      </c>
      <c r="K175" s="24"/>
      <c r="M175" s="4" t="s">
        <v>3865</v>
      </c>
      <c r="Q175" t="s">
        <v>3900</v>
      </c>
      <c r="R175" t="s">
        <v>3901</v>
      </c>
    </row>
    <row r="176" spans="1:18" ht="64" customHeight="1" x14ac:dyDescent="0.35">
      <c r="A176" s="95">
        <v>191</v>
      </c>
      <c r="B176" s="95">
        <v>2506</v>
      </c>
      <c r="C176" s="95">
        <v>47</v>
      </c>
      <c r="D176" s="96" t="s">
        <v>396</v>
      </c>
      <c r="E176" s="96" t="s">
        <v>397</v>
      </c>
      <c r="F176" s="132" t="s">
        <v>1110</v>
      </c>
      <c r="G176" s="132">
        <v>4703</v>
      </c>
      <c r="H176" s="96" t="s">
        <v>1695</v>
      </c>
      <c r="I176" s="96" t="s">
        <v>2040</v>
      </c>
      <c r="J176" s="133" t="s">
        <v>2041</v>
      </c>
      <c r="K176" s="24"/>
      <c r="M176" s="4" t="s">
        <v>3865</v>
      </c>
      <c r="Q176" t="s">
        <v>3900</v>
      </c>
      <c r="R176" t="s">
        <v>3901</v>
      </c>
    </row>
    <row r="177" spans="1:18" ht="43.5" x14ac:dyDescent="0.35">
      <c r="A177" s="24">
        <v>1698</v>
      </c>
      <c r="B177" s="24">
        <v>2506</v>
      </c>
      <c r="C177" s="24">
        <v>47</v>
      </c>
      <c r="D177" s="48" t="s">
        <v>396</v>
      </c>
      <c r="E177" s="48" t="s">
        <v>397</v>
      </c>
      <c r="F177" s="134" t="s">
        <v>1110</v>
      </c>
      <c r="G177" s="134">
        <v>4704</v>
      </c>
      <c r="H177" s="167" t="s">
        <v>1695</v>
      </c>
      <c r="I177" s="167" t="s">
        <v>2042</v>
      </c>
      <c r="J177" s="189" t="s">
        <v>2043</v>
      </c>
      <c r="K177" s="24">
        <v>884445</v>
      </c>
      <c r="L177" s="188" t="s">
        <v>1755</v>
      </c>
      <c r="M177" s="4" t="s">
        <v>3865</v>
      </c>
      <c r="Q177" t="s">
        <v>1239</v>
      </c>
      <c r="R177" t="s">
        <v>3912</v>
      </c>
    </row>
    <row r="178" spans="1:18" ht="29" x14ac:dyDescent="0.35">
      <c r="A178" s="138">
        <v>1330</v>
      </c>
      <c r="B178" s="138">
        <v>2507</v>
      </c>
      <c r="C178" s="138">
        <v>48</v>
      </c>
      <c r="D178" s="139" t="s">
        <v>400</v>
      </c>
      <c r="E178" s="139" t="s">
        <v>401</v>
      </c>
      <c r="F178" s="140" t="s">
        <v>1110</v>
      </c>
      <c r="G178" s="140">
        <v>4801</v>
      </c>
      <c r="H178" s="139" t="s">
        <v>1695</v>
      </c>
      <c r="I178" s="139" t="s">
        <v>2044</v>
      </c>
      <c r="J178" s="190" t="s">
        <v>2045</v>
      </c>
      <c r="K178" s="24"/>
      <c r="M178" s="4" t="s">
        <v>3865</v>
      </c>
      <c r="Q178" t="s">
        <v>3900</v>
      </c>
      <c r="R178" t="s">
        <v>3901</v>
      </c>
    </row>
    <row r="179" spans="1:18" ht="3.4" customHeight="1" x14ac:dyDescent="0.35">
      <c r="A179" s="88"/>
      <c r="B179" s="88"/>
      <c r="C179" s="88"/>
      <c r="D179" s="87"/>
      <c r="E179" s="87"/>
      <c r="F179" s="90"/>
      <c r="G179" s="433"/>
      <c r="H179" s="87"/>
      <c r="I179" s="87"/>
      <c r="J179" s="87"/>
      <c r="K179" s="87"/>
      <c r="Q179" t="s">
        <v>1239</v>
      </c>
      <c r="R179" t="s">
        <v>3902</v>
      </c>
    </row>
    <row r="180" spans="1:18" ht="29" x14ac:dyDescent="0.35">
      <c r="A180" s="97">
        <v>1802</v>
      </c>
      <c r="B180" s="97">
        <v>2133</v>
      </c>
      <c r="C180" s="97" t="s">
        <v>1126</v>
      </c>
      <c r="D180" s="163" t="s">
        <v>396</v>
      </c>
      <c r="E180" s="163" t="s">
        <v>2046</v>
      </c>
      <c r="F180" s="164" t="s">
        <v>1002</v>
      </c>
      <c r="G180" s="434">
        <v>4650</v>
      </c>
      <c r="H180" s="163" t="s">
        <v>2047</v>
      </c>
      <c r="I180" s="163" t="s">
        <v>2048</v>
      </c>
      <c r="J180" s="183" t="s">
        <v>2049</v>
      </c>
      <c r="K180" s="24" t="s">
        <v>2050</v>
      </c>
      <c r="M180" s="4" t="s">
        <v>3867</v>
      </c>
      <c r="Q180" t="s">
        <v>3900</v>
      </c>
      <c r="R180" t="s">
        <v>3901</v>
      </c>
    </row>
    <row r="181" spans="1:18" ht="29" x14ac:dyDescent="0.35">
      <c r="A181" s="149"/>
      <c r="B181" s="149">
        <v>2133</v>
      </c>
      <c r="C181" s="149" t="s">
        <v>1126</v>
      </c>
      <c r="D181" s="150" t="s">
        <v>396</v>
      </c>
      <c r="E181" s="150" t="s">
        <v>413</v>
      </c>
      <c r="F181" s="151" t="s">
        <v>1002</v>
      </c>
      <c r="G181" s="151">
        <v>4981</v>
      </c>
      <c r="H181" s="150" t="s">
        <v>1695</v>
      </c>
      <c r="I181" s="150" t="s">
        <v>2051</v>
      </c>
      <c r="J181" s="191" t="s">
        <v>2052</v>
      </c>
      <c r="K181" s="24"/>
      <c r="M181" s="4" t="s">
        <v>3868</v>
      </c>
      <c r="Q181" t="s">
        <v>3900</v>
      </c>
      <c r="R181" t="s">
        <v>3901</v>
      </c>
    </row>
    <row r="182" spans="1:18" ht="29" x14ac:dyDescent="0.35">
      <c r="A182" s="24">
        <v>1591</v>
      </c>
      <c r="B182" s="24">
        <v>2133</v>
      </c>
      <c r="C182" s="24" t="s">
        <v>1126</v>
      </c>
      <c r="D182" s="48" t="s">
        <v>396</v>
      </c>
      <c r="E182" s="48" t="s">
        <v>413</v>
      </c>
      <c r="F182" s="134" t="s">
        <v>1002</v>
      </c>
      <c r="G182" s="134">
        <v>4982</v>
      </c>
      <c r="H182" s="148" t="s">
        <v>2053</v>
      </c>
      <c r="I182" s="26" t="s">
        <v>2054</v>
      </c>
      <c r="J182" s="192" t="s">
        <v>2055</v>
      </c>
      <c r="K182" s="24">
        <v>884446</v>
      </c>
      <c r="M182" s="4" t="s">
        <v>3865</v>
      </c>
      <c r="Q182" t="s">
        <v>1239</v>
      </c>
      <c r="R182" t="s">
        <v>3902</v>
      </c>
    </row>
    <row r="183" spans="1:18" ht="29" x14ac:dyDescent="0.35">
      <c r="A183" s="152"/>
      <c r="B183" s="152">
        <v>2134</v>
      </c>
      <c r="C183" s="152" t="s">
        <v>1126</v>
      </c>
      <c r="D183" s="153" t="s">
        <v>414</v>
      </c>
      <c r="E183" s="153" t="s">
        <v>415</v>
      </c>
      <c r="F183" s="154" t="s">
        <v>1002</v>
      </c>
      <c r="G183" s="154">
        <v>4985</v>
      </c>
      <c r="H183" s="153" t="s">
        <v>1695</v>
      </c>
      <c r="I183" s="153" t="s">
        <v>2056</v>
      </c>
      <c r="J183" s="193" t="s">
        <v>2057</v>
      </c>
      <c r="K183" s="24"/>
      <c r="M183" s="4" t="s">
        <v>3869</v>
      </c>
      <c r="Q183" t="s">
        <v>3900</v>
      </c>
      <c r="R183" t="s">
        <v>3901</v>
      </c>
    </row>
    <row r="184" spans="1:18" x14ac:dyDescent="0.35">
      <c r="A184" s="95">
        <v>1139</v>
      </c>
      <c r="B184" s="95">
        <v>2132</v>
      </c>
      <c r="C184" s="95" t="s">
        <v>1126</v>
      </c>
      <c r="D184" s="96" t="s">
        <v>411</v>
      </c>
      <c r="E184" s="96" t="s">
        <v>412</v>
      </c>
      <c r="F184" s="132" t="s">
        <v>1002</v>
      </c>
      <c r="G184" s="132">
        <v>4990</v>
      </c>
      <c r="H184" s="96" t="s">
        <v>1721</v>
      </c>
      <c r="I184" s="96" t="s">
        <v>2058</v>
      </c>
      <c r="J184" s="133" t="s">
        <v>2059</v>
      </c>
      <c r="K184" s="24"/>
      <c r="M184" s="4" t="s">
        <v>3865</v>
      </c>
      <c r="Q184" t="s">
        <v>1239</v>
      </c>
      <c r="R184" t="s">
        <v>3902</v>
      </c>
    </row>
    <row r="185" spans="1:18" ht="29" x14ac:dyDescent="0.35">
      <c r="A185" s="24">
        <v>1275</v>
      </c>
      <c r="B185" s="24">
        <v>2305</v>
      </c>
      <c r="C185" s="24">
        <v>50</v>
      </c>
      <c r="D185" s="59" t="s">
        <v>428</v>
      </c>
      <c r="E185" s="48" t="s">
        <v>429</v>
      </c>
      <c r="F185" s="134" t="s">
        <v>1002</v>
      </c>
      <c r="G185" s="134">
        <v>5001</v>
      </c>
      <c r="H185" s="48" t="s">
        <v>1692</v>
      </c>
      <c r="I185" s="48" t="s">
        <v>2060</v>
      </c>
      <c r="J185" s="194" t="s">
        <v>2061</v>
      </c>
      <c r="K185" s="24">
        <v>885096</v>
      </c>
      <c r="L185" s="156"/>
      <c r="M185" s="4" t="s">
        <v>3865</v>
      </c>
      <c r="Q185" t="s">
        <v>1239</v>
      </c>
      <c r="R185" t="s">
        <v>3902</v>
      </c>
    </row>
    <row r="186" spans="1:18" ht="43.5" x14ac:dyDescent="0.35">
      <c r="A186" s="161">
        <v>1721</v>
      </c>
      <c r="B186" s="161">
        <v>2305</v>
      </c>
      <c r="C186" s="161">
        <v>50</v>
      </c>
      <c r="D186" s="78" t="s">
        <v>428</v>
      </c>
      <c r="E186" s="28" t="s">
        <v>429</v>
      </c>
      <c r="F186" s="162" t="s">
        <v>1002</v>
      </c>
      <c r="G186" s="162">
        <v>5002</v>
      </c>
      <c r="H186" s="28" t="s">
        <v>2062</v>
      </c>
      <c r="I186" s="28" t="s">
        <v>2063</v>
      </c>
      <c r="J186" s="195" t="s">
        <v>2064</v>
      </c>
      <c r="K186" s="24">
        <v>885096</v>
      </c>
      <c r="M186" s="4" t="s">
        <v>3865</v>
      </c>
      <c r="Q186" t="s">
        <v>3900</v>
      </c>
      <c r="R186" t="s">
        <v>3901</v>
      </c>
    </row>
    <row r="187" spans="1:18" ht="43.5" x14ac:dyDescent="0.35">
      <c r="A187" s="24">
        <v>1695</v>
      </c>
      <c r="B187" s="24">
        <v>2148</v>
      </c>
      <c r="C187" s="24" t="s">
        <v>1161</v>
      </c>
      <c r="D187" s="48" t="s">
        <v>460</v>
      </c>
      <c r="E187" s="48" t="s">
        <v>461</v>
      </c>
      <c r="F187" s="134" t="s">
        <v>1002</v>
      </c>
      <c r="G187" s="134">
        <v>5401</v>
      </c>
      <c r="H187" s="167" t="s">
        <v>1695</v>
      </c>
      <c r="I187" s="167" t="s">
        <v>2065</v>
      </c>
      <c r="J187" s="189" t="s">
        <v>2066</v>
      </c>
      <c r="K187" s="24">
        <v>884447</v>
      </c>
      <c r="L187" s="188" t="s">
        <v>1755</v>
      </c>
      <c r="M187" s="4" t="s">
        <v>3865</v>
      </c>
      <c r="Q187" t="s">
        <v>3900</v>
      </c>
      <c r="R187" t="s">
        <v>3901</v>
      </c>
    </row>
    <row r="188" spans="1:18" ht="43.5" x14ac:dyDescent="0.35">
      <c r="A188" s="24">
        <v>1696</v>
      </c>
      <c r="B188" s="24">
        <v>2149</v>
      </c>
      <c r="C188" s="24" t="s">
        <v>1163</v>
      </c>
      <c r="D188" s="48" t="s">
        <v>463</v>
      </c>
      <c r="E188" s="48" t="s">
        <v>464</v>
      </c>
      <c r="F188" s="134" t="s">
        <v>1002</v>
      </c>
      <c r="G188" s="134">
        <v>5402</v>
      </c>
      <c r="H188" s="167" t="s">
        <v>1695</v>
      </c>
      <c r="I188" s="167" t="s">
        <v>2067</v>
      </c>
      <c r="J188" s="189" t="s">
        <v>2068</v>
      </c>
      <c r="K188" s="24">
        <v>884447</v>
      </c>
      <c r="L188" s="188" t="s">
        <v>1755</v>
      </c>
      <c r="M188" s="4" t="s">
        <v>3865</v>
      </c>
      <c r="Q188" t="s">
        <v>3900</v>
      </c>
      <c r="R188" t="s">
        <v>3901</v>
      </c>
    </row>
    <row r="189" spans="1:18" ht="43.5" x14ac:dyDescent="0.35">
      <c r="A189" s="24">
        <v>1697</v>
      </c>
      <c r="B189" s="24">
        <v>2150</v>
      </c>
      <c r="C189" s="24" t="s">
        <v>1165</v>
      </c>
      <c r="D189" s="48" t="s">
        <v>466</v>
      </c>
      <c r="E189" s="48" t="s">
        <v>467</v>
      </c>
      <c r="F189" s="134" t="s">
        <v>1002</v>
      </c>
      <c r="G189" s="134">
        <v>5403</v>
      </c>
      <c r="H189" s="167" t="s">
        <v>1695</v>
      </c>
      <c r="I189" s="167" t="s">
        <v>2069</v>
      </c>
      <c r="J189" s="189" t="s">
        <v>2070</v>
      </c>
      <c r="K189" s="24">
        <v>884447</v>
      </c>
      <c r="L189" s="188" t="s">
        <v>1755</v>
      </c>
      <c r="M189" s="4" t="s">
        <v>3865</v>
      </c>
      <c r="Q189" t="s">
        <v>3900</v>
      </c>
      <c r="R189" t="s">
        <v>3901</v>
      </c>
    </row>
    <row r="190" spans="1:18" x14ac:dyDescent="0.35">
      <c r="A190" s="145">
        <v>1446</v>
      </c>
      <c r="B190" s="145">
        <v>2154</v>
      </c>
      <c r="C190" s="145">
        <v>56</v>
      </c>
      <c r="D190" s="146" t="s">
        <v>478</v>
      </c>
      <c r="E190" s="146" t="s">
        <v>479</v>
      </c>
      <c r="F190" s="147" t="s">
        <v>1002</v>
      </c>
      <c r="G190" s="147">
        <v>5601</v>
      </c>
      <c r="H190" s="146" t="s">
        <v>2071</v>
      </c>
      <c r="I190" s="146" t="s">
        <v>2072</v>
      </c>
      <c r="J190" s="196" t="s">
        <v>2073</v>
      </c>
      <c r="K190" s="24"/>
      <c r="M190" s="4" t="s">
        <v>3865</v>
      </c>
      <c r="Q190" t="s">
        <v>3900</v>
      </c>
      <c r="R190" t="s">
        <v>3901</v>
      </c>
    </row>
    <row r="191" spans="1:18" x14ac:dyDescent="0.35">
      <c r="A191" s="24">
        <v>1699</v>
      </c>
      <c r="B191" s="24">
        <v>2154</v>
      </c>
      <c r="C191" s="24">
        <v>56</v>
      </c>
      <c r="D191" s="48" t="s">
        <v>478</v>
      </c>
      <c r="E191" s="48" t="s">
        <v>479</v>
      </c>
      <c r="F191" s="134" t="s">
        <v>1002</v>
      </c>
      <c r="G191" s="134">
        <v>5602</v>
      </c>
      <c r="H191" s="167" t="s">
        <v>1692</v>
      </c>
      <c r="I191" s="167" t="s">
        <v>2074</v>
      </c>
      <c r="J191" s="189" t="s">
        <v>2075</v>
      </c>
      <c r="K191" s="24">
        <v>884447</v>
      </c>
      <c r="L191" s="188" t="s">
        <v>1755</v>
      </c>
      <c r="M191" s="4" t="s">
        <v>3865</v>
      </c>
      <c r="Q191" t="s">
        <v>3900</v>
      </c>
      <c r="R191" t="s">
        <v>3901</v>
      </c>
    </row>
    <row r="192" spans="1:18" x14ac:dyDescent="0.35">
      <c r="A192" s="24">
        <v>1694</v>
      </c>
      <c r="B192" s="24">
        <v>2155</v>
      </c>
      <c r="C192" s="24">
        <v>57</v>
      </c>
      <c r="D192" s="48" t="s">
        <v>481</v>
      </c>
      <c r="E192" s="48" t="s">
        <v>482</v>
      </c>
      <c r="F192" s="134" t="s">
        <v>1002</v>
      </c>
      <c r="G192" s="134">
        <v>5701</v>
      </c>
      <c r="H192" s="167" t="s">
        <v>1692</v>
      </c>
      <c r="I192" s="167" t="s">
        <v>2076</v>
      </c>
      <c r="J192" s="189" t="s">
        <v>2077</v>
      </c>
      <c r="K192" s="24">
        <v>884449</v>
      </c>
      <c r="L192" s="188"/>
      <c r="M192" s="4" t="s">
        <v>3865</v>
      </c>
      <c r="Q192" t="s">
        <v>3900</v>
      </c>
      <c r="R192" t="s">
        <v>3901</v>
      </c>
    </row>
    <row r="193" spans="1:18" ht="29" x14ac:dyDescent="0.35">
      <c r="A193" s="138">
        <v>1276</v>
      </c>
      <c r="B193" s="138">
        <v>2158</v>
      </c>
      <c r="C193" s="138" t="s">
        <v>1180</v>
      </c>
      <c r="D193" s="139" t="s">
        <v>490</v>
      </c>
      <c r="E193" s="139" t="s">
        <v>491</v>
      </c>
      <c r="F193" s="140" t="s">
        <v>1002</v>
      </c>
      <c r="G193" s="140">
        <v>5801</v>
      </c>
      <c r="H193" s="139" t="s">
        <v>1692</v>
      </c>
      <c r="I193" s="139" t="s">
        <v>2078</v>
      </c>
      <c r="J193" s="190" t="s">
        <v>2079</v>
      </c>
      <c r="K193" s="24"/>
      <c r="M193" s="4" t="s">
        <v>3865</v>
      </c>
      <c r="Q193" t="s">
        <v>3900</v>
      </c>
      <c r="R193" t="s">
        <v>3901</v>
      </c>
    </row>
    <row r="194" spans="1:18" ht="29" x14ac:dyDescent="0.35">
      <c r="A194" s="343">
        <v>2858</v>
      </c>
      <c r="B194" s="24">
        <v>2287</v>
      </c>
      <c r="C194" s="24" t="s">
        <v>1180</v>
      </c>
      <c r="D194" s="78" t="s">
        <v>502</v>
      </c>
      <c r="E194" s="78" t="s">
        <v>503</v>
      </c>
      <c r="F194" s="24" t="s">
        <v>1002</v>
      </c>
      <c r="G194" s="24">
        <v>5811</v>
      </c>
      <c r="H194" s="344" t="s">
        <v>1695</v>
      </c>
      <c r="I194" s="344" t="s">
        <v>2080</v>
      </c>
      <c r="J194" s="344" t="s">
        <v>2081</v>
      </c>
      <c r="K194" s="48" t="s">
        <v>1750</v>
      </c>
      <c r="M194" s="4" t="s">
        <v>3870</v>
      </c>
      <c r="Q194" t="s">
        <v>3900</v>
      </c>
      <c r="R194" t="s">
        <v>3901</v>
      </c>
    </row>
    <row r="195" spans="1:18" ht="29" x14ac:dyDescent="0.35">
      <c r="A195" s="343">
        <v>2859</v>
      </c>
      <c r="B195" s="24">
        <v>2288</v>
      </c>
      <c r="C195" s="24" t="s">
        <v>1180</v>
      </c>
      <c r="D195" s="78" t="s">
        <v>504</v>
      </c>
      <c r="E195" s="78" t="s">
        <v>505</v>
      </c>
      <c r="F195" s="24" t="s">
        <v>1002</v>
      </c>
      <c r="G195" s="24">
        <v>5812</v>
      </c>
      <c r="H195" s="344" t="s">
        <v>1695</v>
      </c>
      <c r="I195" s="344" t="s">
        <v>2082</v>
      </c>
      <c r="J195" s="344" t="s">
        <v>2083</v>
      </c>
      <c r="K195" s="48" t="s">
        <v>1750</v>
      </c>
      <c r="M195" s="4" t="s">
        <v>3870</v>
      </c>
      <c r="Q195" t="s">
        <v>3900</v>
      </c>
      <c r="R195" t="s">
        <v>3901</v>
      </c>
    </row>
    <row r="196" spans="1:18" ht="29" x14ac:dyDescent="0.35">
      <c r="A196" s="343">
        <v>2860</v>
      </c>
      <c r="B196" s="24">
        <v>2293</v>
      </c>
      <c r="C196" s="24" t="s">
        <v>1182</v>
      </c>
      <c r="D196" s="78" t="s">
        <v>514</v>
      </c>
      <c r="E196" s="78" t="s">
        <v>515</v>
      </c>
      <c r="F196" s="24" t="s">
        <v>1002</v>
      </c>
      <c r="G196" s="24">
        <v>5821</v>
      </c>
      <c r="H196" s="344" t="s">
        <v>1695</v>
      </c>
      <c r="I196" s="344" t="s">
        <v>2084</v>
      </c>
      <c r="J196" s="344" t="s">
        <v>2085</v>
      </c>
      <c r="K196" s="48" t="s">
        <v>1750</v>
      </c>
      <c r="M196" s="4" t="s">
        <v>3870</v>
      </c>
      <c r="Q196" t="s">
        <v>1239</v>
      </c>
      <c r="R196" t="s">
        <v>3902</v>
      </c>
    </row>
    <row r="197" spans="1:18" ht="29" x14ac:dyDescent="0.35">
      <c r="A197" s="343">
        <v>2861</v>
      </c>
      <c r="B197" s="24">
        <v>2294</v>
      </c>
      <c r="C197" s="24" t="s">
        <v>1182</v>
      </c>
      <c r="D197" s="78" t="s">
        <v>516</v>
      </c>
      <c r="E197" s="78" t="s">
        <v>517</v>
      </c>
      <c r="F197" s="24" t="s">
        <v>1002</v>
      </c>
      <c r="G197" s="24">
        <v>5822</v>
      </c>
      <c r="H197" s="344" t="s">
        <v>1695</v>
      </c>
      <c r="I197" s="344" t="s">
        <v>2086</v>
      </c>
      <c r="J197" s="344" t="s">
        <v>2087</v>
      </c>
      <c r="K197" s="48" t="s">
        <v>1750</v>
      </c>
      <c r="M197" s="4" t="s">
        <v>3870</v>
      </c>
      <c r="Q197" t="s">
        <v>3900</v>
      </c>
      <c r="R197" t="s">
        <v>3901</v>
      </c>
    </row>
    <row r="198" spans="1:18" ht="29" x14ac:dyDescent="0.35">
      <c r="A198" s="343">
        <v>2862</v>
      </c>
      <c r="B198" s="24">
        <v>2299</v>
      </c>
      <c r="C198" s="24" t="s">
        <v>1184</v>
      </c>
      <c r="D198" s="78" t="s">
        <v>526</v>
      </c>
      <c r="E198" s="78" t="s">
        <v>527</v>
      </c>
      <c r="F198" s="24" t="s">
        <v>1002</v>
      </c>
      <c r="G198" s="24">
        <v>5831</v>
      </c>
      <c r="H198" s="344" t="s">
        <v>1695</v>
      </c>
      <c r="I198" s="344" t="s">
        <v>2088</v>
      </c>
      <c r="J198" s="344" t="s">
        <v>2089</v>
      </c>
      <c r="K198" s="48" t="s">
        <v>1750</v>
      </c>
      <c r="M198" s="4" t="s">
        <v>3870</v>
      </c>
      <c r="Q198" t="s">
        <v>3900</v>
      </c>
      <c r="R198" t="s">
        <v>3901</v>
      </c>
    </row>
    <row r="199" spans="1:18" ht="29" x14ac:dyDescent="0.35">
      <c r="A199" s="343">
        <v>2863</v>
      </c>
      <c r="B199" s="24">
        <v>2300</v>
      </c>
      <c r="C199" s="24" t="s">
        <v>1184</v>
      </c>
      <c r="D199" s="78" t="s">
        <v>528</v>
      </c>
      <c r="E199" s="78" t="s">
        <v>529</v>
      </c>
      <c r="F199" s="24" t="s">
        <v>1002</v>
      </c>
      <c r="G199" s="24">
        <v>5832</v>
      </c>
      <c r="H199" s="344" t="s">
        <v>1695</v>
      </c>
      <c r="I199" s="344" t="s">
        <v>2090</v>
      </c>
      <c r="J199" s="344" t="s">
        <v>2091</v>
      </c>
      <c r="K199" s="48" t="s">
        <v>1750</v>
      </c>
      <c r="M199" s="4" t="s">
        <v>3870</v>
      </c>
      <c r="Q199" t="s">
        <v>3900</v>
      </c>
      <c r="R199" t="s">
        <v>3901</v>
      </c>
    </row>
    <row r="200" spans="1:18" ht="29" x14ac:dyDescent="0.35">
      <c r="A200" s="73">
        <v>1277</v>
      </c>
      <c r="B200" s="73">
        <v>2161</v>
      </c>
      <c r="C200" s="73" t="s">
        <v>1186</v>
      </c>
      <c r="D200" s="75" t="s">
        <v>539</v>
      </c>
      <c r="E200" s="75" t="s">
        <v>540</v>
      </c>
      <c r="F200" s="120" t="s">
        <v>1002</v>
      </c>
      <c r="G200" s="120">
        <v>5901</v>
      </c>
      <c r="H200" s="75" t="s">
        <v>1692</v>
      </c>
      <c r="I200" s="75" t="s">
        <v>2092</v>
      </c>
      <c r="J200" s="130" t="s">
        <v>2093</v>
      </c>
      <c r="K200" s="24"/>
      <c r="M200" s="4" t="s">
        <v>3865</v>
      </c>
      <c r="Q200" t="s">
        <v>3900</v>
      </c>
      <c r="R200" t="s">
        <v>3901</v>
      </c>
    </row>
    <row r="201" spans="1:18" ht="43.5" x14ac:dyDescent="0.35">
      <c r="A201" s="73">
        <v>1355</v>
      </c>
      <c r="B201" s="73">
        <v>2307</v>
      </c>
      <c r="C201" s="73">
        <v>60</v>
      </c>
      <c r="D201" s="75" t="s">
        <v>557</v>
      </c>
      <c r="E201" s="75" t="s">
        <v>558</v>
      </c>
      <c r="F201" s="120" t="s">
        <v>1002</v>
      </c>
      <c r="G201" s="120">
        <v>6061</v>
      </c>
      <c r="H201" s="75" t="s">
        <v>1692</v>
      </c>
      <c r="I201" s="75" t="s">
        <v>2094</v>
      </c>
      <c r="J201" s="130" t="s">
        <v>2095</v>
      </c>
      <c r="K201" s="24"/>
      <c r="M201" s="4" t="s">
        <v>3865</v>
      </c>
      <c r="Q201" t="s">
        <v>3900</v>
      </c>
      <c r="R201" t="s">
        <v>3901</v>
      </c>
    </row>
    <row r="202" spans="1:18" ht="43.5" x14ac:dyDescent="0.35">
      <c r="A202" s="73">
        <v>1291</v>
      </c>
      <c r="B202" s="73">
        <v>2176</v>
      </c>
      <c r="C202" s="73" t="s">
        <v>1225</v>
      </c>
      <c r="D202" s="75" t="s">
        <v>590</v>
      </c>
      <c r="E202" s="75" t="s">
        <v>591</v>
      </c>
      <c r="F202" s="120" t="s">
        <v>1002</v>
      </c>
      <c r="G202" s="120">
        <v>6401</v>
      </c>
      <c r="H202" s="75" t="s">
        <v>1695</v>
      </c>
      <c r="I202" s="75" t="s">
        <v>2096</v>
      </c>
      <c r="J202" s="130" t="s">
        <v>2097</v>
      </c>
      <c r="K202" s="24"/>
      <c r="M202" s="4" t="s">
        <v>3865</v>
      </c>
      <c r="Q202" t="s">
        <v>3900</v>
      </c>
      <c r="R202" t="s">
        <v>3901</v>
      </c>
    </row>
    <row r="203" spans="1:18" ht="43.5" x14ac:dyDescent="0.35">
      <c r="A203" s="73">
        <v>1292</v>
      </c>
      <c r="B203" s="73">
        <v>2177</v>
      </c>
      <c r="C203" s="73" t="s">
        <v>1227</v>
      </c>
      <c r="D203" s="75" t="s">
        <v>593</v>
      </c>
      <c r="E203" s="75" t="s">
        <v>594</v>
      </c>
      <c r="F203" s="120" t="s">
        <v>1002</v>
      </c>
      <c r="G203" s="120">
        <v>6411</v>
      </c>
      <c r="H203" s="75" t="s">
        <v>1695</v>
      </c>
      <c r="I203" s="75" t="s">
        <v>2098</v>
      </c>
      <c r="J203" s="130" t="s">
        <v>2099</v>
      </c>
      <c r="K203" s="24"/>
      <c r="M203" s="4" t="s">
        <v>3865</v>
      </c>
      <c r="Q203" t="s">
        <v>3900</v>
      </c>
      <c r="R203" t="s">
        <v>3901</v>
      </c>
    </row>
    <row r="204" spans="1:18" ht="43.5" x14ac:dyDescent="0.35">
      <c r="A204" s="73">
        <v>1293</v>
      </c>
      <c r="B204" s="73">
        <v>2178</v>
      </c>
      <c r="C204" s="73" t="s">
        <v>1229</v>
      </c>
      <c r="D204" s="75" t="s">
        <v>596</v>
      </c>
      <c r="E204" s="75" t="s">
        <v>597</v>
      </c>
      <c r="F204" s="120" t="s">
        <v>1002</v>
      </c>
      <c r="G204" s="120">
        <v>6421</v>
      </c>
      <c r="H204" s="75" t="s">
        <v>1695</v>
      </c>
      <c r="I204" s="75" t="s">
        <v>2100</v>
      </c>
      <c r="J204" s="130" t="s">
        <v>2101</v>
      </c>
      <c r="K204" s="24"/>
      <c r="M204" s="4" t="s">
        <v>3865</v>
      </c>
      <c r="Q204" t="s">
        <v>3898</v>
      </c>
      <c r="R204" t="s">
        <v>3913</v>
      </c>
    </row>
    <row r="205" spans="1:18" ht="58" x14ac:dyDescent="0.35">
      <c r="A205" s="313">
        <v>1212</v>
      </c>
      <c r="B205" s="355">
        <v>2601</v>
      </c>
      <c r="C205" s="313">
        <v>67</v>
      </c>
      <c r="D205" s="314" t="s">
        <v>614</v>
      </c>
      <c r="E205" s="357" t="s">
        <v>894</v>
      </c>
      <c r="F205" s="320" t="s">
        <v>1315</v>
      </c>
      <c r="G205" s="320">
        <v>6701</v>
      </c>
      <c r="H205" s="314" t="s">
        <v>1689</v>
      </c>
      <c r="I205" s="342" t="s">
        <v>2102</v>
      </c>
      <c r="J205" s="345" t="s">
        <v>2103</v>
      </c>
      <c r="K205" s="353" t="s">
        <v>2104</v>
      </c>
      <c r="M205" s="4" t="s">
        <v>3872</v>
      </c>
      <c r="Q205" t="s">
        <v>3900</v>
      </c>
      <c r="R205" t="s">
        <v>3901</v>
      </c>
    </row>
    <row r="206" spans="1:18" ht="29" x14ac:dyDescent="0.35">
      <c r="A206" s="346">
        <v>1231</v>
      </c>
      <c r="B206" s="356">
        <v>2602</v>
      </c>
      <c r="C206" s="346">
        <v>67</v>
      </c>
      <c r="D206" s="347" t="s">
        <v>616</v>
      </c>
      <c r="E206" s="357" t="s">
        <v>896</v>
      </c>
      <c r="F206" s="320" t="s">
        <v>1315</v>
      </c>
      <c r="G206" s="348">
        <v>6702</v>
      </c>
      <c r="H206" s="347" t="s">
        <v>1695</v>
      </c>
      <c r="I206" s="332" t="s">
        <v>2105</v>
      </c>
      <c r="J206" s="349" t="s">
        <v>2106</v>
      </c>
      <c r="K206" s="353" t="s">
        <v>2104</v>
      </c>
      <c r="Q206" t="s">
        <v>3900</v>
      </c>
      <c r="R206" t="s">
        <v>3901</v>
      </c>
    </row>
    <row r="207" spans="1:18" ht="29" x14ac:dyDescent="0.35">
      <c r="A207" s="131">
        <v>1700</v>
      </c>
      <c r="B207" s="354">
        <v>2602</v>
      </c>
      <c r="C207" s="131">
        <v>67</v>
      </c>
      <c r="D207" s="180" t="s">
        <v>616</v>
      </c>
      <c r="E207" s="357" t="s">
        <v>896</v>
      </c>
      <c r="F207" s="320" t="s">
        <v>1315</v>
      </c>
      <c r="G207" s="184">
        <v>6703</v>
      </c>
      <c r="H207" s="350" t="s">
        <v>1695</v>
      </c>
      <c r="I207" s="359" t="s">
        <v>2107</v>
      </c>
      <c r="J207" s="351" t="s">
        <v>2108</v>
      </c>
      <c r="K207" s="353" t="s">
        <v>2104</v>
      </c>
      <c r="L207" s="188"/>
      <c r="Q207" t="s">
        <v>3900</v>
      </c>
      <c r="R207" t="s">
        <v>3901</v>
      </c>
    </row>
    <row r="208" spans="1:18" ht="58" x14ac:dyDescent="0.35">
      <c r="A208" s="131">
        <v>1213</v>
      </c>
      <c r="B208" s="354">
        <v>2603</v>
      </c>
      <c r="C208" s="131" t="s">
        <v>1245</v>
      </c>
      <c r="D208" s="180" t="s">
        <v>620</v>
      </c>
      <c r="E208" s="357" t="s">
        <v>899</v>
      </c>
      <c r="F208" s="320" t="s">
        <v>1315</v>
      </c>
      <c r="G208" s="184">
        <v>6711</v>
      </c>
      <c r="H208" s="180" t="s">
        <v>1689</v>
      </c>
      <c r="I208" s="265" t="s">
        <v>2109</v>
      </c>
      <c r="J208" s="352" t="s">
        <v>2110</v>
      </c>
      <c r="K208" s="353" t="s">
        <v>2104</v>
      </c>
      <c r="Q208" t="s">
        <v>3898</v>
      </c>
      <c r="R208" t="s">
        <v>3914</v>
      </c>
    </row>
    <row r="209" spans="1:18" ht="29" x14ac:dyDescent="0.35">
      <c r="A209" s="131">
        <v>1232</v>
      </c>
      <c r="B209" s="354">
        <v>2604</v>
      </c>
      <c r="C209" s="131" t="s">
        <v>1245</v>
      </c>
      <c r="D209" s="180" t="s">
        <v>622</v>
      </c>
      <c r="E209" s="357" t="s">
        <v>900</v>
      </c>
      <c r="F209" s="320" t="s">
        <v>1315</v>
      </c>
      <c r="G209" s="184">
        <v>6712</v>
      </c>
      <c r="H209" s="180" t="s">
        <v>1695</v>
      </c>
      <c r="I209" s="265" t="s">
        <v>2111</v>
      </c>
      <c r="J209" s="352" t="s">
        <v>2112</v>
      </c>
      <c r="K209" s="353" t="s">
        <v>2104</v>
      </c>
      <c r="Q209" t="s">
        <v>3900</v>
      </c>
      <c r="R209" t="s">
        <v>3901</v>
      </c>
    </row>
    <row r="210" spans="1:18" ht="29" x14ac:dyDescent="0.35">
      <c r="A210" s="131">
        <v>1701</v>
      </c>
      <c r="B210" s="354">
        <v>2604</v>
      </c>
      <c r="C210" s="131" t="s">
        <v>1245</v>
      </c>
      <c r="D210" s="180" t="s">
        <v>622</v>
      </c>
      <c r="E210" s="357" t="s">
        <v>900</v>
      </c>
      <c r="F210" s="320" t="s">
        <v>1315</v>
      </c>
      <c r="G210" s="184">
        <v>6713</v>
      </c>
      <c r="H210" s="350" t="s">
        <v>1695</v>
      </c>
      <c r="I210" s="359" t="s">
        <v>2113</v>
      </c>
      <c r="J210" s="351" t="s">
        <v>2114</v>
      </c>
      <c r="K210" s="353" t="s">
        <v>2104</v>
      </c>
      <c r="L210" s="188"/>
      <c r="Q210" t="s">
        <v>1239</v>
      </c>
      <c r="R210" t="s">
        <v>3902</v>
      </c>
    </row>
    <row r="211" spans="1:18" ht="58" x14ac:dyDescent="0.35">
      <c r="A211" s="131">
        <v>1214</v>
      </c>
      <c r="B211" s="354">
        <v>2605</v>
      </c>
      <c r="C211" s="131" t="s">
        <v>1248</v>
      </c>
      <c r="D211" s="180" t="s">
        <v>625</v>
      </c>
      <c r="E211" s="357" t="s">
        <v>903</v>
      </c>
      <c r="F211" s="320" t="s">
        <v>1315</v>
      </c>
      <c r="G211" s="184">
        <v>6715</v>
      </c>
      <c r="H211" s="180" t="s">
        <v>1689</v>
      </c>
      <c r="I211" s="265" t="s">
        <v>2115</v>
      </c>
      <c r="J211" s="352" t="s">
        <v>2116</v>
      </c>
      <c r="K211" s="353" t="s">
        <v>2104</v>
      </c>
      <c r="Q211" t="s">
        <v>3898</v>
      </c>
      <c r="R211" t="s">
        <v>3915</v>
      </c>
    </row>
    <row r="212" spans="1:18" ht="29" x14ac:dyDescent="0.35">
      <c r="A212" s="131">
        <v>1233</v>
      </c>
      <c r="B212" s="354">
        <v>2606</v>
      </c>
      <c r="C212" s="131" t="s">
        <v>1248</v>
      </c>
      <c r="D212" s="180" t="s">
        <v>627</v>
      </c>
      <c r="E212" s="357" t="s">
        <v>904</v>
      </c>
      <c r="F212" s="320" t="s">
        <v>1315</v>
      </c>
      <c r="G212" s="184">
        <v>6716</v>
      </c>
      <c r="H212" s="180" t="s">
        <v>1695</v>
      </c>
      <c r="I212" s="265" t="s">
        <v>2117</v>
      </c>
      <c r="J212" s="352" t="s">
        <v>2118</v>
      </c>
      <c r="K212" s="353" t="s">
        <v>2104</v>
      </c>
      <c r="Q212" t="s">
        <v>3898</v>
      </c>
      <c r="R212" t="s">
        <v>3916</v>
      </c>
    </row>
    <row r="213" spans="1:18" ht="29" x14ac:dyDescent="0.35">
      <c r="A213" s="131">
        <v>1702</v>
      </c>
      <c r="B213" s="354">
        <v>2606</v>
      </c>
      <c r="C213" s="131" t="s">
        <v>1248</v>
      </c>
      <c r="D213" s="180" t="s">
        <v>627</v>
      </c>
      <c r="E213" s="357" t="s">
        <v>904</v>
      </c>
      <c r="F213" s="320" t="s">
        <v>1315</v>
      </c>
      <c r="G213" s="184">
        <v>6717</v>
      </c>
      <c r="H213" s="350" t="s">
        <v>1695</v>
      </c>
      <c r="I213" s="359" t="s">
        <v>2119</v>
      </c>
      <c r="J213" s="351" t="s">
        <v>2120</v>
      </c>
      <c r="K213" s="353" t="s">
        <v>2104</v>
      </c>
      <c r="L213" s="188"/>
      <c r="Q213" t="s">
        <v>3900</v>
      </c>
      <c r="R213" t="s">
        <v>3901</v>
      </c>
    </row>
    <row r="214" spans="1:18" ht="58" x14ac:dyDescent="0.35">
      <c r="A214" s="131">
        <v>1215</v>
      </c>
      <c r="B214" s="354">
        <v>2607</v>
      </c>
      <c r="C214" s="131" t="s">
        <v>1251</v>
      </c>
      <c r="D214" s="180" t="s">
        <v>630</v>
      </c>
      <c r="E214" s="357" t="s">
        <v>907</v>
      </c>
      <c r="F214" s="320" t="s">
        <v>1315</v>
      </c>
      <c r="G214" s="184">
        <v>6721</v>
      </c>
      <c r="H214" s="180" t="s">
        <v>1689</v>
      </c>
      <c r="I214" s="265" t="s">
        <v>2121</v>
      </c>
      <c r="J214" s="352" t="s">
        <v>2122</v>
      </c>
      <c r="K214" s="353" t="s">
        <v>2104</v>
      </c>
      <c r="Q214" t="s">
        <v>3898</v>
      </c>
      <c r="R214" t="s">
        <v>3917</v>
      </c>
    </row>
    <row r="215" spans="1:18" ht="29" x14ac:dyDescent="0.35">
      <c r="A215" s="131">
        <v>1234</v>
      </c>
      <c r="B215" s="354">
        <v>2608</v>
      </c>
      <c r="C215" s="131" t="s">
        <v>1251</v>
      </c>
      <c r="D215" s="180" t="s">
        <v>632</v>
      </c>
      <c r="E215" s="357" t="s">
        <v>908</v>
      </c>
      <c r="F215" s="320" t="s">
        <v>1315</v>
      </c>
      <c r="G215" s="184">
        <v>6722</v>
      </c>
      <c r="H215" s="180" t="s">
        <v>1695</v>
      </c>
      <c r="I215" s="265" t="s">
        <v>2123</v>
      </c>
      <c r="J215" s="352" t="s">
        <v>2124</v>
      </c>
      <c r="K215" s="353" t="s">
        <v>2104</v>
      </c>
      <c r="Q215" t="s">
        <v>3900</v>
      </c>
      <c r="R215" t="s">
        <v>3901</v>
      </c>
    </row>
    <row r="216" spans="1:18" ht="29" x14ac:dyDescent="0.35">
      <c r="A216" s="131">
        <v>1703</v>
      </c>
      <c r="B216" s="354">
        <v>2608</v>
      </c>
      <c r="C216" s="131" t="s">
        <v>1251</v>
      </c>
      <c r="D216" s="180" t="s">
        <v>632</v>
      </c>
      <c r="E216" s="357" t="s">
        <v>908</v>
      </c>
      <c r="F216" s="320" t="s">
        <v>1315</v>
      </c>
      <c r="G216" s="184">
        <v>6723</v>
      </c>
      <c r="H216" s="350" t="s">
        <v>1695</v>
      </c>
      <c r="I216" s="359" t="s">
        <v>2125</v>
      </c>
      <c r="J216" s="351" t="s">
        <v>2126</v>
      </c>
      <c r="K216" s="353" t="s">
        <v>2104</v>
      </c>
      <c r="L216" s="188"/>
      <c r="Q216" t="s">
        <v>3900</v>
      </c>
      <c r="R216" t="s">
        <v>3901</v>
      </c>
    </row>
    <row r="217" spans="1:18" ht="58" x14ac:dyDescent="0.35">
      <c r="A217" s="131">
        <v>1216</v>
      </c>
      <c r="B217" s="354">
        <v>2609</v>
      </c>
      <c r="C217" s="131" t="s">
        <v>1254</v>
      </c>
      <c r="D217" s="180" t="s">
        <v>635</v>
      </c>
      <c r="E217" s="357" t="s">
        <v>911</v>
      </c>
      <c r="F217" s="320" t="s">
        <v>1315</v>
      </c>
      <c r="G217" s="184">
        <v>6725</v>
      </c>
      <c r="H217" s="180" t="s">
        <v>1689</v>
      </c>
      <c r="I217" s="265" t="s">
        <v>2127</v>
      </c>
      <c r="J217" s="352" t="s">
        <v>2128</v>
      </c>
      <c r="K217" s="353" t="s">
        <v>2104</v>
      </c>
      <c r="Q217" t="s">
        <v>3900</v>
      </c>
      <c r="R217" t="s">
        <v>3901</v>
      </c>
    </row>
    <row r="218" spans="1:18" ht="29" x14ac:dyDescent="0.35">
      <c r="A218" s="131">
        <v>1235</v>
      </c>
      <c r="B218" s="354">
        <v>2610</v>
      </c>
      <c r="C218" s="131" t="s">
        <v>1254</v>
      </c>
      <c r="D218" s="180" t="s">
        <v>637</v>
      </c>
      <c r="E218" s="357" t="s">
        <v>912</v>
      </c>
      <c r="F218" s="320" t="s">
        <v>1315</v>
      </c>
      <c r="G218" s="184">
        <v>6726</v>
      </c>
      <c r="H218" s="180" t="s">
        <v>1695</v>
      </c>
      <c r="I218" s="265" t="s">
        <v>2129</v>
      </c>
      <c r="J218" s="352" t="s">
        <v>2130</v>
      </c>
      <c r="K218" s="353" t="s">
        <v>2104</v>
      </c>
      <c r="Q218" t="s">
        <v>1239</v>
      </c>
      <c r="R218" t="s">
        <v>3912</v>
      </c>
    </row>
    <row r="219" spans="1:18" ht="29" x14ac:dyDescent="0.35">
      <c r="A219" s="131">
        <v>1704</v>
      </c>
      <c r="B219" s="354">
        <v>2610</v>
      </c>
      <c r="C219" s="131" t="s">
        <v>1254</v>
      </c>
      <c r="D219" s="180" t="s">
        <v>637</v>
      </c>
      <c r="E219" s="357" t="s">
        <v>912</v>
      </c>
      <c r="F219" s="320" t="s">
        <v>1315</v>
      </c>
      <c r="G219" s="184">
        <v>6727</v>
      </c>
      <c r="H219" s="350" t="s">
        <v>1695</v>
      </c>
      <c r="I219" s="359" t="s">
        <v>2131</v>
      </c>
      <c r="J219" s="351" t="s">
        <v>2132</v>
      </c>
      <c r="K219" s="353" t="s">
        <v>2104</v>
      </c>
      <c r="L219" s="188"/>
      <c r="Q219" t="s">
        <v>1239</v>
      </c>
      <c r="R219" t="s">
        <v>3912</v>
      </c>
    </row>
    <row r="220" spans="1:18" ht="58" x14ac:dyDescent="0.35">
      <c r="A220" s="131">
        <v>1217</v>
      </c>
      <c r="B220" s="354">
        <v>2611</v>
      </c>
      <c r="C220" s="131" t="s">
        <v>1257</v>
      </c>
      <c r="D220" s="180" t="s">
        <v>640</v>
      </c>
      <c r="E220" s="357" t="s">
        <v>915</v>
      </c>
      <c r="F220" s="320" t="s">
        <v>1315</v>
      </c>
      <c r="G220" s="184">
        <v>6731</v>
      </c>
      <c r="H220" s="180" t="s">
        <v>1689</v>
      </c>
      <c r="I220" s="265" t="s">
        <v>2133</v>
      </c>
      <c r="J220" s="352" t="s">
        <v>2134</v>
      </c>
      <c r="K220" s="353" t="s">
        <v>2104</v>
      </c>
      <c r="Q220" t="s">
        <v>1239</v>
      </c>
      <c r="R220" t="s">
        <v>3912</v>
      </c>
    </row>
    <row r="221" spans="1:18" ht="29" x14ac:dyDescent="0.35">
      <c r="A221" s="131">
        <v>1236</v>
      </c>
      <c r="B221" s="354">
        <v>2612</v>
      </c>
      <c r="C221" s="131" t="s">
        <v>1257</v>
      </c>
      <c r="D221" s="180" t="s">
        <v>642</v>
      </c>
      <c r="E221" s="357" t="s">
        <v>916</v>
      </c>
      <c r="F221" s="320" t="s">
        <v>1315</v>
      </c>
      <c r="G221" s="184">
        <v>6732</v>
      </c>
      <c r="H221" s="180" t="s">
        <v>1695</v>
      </c>
      <c r="I221" s="265" t="s">
        <v>2135</v>
      </c>
      <c r="J221" s="352" t="s">
        <v>2136</v>
      </c>
      <c r="K221" s="353" t="s">
        <v>2104</v>
      </c>
      <c r="Q221" t="s">
        <v>3898</v>
      </c>
      <c r="R221" t="s">
        <v>3918</v>
      </c>
    </row>
    <row r="222" spans="1:18" ht="29" x14ac:dyDescent="0.35">
      <c r="A222" s="131">
        <v>1705</v>
      </c>
      <c r="B222" s="354">
        <v>2612</v>
      </c>
      <c r="C222" s="131" t="s">
        <v>1257</v>
      </c>
      <c r="D222" s="180" t="s">
        <v>642</v>
      </c>
      <c r="E222" s="357" t="s">
        <v>916</v>
      </c>
      <c r="F222" s="320" t="s">
        <v>1315</v>
      </c>
      <c r="G222" s="184">
        <v>6733</v>
      </c>
      <c r="H222" s="350" t="s">
        <v>1695</v>
      </c>
      <c r="I222" s="359" t="s">
        <v>2137</v>
      </c>
      <c r="J222" s="351" t="s">
        <v>2138</v>
      </c>
      <c r="K222" s="353" t="s">
        <v>2104</v>
      </c>
      <c r="L222" s="188"/>
      <c r="Q222" t="s">
        <v>3898</v>
      </c>
      <c r="R222" t="s">
        <v>3919</v>
      </c>
    </row>
    <row r="223" spans="1:18" ht="58" x14ac:dyDescent="0.35">
      <c r="A223" s="131">
        <v>1218</v>
      </c>
      <c r="B223" s="354">
        <v>2613</v>
      </c>
      <c r="C223" s="131" t="s">
        <v>1260</v>
      </c>
      <c r="D223" s="180" t="s">
        <v>645</v>
      </c>
      <c r="E223" s="357" t="s">
        <v>919</v>
      </c>
      <c r="F223" s="320" t="s">
        <v>1315</v>
      </c>
      <c r="G223" s="184">
        <v>6735</v>
      </c>
      <c r="H223" s="180" t="s">
        <v>1689</v>
      </c>
      <c r="I223" s="265" t="s">
        <v>2139</v>
      </c>
      <c r="J223" s="352" t="s">
        <v>2140</v>
      </c>
      <c r="K223" s="353" t="s">
        <v>2104</v>
      </c>
      <c r="Q223" t="s">
        <v>3898</v>
      </c>
      <c r="R223" t="s">
        <v>3920</v>
      </c>
    </row>
    <row r="224" spans="1:18" ht="29" x14ac:dyDescent="0.35">
      <c r="A224" s="131">
        <v>1237</v>
      </c>
      <c r="B224" s="354">
        <v>2614</v>
      </c>
      <c r="C224" s="131" t="s">
        <v>1260</v>
      </c>
      <c r="D224" s="180" t="s">
        <v>647</v>
      </c>
      <c r="E224" s="357" t="s">
        <v>920</v>
      </c>
      <c r="F224" s="320" t="s">
        <v>1315</v>
      </c>
      <c r="G224" s="184">
        <v>6736</v>
      </c>
      <c r="H224" s="180" t="s">
        <v>1695</v>
      </c>
      <c r="I224" s="265" t="s">
        <v>2141</v>
      </c>
      <c r="J224" s="352" t="s">
        <v>2142</v>
      </c>
      <c r="K224" s="353" t="s">
        <v>2104</v>
      </c>
      <c r="Q224" t="s">
        <v>3900</v>
      </c>
      <c r="R224" t="s">
        <v>3901</v>
      </c>
    </row>
    <row r="225" spans="1:18" ht="29" x14ac:dyDescent="0.35">
      <c r="A225" s="131">
        <v>1706</v>
      </c>
      <c r="B225" s="354">
        <v>2614</v>
      </c>
      <c r="C225" s="131" t="s">
        <v>1260</v>
      </c>
      <c r="D225" s="180" t="s">
        <v>647</v>
      </c>
      <c r="E225" s="357" t="s">
        <v>920</v>
      </c>
      <c r="F225" s="320" t="s">
        <v>1315</v>
      </c>
      <c r="G225" s="184">
        <v>6737</v>
      </c>
      <c r="H225" s="350" t="s">
        <v>1695</v>
      </c>
      <c r="I225" s="359" t="s">
        <v>2143</v>
      </c>
      <c r="J225" s="351" t="s">
        <v>2144</v>
      </c>
      <c r="K225" s="353" t="s">
        <v>2104</v>
      </c>
      <c r="L225" s="188"/>
      <c r="Q225" t="s">
        <v>3900</v>
      </c>
      <c r="R225" t="s">
        <v>3901</v>
      </c>
    </row>
    <row r="226" spans="1:18" ht="58" x14ac:dyDescent="0.35">
      <c r="A226" s="131">
        <v>1219</v>
      </c>
      <c r="B226" s="354">
        <v>2615</v>
      </c>
      <c r="C226" s="131" t="s">
        <v>1263</v>
      </c>
      <c r="D226" s="180" t="s">
        <v>650</v>
      </c>
      <c r="E226" s="357" t="s">
        <v>923</v>
      </c>
      <c r="F226" s="320" t="s">
        <v>1315</v>
      </c>
      <c r="G226" s="184">
        <v>6741</v>
      </c>
      <c r="H226" s="180" t="s">
        <v>1689</v>
      </c>
      <c r="I226" s="265" t="s">
        <v>2145</v>
      </c>
      <c r="J226" s="352" t="s">
        <v>2146</v>
      </c>
      <c r="K226" s="353" t="s">
        <v>2104</v>
      </c>
      <c r="Q226" t="s">
        <v>3900</v>
      </c>
      <c r="R226" t="s">
        <v>3901</v>
      </c>
    </row>
    <row r="227" spans="1:18" ht="29" x14ac:dyDescent="0.35">
      <c r="A227" s="131">
        <v>1238</v>
      </c>
      <c r="B227" s="354">
        <v>2616</v>
      </c>
      <c r="C227" s="131" t="s">
        <v>1263</v>
      </c>
      <c r="D227" s="180" t="s">
        <v>652</v>
      </c>
      <c r="E227" s="357" t="s">
        <v>924</v>
      </c>
      <c r="F227" s="320" t="s">
        <v>1315</v>
      </c>
      <c r="G227" s="184">
        <v>6742</v>
      </c>
      <c r="H227" s="180" t="s">
        <v>1695</v>
      </c>
      <c r="I227" s="265" t="s">
        <v>2147</v>
      </c>
      <c r="J227" s="352" t="s">
        <v>2148</v>
      </c>
      <c r="K227" s="353" t="s">
        <v>2104</v>
      </c>
      <c r="Q227" t="s">
        <v>1239</v>
      </c>
      <c r="R227" t="s">
        <v>3902</v>
      </c>
    </row>
    <row r="228" spans="1:18" ht="29" x14ac:dyDescent="0.35">
      <c r="A228" s="131">
        <v>1707</v>
      </c>
      <c r="B228" s="354">
        <v>2616</v>
      </c>
      <c r="C228" s="131" t="s">
        <v>1263</v>
      </c>
      <c r="D228" s="180" t="s">
        <v>652</v>
      </c>
      <c r="E228" s="357" t="s">
        <v>924</v>
      </c>
      <c r="F228" s="320" t="s">
        <v>1315</v>
      </c>
      <c r="G228" s="184">
        <v>6743</v>
      </c>
      <c r="H228" s="350" t="s">
        <v>1695</v>
      </c>
      <c r="I228" s="359" t="s">
        <v>2149</v>
      </c>
      <c r="J228" s="351" t="s">
        <v>2150</v>
      </c>
      <c r="K228" s="353" t="s">
        <v>2104</v>
      </c>
      <c r="L228" s="188"/>
      <c r="Q228" t="s">
        <v>3900</v>
      </c>
      <c r="R228" t="s">
        <v>3901</v>
      </c>
    </row>
    <row r="229" spans="1:18" ht="58" x14ac:dyDescent="0.35">
      <c r="A229" s="131">
        <v>1220</v>
      </c>
      <c r="B229" s="354">
        <v>2617</v>
      </c>
      <c r="C229" s="131" t="s">
        <v>1266</v>
      </c>
      <c r="D229" s="180" t="s">
        <v>655</v>
      </c>
      <c r="E229" s="357" t="s">
        <v>927</v>
      </c>
      <c r="F229" s="320" t="s">
        <v>1315</v>
      </c>
      <c r="G229" s="184">
        <v>6745</v>
      </c>
      <c r="H229" s="350" t="s">
        <v>1689</v>
      </c>
      <c r="I229" s="265" t="s">
        <v>2151</v>
      </c>
      <c r="J229" s="351" t="s">
        <v>2152</v>
      </c>
      <c r="K229" s="353" t="s">
        <v>2104</v>
      </c>
      <c r="L229" s="188"/>
      <c r="Q229" t="s">
        <v>3898</v>
      </c>
      <c r="R229" t="s">
        <v>3921</v>
      </c>
    </row>
    <row r="230" spans="1:18" ht="29" x14ac:dyDescent="0.35">
      <c r="A230" s="313">
        <v>1239</v>
      </c>
      <c r="B230" s="355">
        <v>2618</v>
      </c>
      <c r="C230" s="313" t="s">
        <v>1266</v>
      </c>
      <c r="D230" s="314" t="s">
        <v>657</v>
      </c>
      <c r="E230" s="357" t="s">
        <v>928</v>
      </c>
      <c r="F230" s="320" t="s">
        <v>1315</v>
      </c>
      <c r="G230" s="320">
        <v>6746</v>
      </c>
      <c r="H230" s="314" t="s">
        <v>1695</v>
      </c>
      <c r="I230" s="265" t="s">
        <v>2153</v>
      </c>
      <c r="J230" s="345" t="s">
        <v>2154</v>
      </c>
      <c r="K230" s="353" t="s">
        <v>2104</v>
      </c>
      <c r="Q230" t="s">
        <v>3898</v>
      </c>
      <c r="R230" t="s">
        <v>3922</v>
      </c>
    </row>
    <row r="231" spans="1:18" ht="29" x14ac:dyDescent="0.35">
      <c r="A231" s="131">
        <v>1708</v>
      </c>
      <c r="B231" s="354">
        <v>2618</v>
      </c>
      <c r="C231" s="131" t="s">
        <v>1266</v>
      </c>
      <c r="D231" s="180" t="s">
        <v>657</v>
      </c>
      <c r="E231" s="357" t="s">
        <v>928</v>
      </c>
      <c r="F231" s="320" t="s">
        <v>1315</v>
      </c>
      <c r="G231" s="184">
        <v>6747</v>
      </c>
      <c r="H231" s="350" t="s">
        <v>1695</v>
      </c>
      <c r="I231" s="359" t="s">
        <v>2155</v>
      </c>
      <c r="J231" s="351" t="s">
        <v>2156</v>
      </c>
      <c r="K231" s="353" t="s">
        <v>2104</v>
      </c>
      <c r="L231" s="188"/>
      <c r="Q231" t="s">
        <v>3898</v>
      </c>
      <c r="R231" t="s">
        <v>3923</v>
      </c>
    </row>
    <row r="232" spans="1:18" ht="58" x14ac:dyDescent="0.35">
      <c r="A232" s="313">
        <v>1221</v>
      </c>
      <c r="B232" s="355">
        <v>2619</v>
      </c>
      <c r="C232" s="313" t="s">
        <v>1269</v>
      </c>
      <c r="D232" s="314" t="s">
        <v>660</v>
      </c>
      <c r="E232" s="357" t="s">
        <v>931</v>
      </c>
      <c r="F232" s="320" t="s">
        <v>1315</v>
      </c>
      <c r="G232" s="320">
        <v>6751</v>
      </c>
      <c r="H232" s="314" t="s">
        <v>1689</v>
      </c>
      <c r="I232" s="265" t="s">
        <v>2157</v>
      </c>
      <c r="J232" s="345" t="s">
        <v>2158</v>
      </c>
      <c r="K232" s="353" t="s">
        <v>2104</v>
      </c>
      <c r="Q232" t="s">
        <v>3898</v>
      </c>
      <c r="R232" t="s">
        <v>3924</v>
      </c>
    </row>
    <row r="233" spans="1:18" ht="29" x14ac:dyDescent="0.35">
      <c r="A233" s="313">
        <v>1240</v>
      </c>
      <c r="B233" s="355">
        <v>2620</v>
      </c>
      <c r="C233" s="313" t="s">
        <v>1269</v>
      </c>
      <c r="D233" s="314" t="s">
        <v>663</v>
      </c>
      <c r="E233" s="357" t="s">
        <v>932</v>
      </c>
      <c r="F233" s="320" t="s">
        <v>1315</v>
      </c>
      <c r="G233" s="320">
        <v>6752</v>
      </c>
      <c r="H233" s="314" t="s">
        <v>1695</v>
      </c>
      <c r="I233" s="265" t="s">
        <v>2159</v>
      </c>
      <c r="J233" s="345" t="s">
        <v>2160</v>
      </c>
      <c r="K233" s="353" t="s">
        <v>2104</v>
      </c>
      <c r="Q233" t="s">
        <v>3898</v>
      </c>
      <c r="R233" t="s">
        <v>3925</v>
      </c>
    </row>
    <row r="234" spans="1:18" ht="29" x14ac:dyDescent="0.35">
      <c r="A234" s="131">
        <v>1709</v>
      </c>
      <c r="B234" s="354">
        <v>2620</v>
      </c>
      <c r="C234" s="131" t="s">
        <v>1269</v>
      </c>
      <c r="D234" s="180" t="s">
        <v>663</v>
      </c>
      <c r="E234" s="357" t="s">
        <v>932</v>
      </c>
      <c r="F234" s="320" t="s">
        <v>1315</v>
      </c>
      <c r="G234" s="184">
        <v>6753</v>
      </c>
      <c r="H234" s="350" t="s">
        <v>1695</v>
      </c>
      <c r="I234" s="359" t="s">
        <v>2161</v>
      </c>
      <c r="J234" s="351" t="s">
        <v>2162</v>
      </c>
      <c r="K234" s="353" t="s">
        <v>2104</v>
      </c>
      <c r="L234" s="188"/>
      <c r="Q234" t="s">
        <v>3898</v>
      </c>
      <c r="R234" t="s">
        <v>3926</v>
      </c>
    </row>
    <row r="235" spans="1:18" ht="58" x14ac:dyDescent="0.35">
      <c r="A235" s="313">
        <v>1222</v>
      </c>
      <c r="B235" s="355">
        <v>2621</v>
      </c>
      <c r="C235" s="313" t="s">
        <v>1272</v>
      </c>
      <c r="D235" s="314" t="s">
        <v>667</v>
      </c>
      <c r="E235" s="357" t="s">
        <v>935</v>
      </c>
      <c r="F235" s="320" t="s">
        <v>1315</v>
      </c>
      <c r="G235" s="320">
        <v>6755</v>
      </c>
      <c r="H235" s="314" t="s">
        <v>1689</v>
      </c>
      <c r="I235" s="265" t="s">
        <v>2163</v>
      </c>
      <c r="J235" s="345" t="s">
        <v>2164</v>
      </c>
      <c r="K235" s="353" t="s">
        <v>2104</v>
      </c>
      <c r="Q235" t="s">
        <v>3900</v>
      </c>
      <c r="R235" t="s">
        <v>3901</v>
      </c>
    </row>
    <row r="236" spans="1:18" ht="29" x14ac:dyDescent="0.35">
      <c r="A236" s="313">
        <v>1241</v>
      </c>
      <c r="B236" s="355">
        <v>2622</v>
      </c>
      <c r="C236" s="313" t="s">
        <v>1272</v>
      </c>
      <c r="D236" s="314" t="s">
        <v>670</v>
      </c>
      <c r="E236" s="357" t="s">
        <v>936</v>
      </c>
      <c r="F236" s="320" t="s">
        <v>1315</v>
      </c>
      <c r="G236" s="320">
        <v>6756</v>
      </c>
      <c r="H236" s="314" t="s">
        <v>1695</v>
      </c>
      <c r="I236" s="265" t="s">
        <v>2165</v>
      </c>
      <c r="J236" s="345" t="s">
        <v>2166</v>
      </c>
      <c r="K236" s="353" t="s">
        <v>2104</v>
      </c>
      <c r="Q236" t="s">
        <v>1239</v>
      </c>
      <c r="R236" t="s">
        <v>3902</v>
      </c>
    </row>
    <row r="237" spans="1:18" ht="29" x14ac:dyDescent="0.35">
      <c r="A237" s="131">
        <v>1710</v>
      </c>
      <c r="B237" s="354">
        <v>2622</v>
      </c>
      <c r="C237" s="131" t="s">
        <v>1272</v>
      </c>
      <c r="D237" s="180" t="s">
        <v>670</v>
      </c>
      <c r="E237" s="357" t="s">
        <v>936</v>
      </c>
      <c r="F237" s="320" t="s">
        <v>1315</v>
      </c>
      <c r="G237" s="184">
        <v>6757</v>
      </c>
      <c r="H237" s="350" t="s">
        <v>1695</v>
      </c>
      <c r="I237" s="359" t="s">
        <v>2167</v>
      </c>
      <c r="J237" s="351" t="s">
        <v>2168</v>
      </c>
      <c r="K237" s="342" t="s">
        <v>2104</v>
      </c>
      <c r="L237" s="188"/>
      <c r="Q237" t="s">
        <v>3898</v>
      </c>
      <c r="R237" t="s">
        <v>3927</v>
      </c>
    </row>
    <row r="238" spans="1:18" ht="58" x14ac:dyDescent="0.35">
      <c r="A238" s="313">
        <v>1223</v>
      </c>
      <c r="B238" s="355">
        <v>2623</v>
      </c>
      <c r="C238" s="313" t="s">
        <v>1275</v>
      </c>
      <c r="D238" s="314" t="s">
        <v>674</v>
      </c>
      <c r="E238" s="357" t="s">
        <v>939</v>
      </c>
      <c r="F238" s="320" t="s">
        <v>1315</v>
      </c>
      <c r="G238" s="320">
        <v>6761</v>
      </c>
      <c r="H238" s="314" t="s">
        <v>1689</v>
      </c>
      <c r="I238" s="265" t="s">
        <v>2169</v>
      </c>
      <c r="J238" s="345" t="s">
        <v>2170</v>
      </c>
      <c r="K238" s="342" t="s">
        <v>2104</v>
      </c>
      <c r="Q238" t="s">
        <v>1239</v>
      </c>
      <c r="R238" t="s">
        <v>3902</v>
      </c>
    </row>
    <row r="239" spans="1:18" ht="29" x14ac:dyDescent="0.35">
      <c r="A239" s="313">
        <v>1242</v>
      </c>
      <c r="B239" s="355">
        <v>2624</v>
      </c>
      <c r="C239" s="313" t="s">
        <v>1275</v>
      </c>
      <c r="D239" s="314" t="s">
        <v>677</v>
      </c>
      <c r="E239" s="357" t="s">
        <v>940</v>
      </c>
      <c r="F239" s="320" t="s">
        <v>1315</v>
      </c>
      <c r="G239" s="320">
        <v>6762</v>
      </c>
      <c r="H239" s="314" t="s">
        <v>1695</v>
      </c>
      <c r="I239" s="265" t="s">
        <v>2171</v>
      </c>
      <c r="J239" s="345" t="s">
        <v>2172</v>
      </c>
      <c r="K239" s="342" t="s">
        <v>2104</v>
      </c>
      <c r="Q239" t="s">
        <v>1239</v>
      </c>
      <c r="R239" t="s">
        <v>3902</v>
      </c>
    </row>
    <row r="240" spans="1:18" ht="29" x14ac:dyDescent="0.35">
      <c r="A240" s="131">
        <v>1711</v>
      </c>
      <c r="B240" s="354">
        <v>2624</v>
      </c>
      <c r="C240" s="131" t="s">
        <v>1275</v>
      </c>
      <c r="D240" s="180" t="s">
        <v>677</v>
      </c>
      <c r="E240" s="357" t="s">
        <v>940</v>
      </c>
      <c r="F240" s="320" t="s">
        <v>1315</v>
      </c>
      <c r="G240" s="184">
        <v>6763</v>
      </c>
      <c r="H240" s="350" t="s">
        <v>1695</v>
      </c>
      <c r="I240" s="359" t="s">
        <v>2173</v>
      </c>
      <c r="J240" s="351" t="s">
        <v>2174</v>
      </c>
      <c r="K240" s="342" t="s">
        <v>2104</v>
      </c>
      <c r="L240" s="188"/>
      <c r="Q240" t="s">
        <v>3900</v>
      </c>
      <c r="R240" t="s">
        <v>3901</v>
      </c>
    </row>
    <row r="241" spans="1:18" ht="58" x14ac:dyDescent="0.35">
      <c r="A241" s="313">
        <v>1224</v>
      </c>
      <c r="B241" s="355">
        <v>2625</v>
      </c>
      <c r="C241" s="313" t="s">
        <v>1278</v>
      </c>
      <c r="D241" s="314" t="s">
        <v>681</v>
      </c>
      <c r="E241" s="357" t="s">
        <v>943</v>
      </c>
      <c r="F241" s="320" t="s">
        <v>1315</v>
      </c>
      <c r="G241" s="320">
        <v>6765</v>
      </c>
      <c r="H241" s="314" t="s">
        <v>1689</v>
      </c>
      <c r="I241" s="265" t="s">
        <v>2175</v>
      </c>
      <c r="J241" s="345" t="s">
        <v>2176</v>
      </c>
      <c r="K241" s="342" t="s">
        <v>2104</v>
      </c>
      <c r="Q241" t="s">
        <v>3900</v>
      </c>
      <c r="R241" t="s">
        <v>3901</v>
      </c>
    </row>
    <row r="242" spans="1:18" ht="29" x14ac:dyDescent="0.35">
      <c r="A242" s="313">
        <v>1243</v>
      </c>
      <c r="B242" s="355">
        <v>2626</v>
      </c>
      <c r="C242" s="313" t="s">
        <v>1278</v>
      </c>
      <c r="D242" s="314" t="s">
        <v>684</v>
      </c>
      <c r="E242" s="357" t="s">
        <v>944</v>
      </c>
      <c r="F242" s="320" t="s">
        <v>1315</v>
      </c>
      <c r="G242" s="320">
        <v>6766</v>
      </c>
      <c r="H242" s="314" t="s">
        <v>1695</v>
      </c>
      <c r="I242" s="265" t="s">
        <v>2177</v>
      </c>
      <c r="J242" s="345" t="s">
        <v>2178</v>
      </c>
      <c r="K242" s="342" t="s">
        <v>2104</v>
      </c>
      <c r="Q242" t="s">
        <v>3900</v>
      </c>
      <c r="R242" t="s">
        <v>3901</v>
      </c>
    </row>
    <row r="243" spans="1:18" ht="29" x14ac:dyDescent="0.35">
      <c r="A243" s="131">
        <v>1712</v>
      </c>
      <c r="B243" s="354">
        <v>2626</v>
      </c>
      <c r="C243" s="131" t="s">
        <v>1278</v>
      </c>
      <c r="D243" s="180" t="s">
        <v>684</v>
      </c>
      <c r="E243" s="357" t="s">
        <v>944</v>
      </c>
      <c r="F243" s="320" t="s">
        <v>1315</v>
      </c>
      <c r="G243" s="184">
        <v>6767</v>
      </c>
      <c r="H243" s="350" t="s">
        <v>1695</v>
      </c>
      <c r="I243" s="359" t="s">
        <v>2179</v>
      </c>
      <c r="J243" s="351" t="s">
        <v>2180</v>
      </c>
      <c r="K243" s="342" t="s">
        <v>2104</v>
      </c>
      <c r="L243" s="188"/>
      <c r="Q243" t="s">
        <v>3898</v>
      </c>
      <c r="R243" t="s">
        <v>3928</v>
      </c>
    </row>
    <row r="244" spans="1:18" ht="58" x14ac:dyDescent="0.35">
      <c r="A244" s="313">
        <v>1225</v>
      </c>
      <c r="B244" s="355">
        <v>2627</v>
      </c>
      <c r="C244" s="313" t="s">
        <v>1281</v>
      </c>
      <c r="D244" s="314" t="s">
        <v>688</v>
      </c>
      <c r="E244" s="357" t="s">
        <v>947</v>
      </c>
      <c r="F244" s="320" t="s">
        <v>1315</v>
      </c>
      <c r="G244" s="320">
        <v>6771</v>
      </c>
      <c r="H244" s="314" t="s">
        <v>1689</v>
      </c>
      <c r="I244" s="265" t="s">
        <v>2181</v>
      </c>
      <c r="J244" s="345" t="s">
        <v>2182</v>
      </c>
      <c r="K244" s="342" t="s">
        <v>2104</v>
      </c>
      <c r="Q244" t="s">
        <v>3898</v>
      </c>
      <c r="R244" t="s">
        <v>3929</v>
      </c>
    </row>
    <row r="245" spans="1:18" ht="29" x14ac:dyDescent="0.35">
      <c r="A245" s="313">
        <v>1244</v>
      </c>
      <c r="B245" s="355">
        <v>2628</v>
      </c>
      <c r="C245" s="313" t="s">
        <v>1281</v>
      </c>
      <c r="D245" s="314" t="s">
        <v>2183</v>
      </c>
      <c r="E245" s="357" t="s">
        <v>948</v>
      </c>
      <c r="F245" s="320" t="s">
        <v>1315</v>
      </c>
      <c r="G245" s="320">
        <v>6772</v>
      </c>
      <c r="H245" s="314" t="s">
        <v>1695</v>
      </c>
      <c r="I245" s="265" t="s">
        <v>2184</v>
      </c>
      <c r="J245" s="345" t="s">
        <v>2185</v>
      </c>
      <c r="K245" s="342" t="s">
        <v>2104</v>
      </c>
      <c r="Q245" t="s">
        <v>3898</v>
      </c>
      <c r="R245" t="s">
        <v>3930</v>
      </c>
    </row>
    <row r="246" spans="1:18" ht="29" x14ac:dyDescent="0.35">
      <c r="A246" s="131">
        <v>1713</v>
      </c>
      <c r="B246" s="354">
        <v>2628</v>
      </c>
      <c r="C246" s="131" t="s">
        <v>1281</v>
      </c>
      <c r="D246" s="180" t="s">
        <v>2183</v>
      </c>
      <c r="E246" s="357" t="s">
        <v>948</v>
      </c>
      <c r="F246" s="320" t="s">
        <v>1315</v>
      </c>
      <c r="G246" s="184">
        <v>6773</v>
      </c>
      <c r="H246" s="350" t="s">
        <v>1695</v>
      </c>
      <c r="I246" s="359" t="s">
        <v>2186</v>
      </c>
      <c r="J246" s="351" t="s">
        <v>2187</v>
      </c>
      <c r="K246" s="342" t="s">
        <v>2104</v>
      </c>
      <c r="L246" s="188"/>
      <c r="Q246" t="s">
        <v>3898</v>
      </c>
      <c r="R246" t="s">
        <v>3931</v>
      </c>
    </row>
    <row r="247" spans="1:18" ht="58" x14ac:dyDescent="0.35">
      <c r="A247" s="313">
        <v>1226</v>
      </c>
      <c r="B247" s="355">
        <v>2629</v>
      </c>
      <c r="C247" s="313" t="s">
        <v>1284</v>
      </c>
      <c r="D247" s="314" t="s">
        <v>694</v>
      </c>
      <c r="E247" s="357" t="s">
        <v>951</v>
      </c>
      <c r="F247" s="320" t="s">
        <v>1315</v>
      </c>
      <c r="G247" s="320">
        <v>6775</v>
      </c>
      <c r="H247" s="314" t="s">
        <v>1689</v>
      </c>
      <c r="I247" s="265" t="s">
        <v>2188</v>
      </c>
      <c r="J247" s="345" t="s">
        <v>2189</v>
      </c>
      <c r="K247" s="342" t="s">
        <v>2104</v>
      </c>
      <c r="Q247" t="s">
        <v>3898</v>
      </c>
      <c r="R247" t="s">
        <v>3932</v>
      </c>
    </row>
    <row r="248" spans="1:18" ht="29" x14ac:dyDescent="0.35">
      <c r="A248" s="313">
        <v>1245</v>
      </c>
      <c r="B248" s="355">
        <v>2630</v>
      </c>
      <c r="C248" s="313" t="s">
        <v>1284</v>
      </c>
      <c r="D248" s="314" t="s">
        <v>697</v>
      </c>
      <c r="E248" s="357" t="s">
        <v>952</v>
      </c>
      <c r="F248" s="320" t="s">
        <v>1315</v>
      </c>
      <c r="G248" s="320">
        <v>6776</v>
      </c>
      <c r="H248" s="314" t="s">
        <v>1695</v>
      </c>
      <c r="I248" s="265" t="s">
        <v>2190</v>
      </c>
      <c r="J248" s="345" t="s">
        <v>2191</v>
      </c>
      <c r="K248" s="342" t="s">
        <v>2104</v>
      </c>
      <c r="Q248" t="s">
        <v>3898</v>
      </c>
      <c r="R248" t="s">
        <v>3933</v>
      </c>
    </row>
    <row r="249" spans="1:18" ht="29" x14ac:dyDescent="0.35">
      <c r="A249" s="131">
        <v>1714</v>
      </c>
      <c r="B249" s="354">
        <v>2630</v>
      </c>
      <c r="C249" s="131" t="s">
        <v>1284</v>
      </c>
      <c r="D249" s="180" t="s">
        <v>697</v>
      </c>
      <c r="E249" s="357" t="s">
        <v>952</v>
      </c>
      <c r="F249" s="320" t="s">
        <v>1315</v>
      </c>
      <c r="G249" s="184">
        <v>6777</v>
      </c>
      <c r="H249" s="350" t="s">
        <v>1695</v>
      </c>
      <c r="I249" s="359" t="s">
        <v>2192</v>
      </c>
      <c r="J249" s="351" t="s">
        <v>2193</v>
      </c>
      <c r="K249" s="342" t="s">
        <v>2104</v>
      </c>
      <c r="L249" s="188"/>
      <c r="Q249" t="s">
        <v>3898</v>
      </c>
      <c r="R249" t="s">
        <v>3934</v>
      </c>
    </row>
    <row r="250" spans="1:18" ht="58" x14ac:dyDescent="0.35">
      <c r="A250" s="313">
        <v>1227</v>
      </c>
      <c r="B250" s="355">
        <v>2631</v>
      </c>
      <c r="C250" s="313" t="s">
        <v>1287</v>
      </c>
      <c r="D250" s="314" t="s">
        <v>701</v>
      </c>
      <c r="E250" s="357" t="s">
        <v>955</v>
      </c>
      <c r="F250" s="320" t="s">
        <v>1315</v>
      </c>
      <c r="G250" s="320">
        <v>6781</v>
      </c>
      <c r="H250" s="314" t="s">
        <v>1689</v>
      </c>
      <c r="I250" s="265" t="s">
        <v>2194</v>
      </c>
      <c r="J250" s="345" t="s">
        <v>2195</v>
      </c>
      <c r="K250" s="342" t="s">
        <v>2104</v>
      </c>
      <c r="Q250" t="s">
        <v>3898</v>
      </c>
      <c r="R250" t="s">
        <v>3935</v>
      </c>
    </row>
    <row r="251" spans="1:18" ht="29" x14ac:dyDescent="0.35">
      <c r="A251" s="313">
        <v>1246</v>
      </c>
      <c r="B251" s="355">
        <v>2632</v>
      </c>
      <c r="C251" s="313" t="s">
        <v>1287</v>
      </c>
      <c r="D251" s="314" t="s">
        <v>704</v>
      </c>
      <c r="E251" s="357" t="s">
        <v>956</v>
      </c>
      <c r="F251" s="320" t="s">
        <v>1315</v>
      </c>
      <c r="G251" s="320">
        <v>6782</v>
      </c>
      <c r="H251" s="314" t="s">
        <v>1695</v>
      </c>
      <c r="I251" s="265" t="s">
        <v>2196</v>
      </c>
      <c r="J251" s="345" t="s">
        <v>2197</v>
      </c>
      <c r="K251" s="342" t="s">
        <v>2104</v>
      </c>
      <c r="Q251" t="s">
        <v>3898</v>
      </c>
      <c r="R251" t="s">
        <v>3936</v>
      </c>
    </row>
    <row r="252" spans="1:18" ht="29" x14ac:dyDescent="0.35">
      <c r="A252" s="131">
        <v>1715</v>
      </c>
      <c r="B252" s="354">
        <v>2632</v>
      </c>
      <c r="C252" s="131" t="s">
        <v>1287</v>
      </c>
      <c r="D252" s="180" t="s">
        <v>704</v>
      </c>
      <c r="E252" s="357" t="s">
        <v>956</v>
      </c>
      <c r="F252" s="320" t="s">
        <v>1315</v>
      </c>
      <c r="G252" s="184">
        <v>6783</v>
      </c>
      <c r="H252" s="350" t="s">
        <v>1695</v>
      </c>
      <c r="I252" s="359" t="s">
        <v>2198</v>
      </c>
      <c r="J252" s="351" t="s">
        <v>2199</v>
      </c>
      <c r="K252" s="342" t="s">
        <v>2104</v>
      </c>
      <c r="L252" s="188"/>
      <c r="Q252" t="s">
        <v>3898</v>
      </c>
      <c r="R252" t="s">
        <v>3937</v>
      </c>
    </row>
    <row r="253" spans="1:18" ht="58" x14ac:dyDescent="0.35">
      <c r="A253" s="313">
        <v>1228</v>
      </c>
      <c r="B253" s="355">
        <v>2633</v>
      </c>
      <c r="C253" s="313" t="s">
        <v>1290</v>
      </c>
      <c r="D253" s="314" t="s">
        <v>708</v>
      </c>
      <c r="E253" s="357" t="s">
        <v>959</v>
      </c>
      <c r="F253" s="320" t="s">
        <v>1315</v>
      </c>
      <c r="G253" s="320">
        <v>6785</v>
      </c>
      <c r="H253" s="314" t="s">
        <v>1689</v>
      </c>
      <c r="I253" s="265" t="s">
        <v>2200</v>
      </c>
      <c r="J253" s="345" t="s">
        <v>2201</v>
      </c>
      <c r="K253" s="342" t="s">
        <v>2104</v>
      </c>
      <c r="Q253" t="s">
        <v>3898</v>
      </c>
      <c r="R253" t="s">
        <v>3938</v>
      </c>
    </row>
    <row r="254" spans="1:18" ht="29" x14ac:dyDescent="0.35">
      <c r="A254" s="313">
        <v>1247</v>
      </c>
      <c r="B254" s="355">
        <v>2634</v>
      </c>
      <c r="C254" s="313" t="s">
        <v>1290</v>
      </c>
      <c r="D254" s="314" t="s">
        <v>711</v>
      </c>
      <c r="E254" s="357" t="s">
        <v>960</v>
      </c>
      <c r="F254" s="320" t="s">
        <v>1315</v>
      </c>
      <c r="G254" s="320">
        <v>6786</v>
      </c>
      <c r="H254" s="314" t="s">
        <v>1695</v>
      </c>
      <c r="I254" s="265" t="s">
        <v>2202</v>
      </c>
      <c r="J254" s="345" t="s">
        <v>2203</v>
      </c>
      <c r="K254" s="342" t="s">
        <v>2104</v>
      </c>
      <c r="Q254" t="s">
        <v>3898</v>
      </c>
      <c r="R254" t="s">
        <v>3939</v>
      </c>
    </row>
    <row r="255" spans="1:18" ht="29" x14ac:dyDescent="0.35">
      <c r="A255" s="131">
        <v>1716</v>
      </c>
      <c r="B255" s="354">
        <v>2634</v>
      </c>
      <c r="C255" s="131" t="s">
        <v>1290</v>
      </c>
      <c r="D255" s="180" t="s">
        <v>711</v>
      </c>
      <c r="E255" s="357" t="s">
        <v>960</v>
      </c>
      <c r="F255" s="320" t="s">
        <v>1315</v>
      </c>
      <c r="G255" s="184">
        <v>6787</v>
      </c>
      <c r="H255" s="350" t="s">
        <v>1695</v>
      </c>
      <c r="I255" s="359" t="s">
        <v>2204</v>
      </c>
      <c r="J255" s="351" t="s">
        <v>2205</v>
      </c>
      <c r="K255" s="342" t="s">
        <v>2104</v>
      </c>
      <c r="L255" s="188"/>
      <c r="Q255" t="s">
        <v>3898</v>
      </c>
      <c r="R255" t="s">
        <v>3940</v>
      </c>
    </row>
    <row r="256" spans="1:18" ht="58" x14ac:dyDescent="0.35">
      <c r="A256" s="313">
        <v>1229</v>
      </c>
      <c r="B256" s="358">
        <v>2635</v>
      </c>
      <c r="C256" s="313" t="s">
        <v>1293</v>
      </c>
      <c r="D256" s="314" t="s">
        <v>715</v>
      </c>
      <c r="E256" s="357" t="s">
        <v>963</v>
      </c>
      <c r="F256" s="320" t="s">
        <v>1315</v>
      </c>
      <c r="G256" s="320">
        <v>6791</v>
      </c>
      <c r="H256" s="314" t="s">
        <v>1689</v>
      </c>
      <c r="I256" s="265" t="s">
        <v>2206</v>
      </c>
      <c r="J256" s="345" t="s">
        <v>2207</v>
      </c>
      <c r="K256" s="342" t="s">
        <v>2104</v>
      </c>
      <c r="Q256" t="s">
        <v>3898</v>
      </c>
      <c r="R256" t="s">
        <v>3941</v>
      </c>
    </row>
    <row r="257" spans="1:18" ht="29" x14ac:dyDescent="0.35">
      <c r="A257" s="313">
        <v>1248</v>
      </c>
      <c r="B257" s="355">
        <v>2636</v>
      </c>
      <c r="C257" s="313" t="s">
        <v>1293</v>
      </c>
      <c r="D257" s="314" t="s">
        <v>718</v>
      </c>
      <c r="E257" s="357" t="s">
        <v>964</v>
      </c>
      <c r="F257" s="320" t="s">
        <v>1315</v>
      </c>
      <c r="G257" s="320">
        <v>6792</v>
      </c>
      <c r="H257" s="314" t="s">
        <v>1695</v>
      </c>
      <c r="I257" s="265" t="s">
        <v>2208</v>
      </c>
      <c r="J257" s="345" t="s">
        <v>2209</v>
      </c>
      <c r="K257" s="342" t="s">
        <v>2104</v>
      </c>
      <c r="Q257" t="s">
        <v>3898</v>
      </c>
      <c r="R257" t="s">
        <v>3942</v>
      </c>
    </row>
    <row r="258" spans="1:18" ht="29" x14ac:dyDescent="0.35">
      <c r="A258" s="131">
        <v>1717</v>
      </c>
      <c r="B258" s="354">
        <v>2636</v>
      </c>
      <c r="C258" s="131" t="s">
        <v>1293</v>
      </c>
      <c r="D258" s="180" t="s">
        <v>718</v>
      </c>
      <c r="E258" s="357" t="s">
        <v>964</v>
      </c>
      <c r="F258" s="320" t="s">
        <v>1315</v>
      </c>
      <c r="G258" s="184">
        <v>6793</v>
      </c>
      <c r="H258" s="350" t="s">
        <v>1695</v>
      </c>
      <c r="I258" s="359" t="s">
        <v>2210</v>
      </c>
      <c r="J258" s="351" t="s">
        <v>2211</v>
      </c>
      <c r="K258" s="342" t="s">
        <v>2104</v>
      </c>
      <c r="L258" s="188"/>
      <c r="Q258" t="s">
        <v>3898</v>
      </c>
      <c r="R258" t="s">
        <v>3943</v>
      </c>
    </row>
    <row r="259" spans="1:18" ht="101.5" x14ac:dyDescent="0.35">
      <c r="A259" s="331">
        <v>258</v>
      </c>
      <c r="B259" s="331">
        <v>2601</v>
      </c>
      <c r="C259" s="335">
        <v>67</v>
      </c>
      <c r="D259" s="326" t="s">
        <v>2212</v>
      </c>
      <c r="E259" s="332" t="s">
        <v>894</v>
      </c>
      <c r="F259" s="334" t="s">
        <v>1315</v>
      </c>
      <c r="G259" s="328" t="s">
        <v>2213</v>
      </c>
      <c r="H259" s="329" t="s">
        <v>2214</v>
      </c>
      <c r="I259" s="330" t="s">
        <v>2215</v>
      </c>
      <c r="J259" s="341" t="s">
        <v>2216</v>
      </c>
      <c r="K259" s="342" t="s">
        <v>2104</v>
      </c>
      <c r="L259" s="188"/>
      <c r="M259" s="4" t="s">
        <v>3865</v>
      </c>
      <c r="Q259" t="s">
        <v>3898</v>
      </c>
      <c r="R259" t="s">
        <v>3944</v>
      </c>
    </row>
    <row r="260" spans="1:18" ht="145" x14ac:dyDescent="0.35">
      <c r="A260" s="336">
        <v>1607</v>
      </c>
      <c r="B260" s="336">
        <v>2183</v>
      </c>
      <c r="C260" s="336">
        <v>67</v>
      </c>
      <c r="D260" s="337" t="s">
        <v>614</v>
      </c>
      <c r="E260" s="337" t="s">
        <v>615</v>
      </c>
      <c r="F260" s="338" t="s">
        <v>1002</v>
      </c>
      <c r="G260" s="338">
        <v>6799</v>
      </c>
      <c r="H260" s="337" t="s">
        <v>1695</v>
      </c>
      <c r="I260" s="339" t="s">
        <v>2217</v>
      </c>
      <c r="J260" s="340" t="s">
        <v>2218</v>
      </c>
      <c r="K260" s="333" t="s">
        <v>2104</v>
      </c>
      <c r="M260" s="4" t="s">
        <v>3865</v>
      </c>
      <c r="Q260" t="s">
        <v>3898</v>
      </c>
      <c r="R260" t="s">
        <v>3945</v>
      </c>
    </row>
    <row r="261" spans="1:18" ht="58" x14ac:dyDescent="0.35">
      <c r="A261" s="145">
        <v>1230</v>
      </c>
      <c r="B261" s="145">
        <v>2221</v>
      </c>
      <c r="C261" s="145">
        <v>69</v>
      </c>
      <c r="D261" s="146" t="s">
        <v>728</v>
      </c>
      <c r="E261" s="146" t="s">
        <v>729</v>
      </c>
      <c r="F261" s="147" t="s">
        <v>1002</v>
      </c>
      <c r="G261" s="147">
        <v>6901</v>
      </c>
      <c r="H261" s="146" t="s">
        <v>1689</v>
      </c>
      <c r="I261" s="146" t="s">
        <v>2219</v>
      </c>
      <c r="J261" s="196" t="s">
        <v>2220</v>
      </c>
      <c r="K261" s="24"/>
      <c r="M261" s="4" t="s">
        <v>3865</v>
      </c>
      <c r="Q261" t="s">
        <v>3898</v>
      </c>
      <c r="R261" t="s">
        <v>3946</v>
      </c>
    </row>
    <row r="262" spans="1:18" ht="29" x14ac:dyDescent="0.35">
      <c r="A262" s="24">
        <v>1685</v>
      </c>
      <c r="B262" s="24">
        <v>2221</v>
      </c>
      <c r="C262" s="24">
        <v>69</v>
      </c>
      <c r="D262" s="48" t="s">
        <v>728</v>
      </c>
      <c r="E262" s="48" t="s">
        <v>729</v>
      </c>
      <c r="F262" s="134" t="s">
        <v>1002</v>
      </c>
      <c r="G262" s="134">
        <v>6902</v>
      </c>
      <c r="H262" s="167" t="s">
        <v>1695</v>
      </c>
      <c r="I262" s="167" t="s">
        <v>2221</v>
      </c>
      <c r="J262" s="189" t="s">
        <v>2222</v>
      </c>
      <c r="K262" s="24">
        <v>884451</v>
      </c>
      <c r="L262" s="188" t="s">
        <v>1755</v>
      </c>
      <c r="M262" s="4" t="s">
        <v>3865</v>
      </c>
      <c r="Q262" t="s">
        <v>3898</v>
      </c>
      <c r="R262" t="s">
        <v>3947</v>
      </c>
    </row>
    <row r="263" spans="1:18" ht="58" x14ac:dyDescent="0.35">
      <c r="A263" s="138">
        <v>1256</v>
      </c>
      <c r="B263" s="138">
        <v>2222</v>
      </c>
      <c r="C263" s="138" t="s">
        <v>1297</v>
      </c>
      <c r="D263" s="139" t="s">
        <v>731</v>
      </c>
      <c r="E263" s="139" t="s">
        <v>732</v>
      </c>
      <c r="F263" s="140" t="s">
        <v>1002</v>
      </c>
      <c r="G263" s="140">
        <v>7001</v>
      </c>
      <c r="H263" s="139" t="s">
        <v>1689</v>
      </c>
      <c r="I263" s="139" t="s">
        <v>2223</v>
      </c>
      <c r="J263" s="190" t="s">
        <v>2224</v>
      </c>
      <c r="K263" s="24"/>
      <c r="M263" s="4" t="s">
        <v>3865</v>
      </c>
      <c r="Q263" t="s">
        <v>3898</v>
      </c>
      <c r="R263" t="s">
        <v>3948</v>
      </c>
    </row>
    <row r="264" spans="1:18" ht="58" x14ac:dyDescent="0.35">
      <c r="A264" s="73">
        <v>1257</v>
      </c>
      <c r="B264" s="73">
        <v>2223</v>
      </c>
      <c r="C264" s="73" t="s">
        <v>1299</v>
      </c>
      <c r="D264" s="75" t="s">
        <v>734</v>
      </c>
      <c r="E264" s="75" t="s">
        <v>735</v>
      </c>
      <c r="F264" s="120" t="s">
        <v>1002</v>
      </c>
      <c r="G264" s="120">
        <v>7011</v>
      </c>
      <c r="H264" s="75" t="s">
        <v>1689</v>
      </c>
      <c r="I264" s="75" t="s">
        <v>2225</v>
      </c>
      <c r="J264" s="130" t="s">
        <v>2226</v>
      </c>
      <c r="K264" s="24"/>
      <c r="M264" s="4" t="s">
        <v>3865</v>
      </c>
      <c r="Q264" t="s">
        <v>3898</v>
      </c>
      <c r="R264" t="s">
        <v>3949</v>
      </c>
    </row>
    <row r="265" spans="1:18" ht="58" x14ac:dyDescent="0.35">
      <c r="A265" s="73">
        <v>1258</v>
      </c>
      <c r="B265" s="73">
        <v>2224</v>
      </c>
      <c r="C265" s="73" t="s">
        <v>1301</v>
      </c>
      <c r="D265" s="75" t="s">
        <v>737</v>
      </c>
      <c r="E265" s="75" t="s">
        <v>738</v>
      </c>
      <c r="F265" s="120" t="s">
        <v>1002</v>
      </c>
      <c r="G265" s="120">
        <v>7021</v>
      </c>
      <c r="H265" s="75" t="s">
        <v>1689</v>
      </c>
      <c r="I265" s="75" t="s">
        <v>2227</v>
      </c>
      <c r="J265" s="130" t="s">
        <v>2228</v>
      </c>
      <c r="K265" s="24"/>
      <c r="M265" s="4" t="s">
        <v>3865</v>
      </c>
      <c r="Q265" t="s">
        <v>3898</v>
      </c>
      <c r="R265" t="s">
        <v>3950</v>
      </c>
    </row>
    <row r="266" spans="1:18" ht="29" x14ac:dyDescent="0.35">
      <c r="A266" s="73">
        <v>1290</v>
      </c>
      <c r="B266" s="73">
        <v>2225</v>
      </c>
      <c r="C266" s="73">
        <v>71</v>
      </c>
      <c r="D266" s="75" t="s">
        <v>740</v>
      </c>
      <c r="E266" s="75" t="s">
        <v>741</v>
      </c>
      <c r="F266" s="120" t="s">
        <v>1002</v>
      </c>
      <c r="G266" s="120">
        <v>7101</v>
      </c>
      <c r="H266" s="75" t="s">
        <v>1712</v>
      </c>
      <c r="I266" s="75" t="s">
        <v>2229</v>
      </c>
      <c r="J266" s="130" t="s">
        <v>2230</v>
      </c>
      <c r="K266" s="24"/>
      <c r="M266" s="4" t="s">
        <v>3865</v>
      </c>
      <c r="Q266" t="s">
        <v>3898</v>
      </c>
      <c r="R266" t="s">
        <v>3951</v>
      </c>
    </row>
    <row r="267" spans="1:18" ht="58" x14ac:dyDescent="0.35">
      <c r="A267" s="73">
        <v>1284</v>
      </c>
      <c r="B267" s="73">
        <v>2226</v>
      </c>
      <c r="C267" s="73" t="s">
        <v>1305</v>
      </c>
      <c r="D267" s="75" t="s">
        <v>743</v>
      </c>
      <c r="E267" s="75" t="s">
        <v>744</v>
      </c>
      <c r="F267" s="120" t="s">
        <v>1002</v>
      </c>
      <c r="G267" s="120">
        <v>7201</v>
      </c>
      <c r="H267" s="75" t="s">
        <v>1689</v>
      </c>
      <c r="I267" s="75" t="s">
        <v>2231</v>
      </c>
      <c r="J267" s="130" t="s">
        <v>2232</v>
      </c>
      <c r="K267" s="24"/>
      <c r="M267" s="4" t="s">
        <v>3865</v>
      </c>
      <c r="Q267" t="s">
        <v>3898</v>
      </c>
      <c r="R267" t="s">
        <v>3952</v>
      </c>
    </row>
    <row r="268" spans="1:18" ht="43.5" x14ac:dyDescent="0.35">
      <c r="A268" s="73">
        <v>1253</v>
      </c>
      <c r="B268" s="73">
        <v>2227</v>
      </c>
      <c r="C268" s="73" t="s">
        <v>1305</v>
      </c>
      <c r="D268" s="75" t="s">
        <v>745</v>
      </c>
      <c r="E268" s="75" t="s">
        <v>746</v>
      </c>
      <c r="F268" s="120" t="s">
        <v>1002</v>
      </c>
      <c r="G268" s="120">
        <v>7205</v>
      </c>
      <c r="H268" s="75" t="s">
        <v>1695</v>
      </c>
      <c r="I268" s="75" t="s">
        <v>2233</v>
      </c>
      <c r="J268" s="130" t="s">
        <v>2234</v>
      </c>
      <c r="K268" s="24"/>
      <c r="M268" s="4" t="s">
        <v>3865</v>
      </c>
      <c r="Q268" t="s">
        <v>3898</v>
      </c>
      <c r="R268" t="s">
        <v>3953</v>
      </c>
    </row>
    <row r="269" spans="1:18" x14ac:dyDescent="0.35">
      <c r="A269" s="73">
        <v>1442</v>
      </c>
      <c r="B269" s="73">
        <v>2227</v>
      </c>
      <c r="C269" s="73" t="s">
        <v>1305</v>
      </c>
      <c r="D269" s="75" t="s">
        <v>745</v>
      </c>
      <c r="E269" s="75" t="s">
        <v>746</v>
      </c>
      <c r="F269" s="120" t="s">
        <v>1002</v>
      </c>
      <c r="G269" s="120">
        <v>7206</v>
      </c>
      <c r="H269" s="75" t="s">
        <v>2235</v>
      </c>
      <c r="I269" s="75" t="s">
        <v>2236</v>
      </c>
      <c r="J269" s="130" t="s">
        <v>2237</v>
      </c>
      <c r="K269" s="24"/>
      <c r="M269" s="4" t="s">
        <v>3865</v>
      </c>
      <c r="Q269" t="s">
        <v>3898</v>
      </c>
      <c r="R269" t="s">
        <v>3954</v>
      </c>
    </row>
    <row r="270" spans="1:18" ht="58" x14ac:dyDescent="0.35">
      <c r="A270" s="73">
        <v>1285</v>
      </c>
      <c r="B270" s="73">
        <v>2228</v>
      </c>
      <c r="C270" s="73" t="s">
        <v>1308</v>
      </c>
      <c r="D270" s="75" t="s">
        <v>748</v>
      </c>
      <c r="E270" s="75" t="s">
        <v>749</v>
      </c>
      <c r="F270" s="120" t="s">
        <v>1002</v>
      </c>
      <c r="G270" s="120">
        <v>7211</v>
      </c>
      <c r="H270" s="75" t="s">
        <v>1689</v>
      </c>
      <c r="I270" s="75" t="s">
        <v>2238</v>
      </c>
      <c r="J270" s="130" t="s">
        <v>2239</v>
      </c>
      <c r="K270" s="24"/>
      <c r="M270" s="4" t="s">
        <v>3865</v>
      </c>
      <c r="Q270" t="s">
        <v>3898</v>
      </c>
      <c r="R270" t="s">
        <v>3955</v>
      </c>
    </row>
    <row r="271" spans="1:18" ht="43.5" x14ac:dyDescent="0.35">
      <c r="A271" s="73">
        <v>1254</v>
      </c>
      <c r="B271" s="73">
        <v>2229</v>
      </c>
      <c r="C271" s="73" t="s">
        <v>1308</v>
      </c>
      <c r="D271" s="75" t="s">
        <v>750</v>
      </c>
      <c r="E271" s="75" t="s">
        <v>751</v>
      </c>
      <c r="F271" s="120" t="s">
        <v>1002</v>
      </c>
      <c r="G271" s="120">
        <v>7215</v>
      </c>
      <c r="H271" s="75" t="s">
        <v>1695</v>
      </c>
      <c r="I271" s="75" t="s">
        <v>2240</v>
      </c>
      <c r="J271" s="130" t="s">
        <v>2241</v>
      </c>
      <c r="K271" s="24"/>
      <c r="M271" s="4" t="s">
        <v>3865</v>
      </c>
      <c r="N271" s="4" t="s">
        <v>3865</v>
      </c>
      <c r="Q271" t="s">
        <v>3898</v>
      </c>
      <c r="R271" t="s">
        <v>3956</v>
      </c>
    </row>
    <row r="272" spans="1:18" x14ac:dyDescent="0.35">
      <c r="A272" s="73">
        <v>1544</v>
      </c>
      <c r="B272" s="73">
        <v>2229</v>
      </c>
      <c r="C272" s="73" t="s">
        <v>1308</v>
      </c>
      <c r="D272" s="75" t="s">
        <v>750</v>
      </c>
      <c r="E272" s="75" t="s">
        <v>751</v>
      </c>
      <c r="F272" s="120" t="s">
        <v>1002</v>
      </c>
      <c r="G272" s="120">
        <v>7216</v>
      </c>
      <c r="H272" s="75" t="s">
        <v>2235</v>
      </c>
      <c r="I272" s="75" t="s">
        <v>2242</v>
      </c>
      <c r="J272" s="130" t="s">
        <v>2243</v>
      </c>
      <c r="K272" s="24"/>
      <c r="M272" s="4" t="s">
        <v>3865</v>
      </c>
      <c r="N272" s="4" t="s">
        <v>3865</v>
      </c>
      <c r="Q272" t="s">
        <v>3898</v>
      </c>
      <c r="R272" t="s">
        <v>3957</v>
      </c>
    </row>
    <row r="273" spans="1:18" ht="58" x14ac:dyDescent="0.35">
      <c r="A273" s="73">
        <v>1286</v>
      </c>
      <c r="B273" s="73">
        <v>2230</v>
      </c>
      <c r="C273" s="73" t="s">
        <v>1311</v>
      </c>
      <c r="D273" s="75" t="s">
        <v>753</v>
      </c>
      <c r="E273" s="75" t="s">
        <v>754</v>
      </c>
      <c r="F273" s="120" t="s">
        <v>1002</v>
      </c>
      <c r="G273" s="120">
        <v>7221</v>
      </c>
      <c r="H273" s="75" t="s">
        <v>1689</v>
      </c>
      <c r="I273" s="75" t="s">
        <v>2244</v>
      </c>
      <c r="J273" s="130" t="s">
        <v>2245</v>
      </c>
      <c r="K273" s="24"/>
      <c r="M273" s="4" t="s">
        <v>3865</v>
      </c>
      <c r="N273" s="4" t="s">
        <v>3865</v>
      </c>
      <c r="Q273" t="s">
        <v>3898</v>
      </c>
      <c r="R273" t="s">
        <v>3958</v>
      </c>
    </row>
    <row r="274" spans="1:18" ht="43.5" x14ac:dyDescent="0.35">
      <c r="A274" s="73">
        <v>1255</v>
      </c>
      <c r="B274" s="73">
        <v>2231</v>
      </c>
      <c r="C274" s="73" t="s">
        <v>1311</v>
      </c>
      <c r="D274" s="75" t="s">
        <v>755</v>
      </c>
      <c r="E274" s="75" t="s">
        <v>756</v>
      </c>
      <c r="F274" s="120" t="s">
        <v>1002</v>
      </c>
      <c r="G274" s="120">
        <v>7225</v>
      </c>
      <c r="H274" s="75" t="s">
        <v>1695</v>
      </c>
      <c r="I274" s="75" t="s">
        <v>2246</v>
      </c>
      <c r="J274" s="130" t="s">
        <v>2247</v>
      </c>
      <c r="K274" s="24"/>
      <c r="M274" s="4" t="s">
        <v>3865</v>
      </c>
      <c r="N274" s="4" t="s">
        <v>3865</v>
      </c>
      <c r="Q274" t="s">
        <v>3898</v>
      </c>
      <c r="R274" t="s">
        <v>3959</v>
      </c>
    </row>
    <row r="275" spans="1:18" x14ac:dyDescent="0.35">
      <c r="A275" s="95">
        <v>1549</v>
      </c>
      <c r="B275" s="95">
        <v>2231</v>
      </c>
      <c r="C275" s="95" t="s">
        <v>1311</v>
      </c>
      <c r="D275" s="96" t="s">
        <v>755</v>
      </c>
      <c r="E275" s="96" t="s">
        <v>756</v>
      </c>
      <c r="F275" s="132" t="s">
        <v>1002</v>
      </c>
      <c r="G275" s="132">
        <v>7226</v>
      </c>
      <c r="H275" s="96" t="s">
        <v>2235</v>
      </c>
      <c r="I275" s="96" t="s">
        <v>2248</v>
      </c>
      <c r="J275" s="133" t="s">
        <v>2249</v>
      </c>
      <c r="K275" s="24"/>
      <c r="M275" s="4" t="s">
        <v>3865</v>
      </c>
      <c r="N275" s="4" t="s">
        <v>3865</v>
      </c>
      <c r="Q275" t="s">
        <v>3898</v>
      </c>
      <c r="R275" t="s">
        <v>3960</v>
      </c>
    </row>
    <row r="276" spans="1:18" ht="43.5" x14ac:dyDescent="0.35">
      <c r="A276" s="131">
        <v>1269</v>
      </c>
      <c r="B276" s="354">
        <v>2637</v>
      </c>
      <c r="C276" s="131">
        <v>74</v>
      </c>
      <c r="D276" s="180" t="s">
        <v>761</v>
      </c>
      <c r="E276" s="315" t="s">
        <v>967</v>
      </c>
      <c r="F276" s="184" t="s">
        <v>1315</v>
      </c>
      <c r="G276" s="184">
        <v>7401</v>
      </c>
      <c r="H276" s="180" t="s">
        <v>1689</v>
      </c>
      <c r="I276" s="265" t="s">
        <v>2250</v>
      </c>
      <c r="J276" s="352" t="s">
        <v>2251</v>
      </c>
      <c r="K276" s="131" t="s">
        <v>2104</v>
      </c>
      <c r="Q276" t="s">
        <v>3898</v>
      </c>
      <c r="R276" t="s">
        <v>3961</v>
      </c>
    </row>
    <row r="277" spans="1:18" ht="29" x14ac:dyDescent="0.35">
      <c r="A277" s="131">
        <v>1140</v>
      </c>
      <c r="B277" s="354">
        <v>2638</v>
      </c>
      <c r="C277" s="131">
        <v>74</v>
      </c>
      <c r="D277" s="180" t="s">
        <v>763</v>
      </c>
      <c r="E277" s="315" t="s">
        <v>968</v>
      </c>
      <c r="F277" s="184" t="s">
        <v>1315</v>
      </c>
      <c r="G277" s="184">
        <v>7405</v>
      </c>
      <c r="H277" s="180" t="s">
        <v>2252</v>
      </c>
      <c r="I277" s="265" t="s">
        <v>2253</v>
      </c>
      <c r="J277" s="352" t="s">
        <v>2254</v>
      </c>
      <c r="K277" s="131" t="s">
        <v>2104</v>
      </c>
      <c r="Q277" t="s">
        <v>3898</v>
      </c>
      <c r="R277" t="s">
        <v>3962</v>
      </c>
    </row>
    <row r="278" spans="1:18" ht="29" x14ac:dyDescent="0.35">
      <c r="A278" s="131">
        <v>1193</v>
      </c>
      <c r="B278" s="354">
        <v>2638</v>
      </c>
      <c r="C278" s="131">
        <v>74</v>
      </c>
      <c r="D278" s="180" t="s">
        <v>763</v>
      </c>
      <c r="E278" s="315" t="s">
        <v>968</v>
      </c>
      <c r="F278" s="184" t="s">
        <v>1315</v>
      </c>
      <c r="G278" s="184">
        <v>7406</v>
      </c>
      <c r="H278" s="180" t="s">
        <v>1695</v>
      </c>
      <c r="I278" s="265" t="s">
        <v>2255</v>
      </c>
      <c r="J278" s="180" t="s">
        <v>2256</v>
      </c>
      <c r="K278" s="131" t="s">
        <v>2104</v>
      </c>
      <c r="Q278" t="s">
        <v>3898</v>
      </c>
      <c r="R278" t="s">
        <v>3963</v>
      </c>
    </row>
    <row r="279" spans="1:18" ht="43.5" x14ac:dyDescent="0.35">
      <c r="A279" s="131">
        <v>1270</v>
      </c>
      <c r="B279" s="354">
        <v>2639</v>
      </c>
      <c r="C279" s="131" t="s">
        <v>1317</v>
      </c>
      <c r="D279" s="180" t="s">
        <v>766</v>
      </c>
      <c r="E279" s="315" t="s">
        <v>970</v>
      </c>
      <c r="F279" s="184" t="s">
        <v>1315</v>
      </c>
      <c r="G279" s="262">
        <v>7411</v>
      </c>
      <c r="H279" s="180" t="s">
        <v>1689</v>
      </c>
      <c r="I279" s="265" t="s">
        <v>2257</v>
      </c>
      <c r="J279" s="180" t="s">
        <v>2258</v>
      </c>
      <c r="K279" s="131" t="s">
        <v>2104</v>
      </c>
      <c r="Q279" t="s">
        <v>3898</v>
      </c>
      <c r="R279" t="s">
        <v>3964</v>
      </c>
    </row>
    <row r="280" spans="1:18" ht="29" x14ac:dyDescent="0.35">
      <c r="A280" s="131">
        <v>1141</v>
      </c>
      <c r="B280" s="354">
        <v>2640</v>
      </c>
      <c r="C280" s="131" t="s">
        <v>1317</v>
      </c>
      <c r="D280" s="180" t="s">
        <v>768</v>
      </c>
      <c r="E280" s="315" t="s">
        <v>971</v>
      </c>
      <c r="F280" s="184" t="s">
        <v>1315</v>
      </c>
      <c r="G280" s="262">
        <v>7412</v>
      </c>
      <c r="H280" s="180" t="s">
        <v>2252</v>
      </c>
      <c r="I280" s="265" t="s">
        <v>2259</v>
      </c>
      <c r="J280" s="180" t="s">
        <v>2260</v>
      </c>
      <c r="K280" s="131" t="s">
        <v>2104</v>
      </c>
      <c r="Q280" t="s">
        <v>3898</v>
      </c>
      <c r="R280" t="s">
        <v>3965</v>
      </c>
    </row>
    <row r="281" spans="1:18" ht="29" x14ac:dyDescent="0.35">
      <c r="A281" s="131">
        <v>1194</v>
      </c>
      <c r="B281" s="354">
        <v>2640</v>
      </c>
      <c r="C281" s="131" t="s">
        <v>1317</v>
      </c>
      <c r="D281" s="180" t="s">
        <v>768</v>
      </c>
      <c r="E281" s="315" t="s">
        <v>971</v>
      </c>
      <c r="F281" s="184" t="s">
        <v>1315</v>
      </c>
      <c r="G281" s="262">
        <v>7415</v>
      </c>
      <c r="H281" s="265" t="s">
        <v>1695</v>
      </c>
      <c r="I281" s="265" t="s">
        <v>2261</v>
      </c>
      <c r="J281" s="180" t="s">
        <v>2262</v>
      </c>
      <c r="K281" s="131" t="s">
        <v>2104</v>
      </c>
      <c r="Q281" t="s">
        <v>3898</v>
      </c>
      <c r="R281" t="s">
        <v>3966</v>
      </c>
    </row>
    <row r="282" spans="1:18" ht="43.5" x14ac:dyDescent="0.35">
      <c r="A282" s="131">
        <v>1271</v>
      </c>
      <c r="B282" s="354">
        <v>2641</v>
      </c>
      <c r="C282" s="131" t="s">
        <v>1320</v>
      </c>
      <c r="D282" s="180" t="s">
        <v>771</v>
      </c>
      <c r="E282" s="315" t="s">
        <v>973</v>
      </c>
      <c r="F282" s="184" t="s">
        <v>1315</v>
      </c>
      <c r="G282" s="262">
        <v>7421</v>
      </c>
      <c r="H282" s="265" t="s">
        <v>1689</v>
      </c>
      <c r="I282" s="265" t="s">
        <v>2263</v>
      </c>
      <c r="J282" s="180" t="s">
        <v>2264</v>
      </c>
      <c r="K282" s="131" t="s">
        <v>2104</v>
      </c>
      <c r="Q282" t="s">
        <v>3898</v>
      </c>
      <c r="R282" t="s">
        <v>3967</v>
      </c>
    </row>
    <row r="283" spans="1:18" ht="29" x14ac:dyDescent="0.35">
      <c r="A283" s="131">
        <v>1142</v>
      </c>
      <c r="B283" s="354">
        <v>2642</v>
      </c>
      <c r="C283" s="131" t="s">
        <v>1320</v>
      </c>
      <c r="D283" s="180" t="s">
        <v>773</v>
      </c>
      <c r="E283" s="315" t="s">
        <v>974</v>
      </c>
      <c r="F283" s="184" t="s">
        <v>1315</v>
      </c>
      <c r="G283" s="262">
        <v>7424</v>
      </c>
      <c r="H283" s="180" t="s">
        <v>2252</v>
      </c>
      <c r="I283" s="265" t="s">
        <v>2265</v>
      </c>
      <c r="J283" s="180" t="s">
        <v>2266</v>
      </c>
      <c r="K283" s="131" t="s">
        <v>2104</v>
      </c>
      <c r="Q283" t="s">
        <v>3898</v>
      </c>
      <c r="R283" t="s">
        <v>3968</v>
      </c>
    </row>
    <row r="284" spans="1:18" ht="29" x14ac:dyDescent="0.35">
      <c r="A284" s="131">
        <v>1195</v>
      </c>
      <c r="B284" s="354">
        <v>2642</v>
      </c>
      <c r="C284" s="131" t="s">
        <v>1320</v>
      </c>
      <c r="D284" s="180" t="s">
        <v>773</v>
      </c>
      <c r="E284" s="315" t="s">
        <v>974</v>
      </c>
      <c r="F284" s="184" t="s">
        <v>1315</v>
      </c>
      <c r="G284" s="262">
        <v>7425</v>
      </c>
      <c r="H284" s="265" t="s">
        <v>1695</v>
      </c>
      <c r="I284" s="265" t="s">
        <v>2267</v>
      </c>
      <c r="J284" s="180" t="s">
        <v>2268</v>
      </c>
      <c r="K284" s="131" t="s">
        <v>2104</v>
      </c>
      <c r="Q284" t="s">
        <v>3898</v>
      </c>
      <c r="R284" t="s">
        <v>3969</v>
      </c>
    </row>
    <row r="285" spans="1:18" ht="43.5" x14ac:dyDescent="0.35">
      <c r="A285" s="131">
        <v>1272</v>
      </c>
      <c r="B285" s="354">
        <v>2643</v>
      </c>
      <c r="C285" s="131" t="s">
        <v>1323</v>
      </c>
      <c r="D285" s="180" t="s">
        <v>776</v>
      </c>
      <c r="E285" s="315" t="s">
        <v>976</v>
      </c>
      <c r="F285" s="184" t="s">
        <v>1315</v>
      </c>
      <c r="G285" s="262">
        <v>7431</v>
      </c>
      <c r="H285" s="265" t="s">
        <v>1689</v>
      </c>
      <c r="I285" s="265" t="s">
        <v>2269</v>
      </c>
      <c r="J285" s="180" t="s">
        <v>2270</v>
      </c>
      <c r="K285" s="131" t="s">
        <v>2104</v>
      </c>
      <c r="Q285" t="s">
        <v>3898</v>
      </c>
      <c r="R285" t="s">
        <v>3970</v>
      </c>
    </row>
    <row r="286" spans="1:18" ht="29" x14ac:dyDescent="0.35">
      <c r="A286" s="131">
        <v>1143</v>
      </c>
      <c r="B286" s="354">
        <v>2644</v>
      </c>
      <c r="C286" s="131" t="s">
        <v>1323</v>
      </c>
      <c r="D286" s="180" t="s">
        <v>778</v>
      </c>
      <c r="E286" s="315" t="s">
        <v>977</v>
      </c>
      <c r="F286" s="184" t="s">
        <v>1315</v>
      </c>
      <c r="G286" s="262">
        <v>7434</v>
      </c>
      <c r="H286" s="180" t="s">
        <v>2252</v>
      </c>
      <c r="I286" s="265" t="s">
        <v>2271</v>
      </c>
      <c r="J286" s="180" t="s">
        <v>2272</v>
      </c>
      <c r="K286" s="131" t="s">
        <v>2104</v>
      </c>
      <c r="Q286" t="s">
        <v>3898</v>
      </c>
      <c r="R286" t="s">
        <v>3971</v>
      </c>
    </row>
    <row r="287" spans="1:18" ht="29" x14ac:dyDescent="0.35">
      <c r="A287" s="131">
        <v>1196</v>
      </c>
      <c r="B287" s="354">
        <v>2644</v>
      </c>
      <c r="C287" s="131" t="s">
        <v>1323</v>
      </c>
      <c r="D287" s="180" t="s">
        <v>778</v>
      </c>
      <c r="E287" s="315" t="s">
        <v>977</v>
      </c>
      <c r="F287" s="184" t="s">
        <v>1315</v>
      </c>
      <c r="G287" s="262">
        <v>7435</v>
      </c>
      <c r="H287" s="265" t="s">
        <v>1695</v>
      </c>
      <c r="I287" s="265" t="s">
        <v>2273</v>
      </c>
      <c r="J287" s="180" t="s">
        <v>2274</v>
      </c>
      <c r="K287" s="131" t="s">
        <v>2104</v>
      </c>
      <c r="Q287" t="s">
        <v>3898</v>
      </c>
      <c r="R287" t="s">
        <v>3972</v>
      </c>
    </row>
    <row r="288" spans="1:18" ht="43.5" x14ac:dyDescent="0.35">
      <c r="A288" s="131">
        <v>1273</v>
      </c>
      <c r="B288" s="354">
        <v>2645</v>
      </c>
      <c r="C288" s="131" t="s">
        <v>1326</v>
      </c>
      <c r="D288" s="180" t="s">
        <v>781</v>
      </c>
      <c r="E288" s="315" t="s">
        <v>979</v>
      </c>
      <c r="F288" s="184" t="s">
        <v>1315</v>
      </c>
      <c r="G288" s="262">
        <v>7441</v>
      </c>
      <c r="H288" s="265" t="s">
        <v>1689</v>
      </c>
      <c r="I288" s="265" t="s">
        <v>2275</v>
      </c>
      <c r="J288" s="180" t="s">
        <v>2276</v>
      </c>
      <c r="K288" s="131" t="s">
        <v>2104</v>
      </c>
      <c r="Q288" t="s">
        <v>3898</v>
      </c>
      <c r="R288" t="s">
        <v>3973</v>
      </c>
    </row>
    <row r="289" spans="1:18" ht="29" x14ac:dyDescent="0.35">
      <c r="A289" s="131">
        <v>1144</v>
      </c>
      <c r="B289" s="354">
        <v>2646</v>
      </c>
      <c r="C289" s="131" t="s">
        <v>1326</v>
      </c>
      <c r="D289" s="180" t="s">
        <v>783</v>
      </c>
      <c r="E289" s="315" t="s">
        <v>980</v>
      </c>
      <c r="F289" s="184" t="s">
        <v>1315</v>
      </c>
      <c r="G289" s="262">
        <v>7444</v>
      </c>
      <c r="H289" s="180" t="s">
        <v>2252</v>
      </c>
      <c r="I289" s="265" t="s">
        <v>2277</v>
      </c>
      <c r="J289" s="180" t="s">
        <v>2278</v>
      </c>
      <c r="K289" s="131" t="s">
        <v>2104</v>
      </c>
      <c r="Q289" t="s">
        <v>3898</v>
      </c>
      <c r="R289" t="s">
        <v>3974</v>
      </c>
    </row>
    <row r="290" spans="1:18" ht="29" x14ac:dyDescent="0.35">
      <c r="A290" s="131">
        <v>1197</v>
      </c>
      <c r="B290" s="354">
        <v>2646</v>
      </c>
      <c r="C290" s="131" t="s">
        <v>1326</v>
      </c>
      <c r="D290" s="180" t="s">
        <v>783</v>
      </c>
      <c r="E290" s="315" t="s">
        <v>980</v>
      </c>
      <c r="F290" s="184" t="s">
        <v>1315</v>
      </c>
      <c r="G290" s="262">
        <v>7445</v>
      </c>
      <c r="H290" s="265" t="s">
        <v>1695</v>
      </c>
      <c r="I290" s="265" t="s">
        <v>2279</v>
      </c>
      <c r="J290" s="180" t="s">
        <v>2280</v>
      </c>
      <c r="K290" s="131" t="s">
        <v>2104</v>
      </c>
      <c r="Q290" t="s">
        <v>3898</v>
      </c>
      <c r="R290" t="s">
        <v>3975</v>
      </c>
    </row>
    <row r="291" spans="1:18" ht="43.5" x14ac:dyDescent="0.35">
      <c r="A291" s="131">
        <v>1274</v>
      </c>
      <c r="B291" s="354">
        <v>2647</v>
      </c>
      <c r="C291" s="131" t="s">
        <v>1329</v>
      </c>
      <c r="D291" s="180" t="s">
        <v>786</v>
      </c>
      <c r="E291" s="315" t="s">
        <v>982</v>
      </c>
      <c r="F291" s="184" t="s">
        <v>1315</v>
      </c>
      <c r="G291" s="262">
        <v>7451</v>
      </c>
      <c r="H291" s="265" t="s">
        <v>1689</v>
      </c>
      <c r="I291" s="265" t="s">
        <v>2281</v>
      </c>
      <c r="J291" s="180" t="s">
        <v>2282</v>
      </c>
      <c r="K291" s="131" t="s">
        <v>2104</v>
      </c>
      <c r="Q291" t="s">
        <v>3898</v>
      </c>
      <c r="R291" t="s">
        <v>3976</v>
      </c>
    </row>
    <row r="292" spans="1:18" ht="29" x14ac:dyDescent="0.35">
      <c r="A292" s="131">
        <v>1145</v>
      </c>
      <c r="B292" s="354">
        <v>2648</v>
      </c>
      <c r="C292" s="131" t="s">
        <v>1329</v>
      </c>
      <c r="D292" s="180" t="s">
        <v>788</v>
      </c>
      <c r="E292" s="315" t="s">
        <v>983</v>
      </c>
      <c r="F292" s="184" t="s">
        <v>1315</v>
      </c>
      <c r="G292" s="262">
        <v>7454</v>
      </c>
      <c r="H292" s="180" t="s">
        <v>2252</v>
      </c>
      <c r="I292" s="265" t="s">
        <v>2253</v>
      </c>
      <c r="J292" s="180" t="s">
        <v>2254</v>
      </c>
      <c r="K292" s="131" t="s">
        <v>2104</v>
      </c>
      <c r="Q292" t="s">
        <v>3898</v>
      </c>
      <c r="R292" t="s">
        <v>3977</v>
      </c>
    </row>
    <row r="293" spans="1:18" ht="29" x14ac:dyDescent="0.35">
      <c r="A293" s="131">
        <v>1198</v>
      </c>
      <c r="B293" s="354">
        <v>2648</v>
      </c>
      <c r="C293" s="131" t="s">
        <v>1329</v>
      </c>
      <c r="D293" s="180" t="s">
        <v>788</v>
      </c>
      <c r="E293" s="315" t="s">
        <v>983</v>
      </c>
      <c r="F293" s="184" t="s">
        <v>1315</v>
      </c>
      <c r="G293" s="262">
        <v>7455</v>
      </c>
      <c r="H293" s="180" t="s">
        <v>1695</v>
      </c>
      <c r="I293" s="265" t="s">
        <v>2283</v>
      </c>
      <c r="J293" s="180" t="s">
        <v>2284</v>
      </c>
      <c r="K293" s="131" t="s">
        <v>2104</v>
      </c>
      <c r="Q293" t="s">
        <v>3898</v>
      </c>
      <c r="R293" t="s">
        <v>3978</v>
      </c>
    </row>
    <row r="294" spans="1:18" x14ac:dyDescent="0.35">
      <c r="A294" s="24">
        <v>1262</v>
      </c>
      <c r="B294" s="24">
        <v>2252</v>
      </c>
      <c r="C294" s="24">
        <v>76</v>
      </c>
      <c r="D294" s="48" t="s">
        <v>806</v>
      </c>
      <c r="E294" s="48" t="s">
        <v>807</v>
      </c>
      <c r="F294" s="134" t="s">
        <v>1002</v>
      </c>
      <c r="G294" s="134">
        <v>7601</v>
      </c>
      <c r="H294" s="48" t="s">
        <v>1692</v>
      </c>
      <c r="I294" s="48" t="s">
        <v>2285</v>
      </c>
      <c r="J294" s="48" t="s">
        <v>2286</v>
      </c>
      <c r="K294" s="24"/>
      <c r="M294" s="4" t="s">
        <v>3865</v>
      </c>
      <c r="N294" s="4" t="s">
        <v>3865</v>
      </c>
      <c r="Q294" t="s">
        <v>3898</v>
      </c>
      <c r="R294" t="s">
        <v>3979</v>
      </c>
    </row>
    <row r="295" spans="1:18" ht="29" x14ac:dyDescent="0.35">
      <c r="A295" s="24">
        <v>1447</v>
      </c>
      <c r="B295" s="24">
        <v>2249</v>
      </c>
      <c r="C295" s="24">
        <v>76</v>
      </c>
      <c r="D295" s="48" t="s">
        <v>800</v>
      </c>
      <c r="E295" s="48" t="s">
        <v>801</v>
      </c>
      <c r="F295" s="134" t="s">
        <v>1002</v>
      </c>
      <c r="G295" s="134">
        <v>7603</v>
      </c>
      <c r="H295" s="48" t="s">
        <v>2071</v>
      </c>
      <c r="I295" s="48" t="s">
        <v>2072</v>
      </c>
      <c r="J295" s="48" t="s">
        <v>2287</v>
      </c>
      <c r="K295" s="24"/>
      <c r="M295" s="4" t="s">
        <v>3865</v>
      </c>
      <c r="N295" s="4" t="s">
        <v>3876</v>
      </c>
      <c r="Q295" t="s">
        <v>3898</v>
      </c>
      <c r="R295" t="s">
        <v>3980</v>
      </c>
    </row>
    <row r="296" spans="1:18" x14ac:dyDescent="0.35">
      <c r="A296" s="24">
        <v>1666</v>
      </c>
      <c r="B296" s="24">
        <v>2249</v>
      </c>
      <c r="C296" s="24">
        <v>76</v>
      </c>
      <c r="D296" s="48" t="s">
        <v>800</v>
      </c>
      <c r="E296" s="48" t="s">
        <v>801</v>
      </c>
      <c r="F296" s="134" t="s">
        <v>1002</v>
      </c>
      <c r="G296" s="134">
        <v>7604</v>
      </c>
      <c r="H296" s="48" t="s">
        <v>1692</v>
      </c>
      <c r="I296" s="48" t="s">
        <v>2288</v>
      </c>
      <c r="J296" s="48" t="s">
        <v>2289</v>
      </c>
      <c r="K296" s="24">
        <v>884452</v>
      </c>
      <c r="L296" s="188" t="s">
        <v>1782</v>
      </c>
      <c r="M296" s="4" t="s">
        <v>3865</v>
      </c>
      <c r="N296" s="4" t="s">
        <v>3876</v>
      </c>
      <c r="Q296" t="s">
        <v>3898</v>
      </c>
      <c r="R296" t="s">
        <v>3981</v>
      </c>
    </row>
    <row r="297" spans="1:18" ht="29" x14ac:dyDescent="0.35">
      <c r="A297" s="343">
        <v>2864</v>
      </c>
      <c r="B297" s="24">
        <v>2252</v>
      </c>
      <c r="C297" s="24">
        <v>76</v>
      </c>
      <c r="D297" s="59" t="s">
        <v>806</v>
      </c>
      <c r="E297" s="59" t="s">
        <v>807</v>
      </c>
      <c r="F297" s="24" t="s">
        <v>1002</v>
      </c>
      <c r="G297" s="24">
        <v>7611</v>
      </c>
      <c r="H297" s="344" t="s">
        <v>1695</v>
      </c>
      <c r="I297" s="344" t="s">
        <v>2290</v>
      </c>
      <c r="J297" s="344" t="s">
        <v>2291</v>
      </c>
      <c r="K297" s="48" t="s">
        <v>1750</v>
      </c>
      <c r="M297" s="4" t="s">
        <v>3865</v>
      </c>
      <c r="N297" s="4" t="s">
        <v>3865</v>
      </c>
      <c r="Q297" t="s">
        <v>3898</v>
      </c>
      <c r="R297" t="s">
        <v>3982</v>
      </c>
    </row>
    <row r="298" spans="1:18" ht="29" x14ac:dyDescent="0.35">
      <c r="A298" s="343">
        <v>2865</v>
      </c>
      <c r="B298" s="24">
        <v>2253</v>
      </c>
      <c r="C298" s="24">
        <v>76</v>
      </c>
      <c r="D298" s="59" t="s">
        <v>808</v>
      </c>
      <c r="E298" s="59" t="s">
        <v>809</v>
      </c>
      <c r="F298" s="24" t="s">
        <v>1002</v>
      </c>
      <c r="G298" s="24">
        <v>7612</v>
      </c>
      <c r="H298" s="344" t="s">
        <v>1695</v>
      </c>
      <c r="I298" s="344" t="s">
        <v>2292</v>
      </c>
      <c r="J298" s="344" t="s">
        <v>2293</v>
      </c>
      <c r="K298" s="48" t="s">
        <v>1750</v>
      </c>
      <c r="M298" s="4" t="s">
        <v>3865</v>
      </c>
      <c r="N298" s="4" t="s">
        <v>3876</v>
      </c>
      <c r="Q298" t="s">
        <v>3900</v>
      </c>
      <c r="R298" t="s">
        <v>3901</v>
      </c>
    </row>
    <row r="299" spans="1:18" ht="29" x14ac:dyDescent="0.35">
      <c r="A299" s="24">
        <v>1448</v>
      </c>
      <c r="B299" s="24">
        <v>2254</v>
      </c>
      <c r="C299" s="24">
        <v>77</v>
      </c>
      <c r="D299" s="48" t="s">
        <v>811</v>
      </c>
      <c r="E299" s="48" t="s">
        <v>812</v>
      </c>
      <c r="F299" s="134" t="s">
        <v>1002</v>
      </c>
      <c r="G299" s="134">
        <v>7701</v>
      </c>
      <c r="H299" s="48" t="s">
        <v>2071</v>
      </c>
      <c r="I299" s="48" t="s">
        <v>2072</v>
      </c>
      <c r="J299" s="48" t="s">
        <v>2294</v>
      </c>
      <c r="K299" s="24"/>
      <c r="M299" s="4" t="s">
        <v>3865</v>
      </c>
      <c r="N299" s="4" t="s">
        <v>3876</v>
      </c>
      <c r="Q299" t="s">
        <v>3900</v>
      </c>
      <c r="R299" t="s">
        <v>3901</v>
      </c>
    </row>
    <row r="300" spans="1:18" ht="29" x14ac:dyDescent="0.35">
      <c r="A300" s="24">
        <v>1667</v>
      </c>
      <c r="B300" s="24">
        <v>2254</v>
      </c>
      <c r="C300" s="24">
        <v>77</v>
      </c>
      <c r="D300" s="48" t="s">
        <v>811</v>
      </c>
      <c r="E300" s="48" t="s">
        <v>812</v>
      </c>
      <c r="F300" s="134" t="s">
        <v>1002</v>
      </c>
      <c r="G300" s="134">
        <v>7702</v>
      </c>
      <c r="H300" s="48" t="s">
        <v>1695</v>
      </c>
      <c r="I300" s="48" t="s">
        <v>2295</v>
      </c>
      <c r="J300" s="48" t="s">
        <v>2296</v>
      </c>
      <c r="K300" s="24">
        <v>884453</v>
      </c>
      <c r="L300" s="188" t="s">
        <v>1782</v>
      </c>
      <c r="M300" s="4" t="s">
        <v>3865</v>
      </c>
      <c r="N300" s="4" t="s">
        <v>3865</v>
      </c>
      <c r="Q300" t="s">
        <v>3898</v>
      </c>
      <c r="R300" t="s">
        <v>3983</v>
      </c>
    </row>
    <row r="301" spans="1:18" ht="29" x14ac:dyDescent="0.35">
      <c r="A301" s="24">
        <v>1668</v>
      </c>
      <c r="B301" s="24">
        <v>2255</v>
      </c>
      <c r="C301" s="24">
        <v>77</v>
      </c>
      <c r="D301" s="48" t="s">
        <v>2297</v>
      </c>
      <c r="E301" s="48" t="s">
        <v>814</v>
      </c>
      <c r="F301" s="134" t="s">
        <v>1002</v>
      </c>
      <c r="G301" s="134">
        <v>7702</v>
      </c>
      <c r="H301" s="48" t="s">
        <v>1695</v>
      </c>
      <c r="I301" s="48" t="s">
        <v>2298</v>
      </c>
      <c r="J301" s="48" t="s">
        <v>2299</v>
      </c>
      <c r="K301" s="24">
        <v>884453</v>
      </c>
      <c r="L301" s="188" t="s">
        <v>1782</v>
      </c>
      <c r="M301" s="4" t="s">
        <v>3865</v>
      </c>
      <c r="N301" s="4" t="s">
        <v>3865</v>
      </c>
      <c r="Q301" t="s">
        <v>3900</v>
      </c>
      <c r="R301" t="s">
        <v>3901</v>
      </c>
    </row>
    <row r="302" spans="1:18" ht="29" x14ac:dyDescent="0.35">
      <c r="A302" s="381">
        <v>2866</v>
      </c>
      <c r="B302" s="135">
        <v>2257</v>
      </c>
      <c r="C302" s="135">
        <v>77</v>
      </c>
      <c r="D302" s="382" t="s">
        <v>817</v>
      </c>
      <c r="E302" s="382" t="s">
        <v>818</v>
      </c>
      <c r="F302" s="135" t="s">
        <v>1002</v>
      </c>
      <c r="G302" s="135">
        <v>7711</v>
      </c>
      <c r="H302" s="383" t="s">
        <v>1695</v>
      </c>
      <c r="I302" s="383" t="s">
        <v>2300</v>
      </c>
      <c r="J302" s="383" t="s">
        <v>2301</v>
      </c>
      <c r="K302" s="136" t="s">
        <v>1750</v>
      </c>
      <c r="M302" s="4" t="s">
        <v>3865</v>
      </c>
      <c r="N302" s="4" t="s">
        <v>3876</v>
      </c>
      <c r="Q302" t="s">
        <v>3900</v>
      </c>
      <c r="R302" t="s">
        <v>3901</v>
      </c>
    </row>
    <row r="303" spans="1:18" ht="43.5" x14ac:dyDescent="0.35">
      <c r="A303" s="384">
        <v>2867</v>
      </c>
      <c r="B303" s="73">
        <v>2258</v>
      </c>
      <c r="C303" s="73">
        <v>77</v>
      </c>
      <c r="D303" s="74" t="s">
        <v>819</v>
      </c>
      <c r="E303" s="74" t="s">
        <v>820</v>
      </c>
      <c r="F303" s="73" t="s">
        <v>1002</v>
      </c>
      <c r="G303" s="73">
        <v>7712</v>
      </c>
      <c r="H303" s="385" t="s">
        <v>1695</v>
      </c>
      <c r="I303" s="385" t="s">
        <v>2302</v>
      </c>
      <c r="J303" s="385" t="s">
        <v>2303</v>
      </c>
      <c r="K303" s="75" t="s">
        <v>1750</v>
      </c>
      <c r="M303" s="4" t="s">
        <v>3865</v>
      </c>
      <c r="N303" s="435" t="s">
        <v>3877</v>
      </c>
      <c r="Q303" t="s">
        <v>3900</v>
      </c>
      <c r="R303" t="s">
        <v>3901</v>
      </c>
    </row>
    <row r="304" spans="1:18" ht="29" x14ac:dyDescent="0.35">
      <c r="A304" s="73">
        <v>1449</v>
      </c>
      <c r="B304" s="73">
        <v>2260</v>
      </c>
      <c r="C304" s="73">
        <v>78</v>
      </c>
      <c r="D304" s="75" t="s">
        <v>824</v>
      </c>
      <c r="E304" s="75" t="s">
        <v>825</v>
      </c>
      <c r="F304" s="120" t="s">
        <v>1002</v>
      </c>
      <c r="G304" s="120">
        <v>7801</v>
      </c>
      <c r="H304" s="75" t="s">
        <v>2071</v>
      </c>
      <c r="I304" s="75" t="s">
        <v>2072</v>
      </c>
      <c r="J304" s="75" t="s">
        <v>2304</v>
      </c>
      <c r="K304" s="73"/>
      <c r="M304" s="4" t="s">
        <v>3865</v>
      </c>
      <c r="N304" s="4" t="s">
        <v>3865</v>
      </c>
      <c r="Q304" t="s">
        <v>3900</v>
      </c>
      <c r="R304" t="s">
        <v>3901</v>
      </c>
    </row>
    <row r="305" spans="1:18" ht="29" x14ac:dyDescent="0.35">
      <c r="A305" s="73">
        <v>1664</v>
      </c>
      <c r="B305" s="73">
        <v>2261</v>
      </c>
      <c r="C305" s="73">
        <v>79</v>
      </c>
      <c r="D305" s="75" t="s">
        <v>826</v>
      </c>
      <c r="E305" s="75" t="s">
        <v>827</v>
      </c>
      <c r="F305" s="120" t="s">
        <v>1002</v>
      </c>
      <c r="G305" s="120">
        <v>7802</v>
      </c>
      <c r="H305" s="75" t="s">
        <v>1695</v>
      </c>
      <c r="I305" s="75" t="s">
        <v>2305</v>
      </c>
      <c r="J305" s="75" t="s">
        <v>2306</v>
      </c>
      <c r="K305" s="73">
        <v>884454</v>
      </c>
      <c r="L305" s="188" t="s">
        <v>1782</v>
      </c>
      <c r="M305" s="4" t="s">
        <v>3865</v>
      </c>
      <c r="N305" s="4" t="s">
        <v>3865</v>
      </c>
      <c r="Q305" t="s">
        <v>3900</v>
      </c>
      <c r="R305" t="s">
        <v>3901</v>
      </c>
    </row>
    <row r="306" spans="1:18" ht="29" x14ac:dyDescent="0.35">
      <c r="A306" s="384">
        <v>2868</v>
      </c>
      <c r="B306" s="73">
        <v>2263</v>
      </c>
      <c r="C306" s="73">
        <v>78</v>
      </c>
      <c r="D306" s="74" t="s">
        <v>2307</v>
      </c>
      <c r="E306" s="74" t="s">
        <v>831</v>
      </c>
      <c r="F306" s="73" t="s">
        <v>1002</v>
      </c>
      <c r="G306" s="73">
        <v>7811</v>
      </c>
      <c r="H306" s="385" t="s">
        <v>1695</v>
      </c>
      <c r="I306" s="385" t="s">
        <v>2308</v>
      </c>
      <c r="J306" s="385" t="s">
        <v>2309</v>
      </c>
      <c r="K306" s="75" t="s">
        <v>1750</v>
      </c>
      <c r="M306" s="4" t="s">
        <v>3865</v>
      </c>
      <c r="N306" s="4" t="s">
        <v>3865</v>
      </c>
      <c r="Q306" t="s">
        <v>3900</v>
      </c>
      <c r="R306" t="s">
        <v>3901</v>
      </c>
    </row>
    <row r="307" spans="1:18" ht="29" x14ac:dyDescent="0.35">
      <c r="A307" s="384">
        <v>2869</v>
      </c>
      <c r="B307" s="73">
        <v>2264</v>
      </c>
      <c r="C307" s="73">
        <v>78</v>
      </c>
      <c r="D307" s="74" t="s">
        <v>832</v>
      </c>
      <c r="E307" s="74" t="s">
        <v>833</v>
      </c>
      <c r="F307" s="73" t="s">
        <v>1002</v>
      </c>
      <c r="G307" s="73">
        <v>7812</v>
      </c>
      <c r="H307" s="385" t="s">
        <v>1695</v>
      </c>
      <c r="I307" s="385" t="s">
        <v>2310</v>
      </c>
      <c r="J307" s="385" t="s">
        <v>2311</v>
      </c>
      <c r="K307" s="75" t="s">
        <v>1750</v>
      </c>
      <c r="M307" s="4" t="s">
        <v>3865</v>
      </c>
      <c r="N307" s="4" t="s">
        <v>3878</v>
      </c>
      <c r="Q307" t="s">
        <v>3900</v>
      </c>
      <c r="R307" t="s">
        <v>3901</v>
      </c>
    </row>
    <row r="308" spans="1:18" ht="29" x14ac:dyDescent="0.35">
      <c r="A308" s="73">
        <v>1450</v>
      </c>
      <c r="B308" s="73">
        <v>2266</v>
      </c>
      <c r="C308" s="73">
        <v>79</v>
      </c>
      <c r="D308" s="75" t="s">
        <v>837</v>
      </c>
      <c r="E308" s="75" t="s">
        <v>838</v>
      </c>
      <c r="F308" s="120" t="s">
        <v>1002</v>
      </c>
      <c r="G308" s="120">
        <v>7901</v>
      </c>
      <c r="H308" s="75" t="s">
        <v>2071</v>
      </c>
      <c r="I308" s="75" t="s">
        <v>2072</v>
      </c>
      <c r="J308" s="75" t="s">
        <v>2312</v>
      </c>
      <c r="K308" s="73"/>
      <c r="M308" s="4" t="s">
        <v>3865</v>
      </c>
      <c r="N308" s="4" t="s">
        <v>3865</v>
      </c>
      <c r="Q308" t="s">
        <v>3900</v>
      </c>
      <c r="R308" t="s">
        <v>3901</v>
      </c>
    </row>
    <row r="309" spans="1:18" ht="43.5" x14ac:dyDescent="0.35">
      <c r="A309" s="73">
        <v>1665</v>
      </c>
      <c r="B309" s="73">
        <v>2267</v>
      </c>
      <c r="C309" s="73">
        <v>79</v>
      </c>
      <c r="D309" s="75" t="s">
        <v>839</v>
      </c>
      <c r="E309" s="75" t="s">
        <v>840</v>
      </c>
      <c r="F309" s="120" t="s">
        <v>1002</v>
      </c>
      <c r="G309" s="120">
        <v>7902</v>
      </c>
      <c r="H309" s="75" t="s">
        <v>1695</v>
      </c>
      <c r="I309" s="75" t="s">
        <v>2313</v>
      </c>
      <c r="J309" s="75" t="s">
        <v>2314</v>
      </c>
      <c r="K309" s="73">
        <v>884455</v>
      </c>
      <c r="L309" s="261" t="s">
        <v>1782</v>
      </c>
      <c r="M309" s="4" t="s">
        <v>3865</v>
      </c>
      <c r="N309" s="4" t="s">
        <v>3865</v>
      </c>
      <c r="Q309" t="s">
        <v>3900</v>
      </c>
      <c r="R309" t="s">
        <v>3901</v>
      </c>
    </row>
    <row r="310" spans="1:18" ht="29" x14ac:dyDescent="0.35">
      <c r="A310" s="384">
        <v>2870</v>
      </c>
      <c r="B310" s="73">
        <v>2269</v>
      </c>
      <c r="C310" s="73">
        <v>79</v>
      </c>
      <c r="D310" s="74" t="s">
        <v>844</v>
      </c>
      <c r="E310" s="74" t="s">
        <v>845</v>
      </c>
      <c r="F310" s="73" t="s">
        <v>1002</v>
      </c>
      <c r="G310" s="73">
        <v>7811</v>
      </c>
      <c r="H310" s="385" t="s">
        <v>1695</v>
      </c>
      <c r="I310" s="385" t="s">
        <v>2315</v>
      </c>
      <c r="J310" s="385" t="s">
        <v>2316</v>
      </c>
      <c r="K310" s="75" t="s">
        <v>1750</v>
      </c>
      <c r="M310" s="4" t="s">
        <v>3874</v>
      </c>
      <c r="N310" s="4" t="s">
        <v>3865</v>
      </c>
      <c r="Q310" t="s">
        <v>3900</v>
      </c>
      <c r="R310" t="s">
        <v>3901</v>
      </c>
    </row>
    <row r="311" spans="1:18" ht="29" x14ac:dyDescent="0.35">
      <c r="A311" s="384">
        <v>2871</v>
      </c>
      <c r="B311" s="73">
        <v>2270</v>
      </c>
      <c r="C311" s="73">
        <v>79</v>
      </c>
      <c r="D311" s="74" t="s">
        <v>846</v>
      </c>
      <c r="E311" s="74" t="s">
        <v>847</v>
      </c>
      <c r="F311" s="73" t="s">
        <v>1002</v>
      </c>
      <c r="G311" s="73">
        <v>7812</v>
      </c>
      <c r="H311" s="385" t="s">
        <v>1695</v>
      </c>
      <c r="I311" s="385" t="s">
        <v>2317</v>
      </c>
      <c r="J311" s="385" t="s">
        <v>2318</v>
      </c>
      <c r="K311" s="75" t="s">
        <v>1750</v>
      </c>
      <c r="M311" s="4" t="s">
        <v>3875</v>
      </c>
      <c r="N311" s="4" t="s">
        <v>3879</v>
      </c>
      <c r="Q311" t="s">
        <v>3900</v>
      </c>
      <c r="R311" t="s">
        <v>3901</v>
      </c>
    </row>
    <row r="312" spans="1:18" ht="58" x14ac:dyDescent="0.35">
      <c r="A312" s="386">
        <v>1607</v>
      </c>
      <c r="B312" s="313">
        <v>2649</v>
      </c>
      <c r="C312" s="313">
        <v>80</v>
      </c>
      <c r="D312" s="315" t="s">
        <v>2319</v>
      </c>
      <c r="E312" s="315" t="s">
        <v>985</v>
      </c>
      <c r="F312" s="320" t="s">
        <v>2320</v>
      </c>
      <c r="G312" s="313">
        <v>8001</v>
      </c>
      <c r="H312" s="387" t="s">
        <v>1695</v>
      </c>
      <c r="I312" s="387" t="s">
        <v>2321</v>
      </c>
      <c r="J312" s="387" t="s">
        <v>2322</v>
      </c>
      <c r="K312" s="314" t="s">
        <v>2323</v>
      </c>
      <c r="M312" s="4" t="s">
        <v>3871</v>
      </c>
      <c r="N312" s="4" t="s">
        <v>3865</v>
      </c>
      <c r="Q312" t="s">
        <v>3900</v>
      </c>
      <c r="R312" t="s">
        <v>3901</v>
      </c>
    </row>
    <row r="313" spans="1:18" ht="43.5" x14ac:dyDescent="0.35">
      <c r="A313" s="94">
        <v>1788</v>
      </c>
      <c r="B313" s="94">
        <v>2275</v>
      </c>
      <c r="C313" s="94" t="s">
        <v>2324</v>
      </c>
      <c r="D313" s="158" t="s">
        <v>2325</v>
      </c>
      <c r="E313" s="77" t="s">
        <v>859</v>
      </c>
      <c r="F313" s="159" t="s">
        <v>1002</v>
      </c>
      <c r="G313" s="159">
        <v>8101</v>
      </c>
      <c r="H313" s="158" t="s">
        <v>2235</v>
      </c>
      <c r="I313" s="158" t="s">
        <v>2326</v>
      </c>
      <c r="J313" s="158" t="s">
        <v>2327</v>
      </c>
      <c r="K313" s="94">
        <v>887214</v>
      </c>
      <c r="L313" s="188"/>
      <c r="M313" s="4" t="s">
        <v>3865</v>
      </c>
      <c r="N313" s="4" t="s">
        <v>3865</v>
      </c>
      <c r="Q313" t="s">
        <v>3900</v>
      </c>
      <c r="R313" t="s">
        <v>3901</v>
      </c>
    </row>
    <row r="314" spans="1:18" ht="43.5" x14ac:dyDescent="0.35">
      <c r="A314" s="94">
        <v>1789</v>
      </c>
      <c r="B314" s="94">
        <v>2278</v>
      </c>
      <c r="C314" s="94" t="s">
        <v>2328</v>
      </c>
      <c r="D314" s="158" t="s">
        <v>2329</v>
      </c>
      <c r="E314" s="77" t="s">
        <v>867</v>
      </c>
      <c r="F314" s="159" t="s">
        <v>1002</v>
      </c>
      <c r="G314" s="159">
        <v>8111</v>
      </c>
      <c r="H314" s="158" t="s">
        <v>2235</v>
      </c>
      <c r="I314" s="158" t="s">
        <v>2330</v>
      </c>
      <c r="J314" s="158" t="s">
        <v>2331</v>
      </c>
      <c r="K314" s="94">
        <v>887214</v>
      </c>
      <c r="L314" s="188"/>
      <c r="M314" s="4" t="s">
        <v>3865</v>
      </c>
      <c r="N314" s="4" t="s">
        <v>3865</v>
      </c>
      <c r="Q314" t="s">
        <v>3898</v>
      </c>
      <c r="R314" t="s">
        <v>3984</v>
      </c>
    </row>
    <row r="315" spans="1:18" ht="43.5" x14ac:dyDescent="0.35">
      <c r="A315" s="94">
        <v>1790</v>
      </c>
      <c r="B315" s="94">
        <v>2281</v>
      </c>
      <c r="C315" s="94" t="s">
        <v>2332</v>
      </c>
      <c r="D315" s="158" t="s">
        <v>2333</v>
      </c>
      <c r="E315" s="77" t="s">
        <v>874</v>
      </c>
      <c r="F315" s="159" t="s">
        <v>1002</v>
      </c>
      <c r="G315" s="159">
        <v>8121</v>
      </c>
      <c r="H315" s="158" t="s">
        <v>2235</v>
      </c>
      <c r="I315" s="158" t="s">
        <v>2334</v>
      </c>
      <c r="J315" s="158" t="s">
        <v>2335</v>
      </c>
      <c r="K315" s="94">
        <v>887214</v>
      </c>
      <c r="L315" s="188"/>
      <c r="M315" s="4" t="s">
        <v>3865</v>
      </c>
      <c r="N315" s="4" t="s">
        <v>3865</v>
      </c>
      <c r="Q315" t="s">
        <v>3898</v>
      </c>
      <c r="R315" t="s">
        <v>3985</v>
      </c>
    </row>
    <row r="316" spans="1:18" ht="43.5" x14ac:dyDescent="0.35">
      <c r="A316" s="94">
        <v>1791</v>
      </c>
      <c r="B316" s="94">
        <v>2284</v>
      </c>
      <c r="C316" s="94" t="s">
        <v>2336</v>
      </c>
      <c r="D316" s="158" t="s">
        <v>2337</v>
      </c>
      <c r="E316" s="77" t="s">
        <v>881</v>
      </c>
      <c r="F316" s="159" t="s">
        <v>1002</v>
      </c>
      <c r="G316" s="159">
        <v>8131</v>
      </c>
      <c r="H316" s="158" t="s">
        <v>2235</v>
      </c>
      <c r="I316" s="158" t="s">
        <v>2338</v>
      </c>
      <c r="J316" s="158" t="s">
        <v>2339</v>
      </c>
      <c r="K316" s="94">
        <v>887214</v>
      </c>
      <c r="L316" s="188"/>
      <c r="M316" s="4" t="s">
        <v>3865</v>
      </c>
      <c r="N316" s="4" t="s">
        <v>3865</v>
      </c>
      <c r="Q316" t="s">
        <v>3898</v>
      </c>
      <c r="R316" t="s">
        <v>3986</v>
      </c>
    </row>
    <row r="317" spans="1:18" x14ac:dyDescent="0.35">
      <c r="Q317" t="s">
        <v>3898</v>
      </c>
      <c r="R317" t="s">
        <v>3987</v>
      </c>
    </row>
    <row r="318" spans="1:18" x14ac:dyDescent="0.35">
      <c r="Q318" t="s">
        <v>3898</v>
      </c>
      <c r="R318" t="s">
        <v>3988</v>
      </c>
    </row>
    <row r="319" spans="1:18" x14ac:dyDescent="0.35">
      <c r="Q319" t="s">
        <v>3898</v>
      </c>
      <c r="R319" t="s">
        <v>3989</v>
      </c>
    </row>
    <row r="320" spans="1:18" x14ac:dyDescent="0.35">
      <c r="Q320" t="s">
        <v>3898</v>
      </c>
      <c r="R320" t="s">
        <v>3990</v>
      </c>
    </row>
    <row r="321" spans="17:18" x14ac:dyDescent="0.35">
      <c r="Q321" t="s">
        <v>3898</v>
      </c>
      <c r="R321" t="s">
        <v>3991</v>
      </c>
    </row>
    <row r="322" spans="17:18" x14ac:dyDescent="0.35">
      <c r="Q322" t="s">
        <v>3898</v>
      </c>
      <c r="R322" t="s">
        <v>3992</v>
      </c>
    </row>
    <row r="323" spans="17:18" x14ac:dyDescent="0.35">
      <c r="Q323" t="s">
        <v>3898</v>
      </c>
      <c r="R323" t="s">
        <v>3993</v>
      </c>
    </row>
    <row r="324" spans="17:18" x14ac:dyDescent="0.35">
      <c r="Q324" t="s">
        <v>3898</v>
      </c>
      <c r="R324" t="s">
        <v>3994</v>
      </c>
    </row>
    <row r="325" spans="17:18" x14ac:dyDescent="0.35">
      <c r="Q325" t="s">
        <v>3898</v>
      </c>
      <c r="R325" t="s">
        <v>3995</v>
      </c>
    </row>
    <row r="326" spans="17:18" x14ac:dyDescent="0.35">
      <c r="Q326" t="s">
        <v>3898</v>
      </c>
      <c r="R326" t="s">
        <v>3996</v>
      </c>
    </row>
    <row r="327" spans="17:18" x14ac:dyDescent="0.35">
      <c r="Q327" t="s">
        <v>3898</v>
      </c>
      <c r="R327" t="s">
        <v>3997</v>
      </c>
    </row>
    <row r="328" spans="17:18" x14ac:dyDescent="0.35">
      <c r="Q328" t="s">
        <v>3898</v>
      </c>
      <c r="R328" t="s">
        <v>3998</v>
      </c>
    </row>
    <row r="329" spans="17:18" x14ac:dyDescent="0.35">
      <c r="Q329" t="s">
        <v>3898</v>
      </c>
      <c r="R329" t="s">
        <v>3999</v>
      </c>
    </row>
    <row r="330" spans="17:18" x14ac:dyDescent="0.35">
      <c r="Q330" t="s">
        <v>3898</v>
      </c>
      <c r="R330" t="s">
        <v>4000</v>
      </c>
    </row>
    <row r="331" spans="17:18" x14ac:dyDescent="0.35">
      <c r="Q331" t="s">
        <v>3898</v>
      </c>
      <c r="R331" t="s">
        <v>4001</v>
      </c>
    </row>
    <row r="332" spans="17:18" x14ac:dyDescent="0.35">
      <c r="Q332" t="s">
        <v>3900</v>
      </c>
      <c r="R332" t="s">
        <v>3901</v>
      </c>
    </row>
    <row r="333" spans="17:18" x14ac:dyDescent="0.35">
      <c r="Q333" t="s">
        <v>3900</v>
      </c>
      <c r="R333" t="s">
        <v>3901</v>
      </c>
    </row>
    <row r="334" spans="17:18" x14ac:dyDescent="0.35">
      <c r="Q334" t="s">
        <v>3900</v>
      </c>
      <c r="R334" t="s">
        <v>3901</v>
      </c>
    </row>
    <row r="335" spans="17:18" x14ac:dyDescent="0.35">
      <c r="Q335" t="s">
        <v>3898</v>
      </c>
      <c r="R335" t="s">
        <v>4002</v>
      </c>
    </row>
    <row r="336" spans="17:18" x14ac:dyDescent="0.35">
      <c r="Q336" t="s">
        <v>3898</v>
      </c>
      <c r="R336" t="s">
        <v>4003</v>
      </c>
    </row>
    <row r="337" spans="17:18" x14ac:dyDescent="0.35">
      <c r="Q337" t="s">
        <v>3900</v>
      </c>
      <c r="R337" t="s">
        <v>3901</v>
      </c>
    </row>
    <row r="338" spans="17:18" x14ac:dyDescent="0.35">
      <c r="Q338" t="s">
        <v>3900</v>
      </c>
      <c r="R338" t="s">
        <v>3901</v>
      </c>
    </row>
    <row r="339" spans="17:18" x14ac:dyDescent="0.35">
      <c r="Q339" t="s">
        <v>3900</v>
      </c>
      <c r="R339" t="s">
        <v>3901</v>
      </c>
    </row>
    <row r="340" spans="17:18" x14ac:dyDescent="0.35">
      <c r="Q340" t="s">
        <v>3898</v>
      </c>
      <c r="R340" t="s">
        <v>4004</v>
      </c>
    </row>
    <row r="341" spans="17:18" x14ac:dyDescent="0.35">
      <c r="Q341" t="s">
        <v>3898</v>
      </c>
      <c r="R341" t="s">
        <v>4005</v>
      </c>
    </row>
    <row r="342" spans="17:18" x14ac:dyDescent="0.35">
      <c r="Q342" t="s">
        <v>3900</v>
      </c>
      <c r="R342" t="s">
        <v>3901</v>
      </c>
    </row>
    <row r="343" spans="17:18" x14ac:dyDescent="0.35">
      <c r="Q343" t="s">
        <v>3900</v>
      </c>
      <c r="R343" t="s">
        <v>3901</v>
      </c>
    </row>
    <row r="344" spans="17:18" x14ac:dyDescent="0.35">
      <c r="Q344" t="s">
        <v>3898</v>
      </c>
      <c r="R344" t="s">
        <v>4006</v>
      </c>
    </row>
    <row r="345" spans="17:18" x14ac:dyDescent="0.35">
      <c r="Q345" t="s">
        <v>3898</v>
      </c>
      <c r="R345" t="s">
        <v>4007</v>
      </c>
    </row>
    <row r="346" spans="17:18" x14ac:dyDescent="0.35">
      <c r="Q346" t="s">
        <v>3900</v>
      </c>
      <c r="R346" t="s">
        <v>3901</v>
      </c>
    </row>
    <row r="347" spans="17:18" x14ac:dyDescent="0.35">
      <c r="Q347" t="s">
        <v>3900</v>
      </c>
      <c r="R347" t="s">
        <v>3901</v>
      </c>
    </row>
    <row r="348" spans="17:18" x14ac:dyDescent="0.35">
      <c r="Q348" t="s">
        <v>3898</v>
      </c>
      <c r="R348" t="s">
        <v>4008</v>
      </c>
    </row>
    <row r="349" spans="17:18" x14ac:dyDescent="0.35">
      <c r="Q349" t="s">
        <v>3898</v>
      </c>
      <c r="R349" t="s">
        <v>4009</v>
      </c>
    </row>
    <row r="350" spans="17:18" x14ac:dyDescent="0.35">
      <c r="Q350" t="s">
        <v>3898</v>
      </c>
      <c r="R350" t="s">
        <v>4010</v>
      </c>
    </row>
    <row r="351" spans="17:18" x14ac:dyDescent="0.35">
      <c r="Q351" t="s">
        <v>3900</v>
      </c>
      <c r="R351" t="s">
        <v>3901</v>
      </c>
    </row>
    <row r="352" spans="17:18" x14ac:dyDescent="0.35">
      <c r="Q352" t="s">
        <v>3900</v>
      </c>
      <c r="R352" t="s">
        <v>3901</v>
      </c>
    </row>
    <row r="353" spans="17:18" x14ac:dyDescent="0.35">
      <c r="Q353" t="s">
        <v>3900</v>
      </c>
      <c r="R353" t="s">
        <v>3901</v>
      </c>
    </row>
    <row r="354" spans="17:18" x14ac:dyDescent="0.35">
      <c r="Q354" t="s">
        <v>3900</v>
      </c>
      <c r="R354" t="s">
        <v>3901</v>
      </c>
    </row>
  </sheetData>
  <phoneticPr fontId="5" type="noConversion"/>
  <hyperlinks>
    <hyperlink ref="N303" r:id="rId1" xr:uid="{C777379D-29CF-48D3-9E65-B6E018B35D6B}"/>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E7FD-6AB4-4B1F-9207-567AAE3C739D}">
  <sheetPr>
    <tabColor theme="2" tint="-0.249977111117893"/>
  </sheetPr>
  <dimension ref="A1:K50"/>
  <sheetViews>
    <sheetView zoomScaleNormal="100" workbookViewId="0">
      <pane ySplit="1" topLeftCell="A2" activePane="bottomLeft" state="frozen"/>
      <selection pane="bottomLeft" activeCell="A2" sqref="A2"/>
    </sheetView>
  </sheetViews>
  <sheetFormatPr defaultColWidth="9.26953125" defaultRowHeight="14.5" x14ac:dyDescent="0.35"/>
  <cols>
    <col min="1" max="1" width="7.26953125" style="22" customWidth="1"/>
    <col min="2" max="2" width="6.26953125" style="22" customWidth="1"/>
    <col min="3" max="3" width="8" style="22" customWidth="1"/>
    <col min="4" max="4" width="22.7265625" style="72" customWidth="1"/>
    <col min="5" max="5" width="21.453125" style="72" bestFit="1" customWidth="1"/>
    <col min="6" max="6" width="8.26953125" style="22" customWidth="1"/>
    <col min="7" max="7" width="10" style="22" bestFit="1" customWidth="1"/>
    <col min="8" max="8" width="24.7265625" style="72" customWidth="1"/>
    <col min="9" max="9" width="66.26953125" style="76" customWidth="1"/>
    <col min="10" max="10" width="46" style="72" customWidth="1"/>
    <col min="11" max="11" width="30.81640625" style="76" customWidth="1"/>
    <col min="12" max="16384" width="9.26953125" style="22"/>
  </cols>
  <sheetData>
    <row r="1" spans="1:11" s="3" customFormat="1" ht="29" x14ac:dyDescent="0.35">
      <c r="A1" s="2" t="s">
        <v>989</v>
      </c>
      <c r="B1" s="1" t="s">
        <v>991</v>
      </c>
      <c r="C1" s="70" t="s">
        <v>990</v>
      </c>
      <c r="D1" s="5" t="s">
        <v>2340</v>
      </c>
      <c r="E1" s="5" t="s">
        <v>2341</v>
      </c>
      <c r="F1" s="5" t="s">
        <v>2342</v>
      </c>
      <c r="G1" s="5" t="s">
        <v>996</v>
      </c>
      <c r="H1" s="69" t="s">
        <v>997</v>
      </c>
      <c r="I1" s="69" t="s">
        <v>2343</v>
      </c>
      <c r="J1" s="69" t="s">
        <v>2344</v>
      </c>
      <c r="K1" s="71" t="s">
        <v>1001</v>
      </c>
    </row>
    <row r="2" spans="1:11" s="4" customFormat="1" ht="29" x14ac:dyDescent="0.35">
      <c r="A2" s="24">
        <v>1622</v>
      </c>
      <c r="B2" s="24" t="s">
        <v>2345</v>
      </c>
      <c r="C2" s="24">
        <v>2309</v>
      </c>
      <c r="D2" s="48" t="s">
        <v>2346</v>
      </c>
      <c r="E2" s="26" t="s">
        <v>888</v>
      </c>
      <c r="F2" s="25" t="s">
        <v>1002</v>
      </c>
      <c r="G2" s="25" t="s">
        <v>2347</v>
      </c>
      <c r="H2" s="26" t="s">
        <v>2348</v>
      </c>
      <c r="I2" s="26" t="s">
        <v>2349</v>
      </c>
      <c r="J2" s="26" t="s">
        <v>2350</v>
      </c>
      <c r="K2" s="26"/>
    </row>
    <row r="3" spans="1:11" s="4" customFormat="1" ht="29" x14ac:dyDescent="0.35">
      <c r="A3" s="24">
        <v>1623</v>
      </c>
      <c r="B3" s="24" t="s">
        <v>2345</v>
      </c>
      <c r="C3" s="24">
        <v>2309</v>
      </c>
      <c r="D3" s="48" t="s">
        <v>2346</v>
      </c>
      <c r="E3" s="26" t="s">
        <v>888</v>
      </c>
      <c r="F3" s="25" t="s">
        <v>1002</v>
      </c>
      <c r="G3" s="25" t="s">
        <v>2351</v>
      </c>
      <c r="H3" s="26" t="s">
        <v>2352</v>
      </c>
      <c r="I3" s="26" t="s">
        <v>2353</v>
      </c>
      <c r="J3" s="26" t="s">
        <v>2354</v>
      </c>
      <c r="K3" s="26"/>
    </row>
    <row r="4" spans="1:11" ht="43.5" x14ac:dyDescent="0.35">
      <c r="A4" s="24">
        <v>1279</v>
      </c>
      <c r="B4" s="24">
        <v>60</v>
      </c>
      <c r="C4" s="24">
        <v>2307</v>
      </c>
      <c r="D4" s="198" t="s">
        <v>2355</v>
      </c>
      <c r="E4" s="198" t="s">
        <v>558</v>
      </c>
      <c r="F4" s="25" t="s">
        <v>1002</v>
      </c>
      <c r="G4" s="25" t="s">
        <v>2356</v>
      </c>
      <c r="H4" s="199" t="s">
        <v>2357</v>
      </c>
      <c r="I4" s="198" t="s">
        <v>2358</v>
      </c>
      <c r="J4" s="198" t="s">
        <v>2359</v>
      </c>
      <c r="K4" s="200" t="s">
        <v>2360</v>
      </c>
    </row>
    <row r="5" spans="1:11" ht="43.5" x14ac:dyDescent="0.35">
      <c r="A5" s="24">
        <v>1280</v>
      </c>
      <c r="B5" s="24" t="s">
        <v>1029</v>
      </c>
      <c r="C5" s="24">
        <v>2033</v>
      </c>
      <c r="D5" s="26" t="s">
        <v>103</v>
      </c>
      <c r="E5" s="48" t="s">
        <v>104</v>
      </c>
      <c r="F5" s="25" t="s">
        <v>1002</v>
      </c>
      <c r="G5" s="25" t="s">
        <v>2361</v>
      </c>
      <c r="H5" s="201" t="s">
        <v>2357</v>
      </c>
      <c r="I5" s="26" t="s">
        <v>2362</v>
      </c>
      <c r="J5" s="26" t="s">
        <v>2363</v>
      </c>
      <c r="K5" s="197" t="s">
        <v>2364</v>
      </c>
    </row>
    <row r="6" spans="1:11" ht="43.5" x14ac:dyDescent="0.35">
      <c r="A6" s="24">
        <v>1281</v>
      </c>
      <c r="B6" s="24">
        <v>10</v>
      </c>
      <c r="C6" s="24">
        <v>2044</v>
      </c>
      <c r="D6" s="26" t="s">
        <v>2365</v>
      </c>
      <c r="E6" s="48" t="s">
        <v>133</v>
      </c>
      <c r="F6" s="25" t="s">
        <v>1002</v>
      </c>
      <c r="G6" s="25" t="s">
        <v>2366</v>
      </c>
      <c r="H6" s="201" t="s">
        <v>2357</v>
      </c>
      <c r="I6" s="26" t="s">
        <v>2367</v>
      </c>
      <c r="J6" s="26" t="s">
        <v>2368</v>
      </c>
      <c r="K6" s="197" t="s">
        <v>2369</v>
      </c>
    </row>
    <row r="7" spans="1:11" ht="43.5" x14ac:dyDescent="0.35">
      <c r="A7" s="24">
        <v>1282</v>
      </c>
      <c r="B7" s="24">
        <v>60</v>
      </c>
      <c r="C7" s="24">
        <v>2307</v>
      </c>
      <c r="D7" s="198" t="s">
        <v>2355</v>
      </c>
      <c r="E7" s="26" t="s">
        <v>558</v>
      </c>
      <c r="F7" s="25" t="s">
        <v>1002</v>
      </c>
      <c r="G7" s="25" t="s">
        <v>2370</v>
      </c>
      <c r="H7" s="201" t="s">
        <v>2357</v>
      </c>
      <c r="I7" s="26" t="s">
        <v>2371</v>
      </c>
      <c r="J7" s="26" t="s">
        <v>2372</v>
      </c>
      <c r="K7" s="202" t="s">
        <v>2373</v>
      </c>
    </row>
    <row r="8" spans="1:11" ht="43.5" x14ac:dyDescent="0.35">
      <c r="A8" s="24">
        <v>1283</v>
      </c>
      <c r="B8" s="24">
        <v>60</v>
      </c>
      <c r="C8" s="24">
        <v>2307</v>
      </c>
      <c r="D8" s="198" t="s">
        <v>2355</v>
      </c>
      <c r="E8" s="26" t="s">
        <v>558</v>
      </c>
      <c r="F8" s="25" t="s">
        <v>1002</v>
      </c>
      <c r="G8" s="25" t="s">
        <v>2374</v>
      </c>
      <c r="H8" s="201" t="s">
        <v>2357</v>
      </c>
      <c r="I8" s="26" t="s">
        <v>2375</v>
      </c>
      <c r="J8" s="26" t="s">
        <v>2376</v>
      </c>
      <c r="K8" s="203" t="s">
        <v>2377</v>
      </c>
    </row>
    <row r="9" spans="1:11" ht="58" x14ac:dyDescent="0.35">
      <c r="A9" s="24">
        <v>1300</v>
      </c>
      <c r="B9" s="24">
        <v>4</v>
      </c>
      <c r="C9" s="24">
        <v>2024</v>
      </c>
      <c r="D9" s="169" t="s">
        <v>77</v>
      </c>
      <c r="E9" s="169" t="s">
        <v>78</v>
      </c>
      <c r="F9" s="24" t="s">
        <v>1002</v>
      </c>
      <c r="G9" s="24">
        <v>9201</v>
      </c>
      <c r="H9" s="204" t="s">
        <v>2378</v>
      </c>
      <c r="I9" s="169" t="s">
        <v>2379</v>
      </c>
      <c r="J9" s="26" t="s">
        <v>2380</v>
      </c>
      <c r="K9" s="205" t="s">
        <v>2381</v>
      </c>
    </row>
    <row r="10" spans="1:11" ht="87" x14ac:dyDescent="0.35">
      <c r="A10" s="24">
        <v>1397</v>
      </c>
      <c r="B10" s="24">
        <v>6</v>
      </c>
      <c r="C10" s="24">
        <v>2026</v>
      </c>
      <c r="D10" s="48" t="s">
        <v>2382</v>
      </c>
      <c r="E10" s="148" t="s">
        <v>84</v>
      </c>
      <c r="F10" s="24" t="s">
        <v>1002</v>
      </c>
      <c r="G10" s="24">
        <v>9205</v>
      </c>
      <c r="H10" s="204" t="s">
        <v>2378</v>
      </c>
      <c r="I10" s="169" t="s">
        <v>2383</v>
      </c>
      <c r="J10" s="26" t="s">
        <v>2384</v>
      </c>
      <c r="K10" s="205" t="s">
        <v>2385</v>
      </c>
    </row>
    <row r="11" spans="1:11" ht="72.5" x14ac:dyDescent="0.35">
      <c r="A11" s="24">
        <v>1398</v>
      </c>
      <c r="B11" s="24">
        <v>12</v>
      </c>
      <c r="C11" s="24">
        <v>2046</v>
      </c>
      <c r="D11" s="148" t="s">
        <v>140</v>
      </c>
      <c r="E11" s="148" t="s">
        <v>141</v>
      </c>
      <c r="F11" s="24" t="s">
        <v>1002</v>
      </c>
      <c r="G11" s="24">
        <v>9206</v>
      </c>
      <c r="H11" s="204" t="s">
        <v>2378</v>
      </c>
      <c r="I11" s="178" t="s">
        <v>2386</v>
      </c>
      <c r="J11" s="26" t="s">
        <v>2387</v>
      </c>
      <c r="K11" s="205" t="s">
        <v>2388</v>
      </c>
    </row>
    <row r="12" spans="1:11" ht="87" x14ac:dyDescent="0.35">
      <c r="A12" s="24">
        <v>1399</v>
      </c>
      <c r="B12" s="24">
        <v>17</v>
      </c>
      <c r="C12" s="24">
        <v>2051</v>
      </c>
      <c r="D12" s="148" t="s">
        <v>159</v>
      </c>
      <c r="E12" s="148" t="s">
        <v>160</v>
      </c>
      <c r="F12" s="24" t="s">
        <v>1002</v>
      </c>
      <c r="G12" s="24">
        <v>9210</v>
      </c>
      <c r="H12" s="204" t="s">
        <v>2389</v>
      </c>
      <c r="I12" s="169" t="s">
        <v>2390</v>
      </c>
      <c r="J12" s="26" t="s">
        <v>2391</v>
      </c>
      <c r="K12" s="205" t="s">
        <v>2392</v>
      </c>
    </row>
    <row r="13" spans="1:11" ht="43.5" x14ac:dyDescent="0.35">
      <c r="A13" s="24">
        <v>1301</v>
      </c>
      <c r="B13" s="24" t="s">
        <v>1063</v>
      </c>
      <c r="C13" s="161">
        <v>2065</v>
      </c>
      <c r="D13" s="148" t="s">
        <v>201</v>
      </c>
      <c r="E13" s="148" t="s">
        <v>202</v>
      </c>
      <c r="F13" s="24" t="s">
        <v>1002</v>
      </c>
      <c r="G13" s="161">
        <v>9231</v>
      </c>
      <c r="H13" s="204" t="s">
        <v>2378</v>
      </c>
      <c r="I13" s="169" t="s">
        <v>2393</v>
      </c>
      <c r="J13" s="26" t="s">
        <v>2394</v>
      </c>
      <c r="K13" s="205" t="s">
        <v>2395</v>
      </c>
    </row>
    <row r="14" spans="1:11" ht="43.5" x14ac:dyDescent="0.35">
      <c r="A14" s="24">
        <v>1302</v>
      </c>
      <c r="B14" s="24" t="s">
        <v>1066</v>
      </c>
      <c r="C14" s="161">
        <v>2067</v>
      </c>
      <c r="D14" s="148" t="s">
        <v>207</v>
      </c>
      <c r="E14" s="148" t="s">
        <v>208</v>
      </c>
      <c r="F14" s="24" t="s">
        <v>1002</v>
      </c>
      <c r="G14" s="161">
        <v>9232</v>
      </c>
      <c r="H14" s="204" t="s">
        <v>2378</v>
      </c>
      <c r="I14" s="169" t="s">
        <v>2393</v>
      </c>
      <c r="J14" s="26" t="s">
        <v>2396</v>
      </c>
      <c r="K14" s="205" t="s">
        <v>2395</v>
      </c>
    </row>
    <row r="15" spans="1:11" ht="43.5" x14ac:dyDescent="0.35">
      <c r="A15" s="24">
        <v>1303</v>
      </c>
      <c r="B15" s="24" t="s">
        <v>1067</v>
      </c>
      <c r="C15" s="161">
        <v>2069</v>
      </c>
      <c r="D15" s="148" t="s">
        <v>212</v>
      </c>
      <c r="E15" s="148" t="s">
        <v>213</v>
      </c>
      <c r="F15" s="24" t="s">
        <v>1002</v>
      </c>
      <c r="G15" s="161">
        <v>9233</v>
      </c>
      <c r="H15" s="204" t="s">
        <v>2378</v>
      </c>
      <c r="I15" s="169" t="s">
        <v>2393</v>
      </c>
      <c r="J15" s="26" t="s">
        <v>2397</v>
      </c>
      <c r="K15" s="205" t="s">
        <v>2395</v>
      </c>
    </row>
    <row r="16" spans="1:11" ht="43.5" x14ac:dyDescent="0.35">
      <c r="A16" s="24">
        <v>1304</v>
      </c>
      <c r="B16" s="24" t="s">
        <v>1068</v>
      </c>
      <c r="C16" s="161">
        <v>2071</v>
      </c>
      <c r="D16" s="148" t="s">
        <v>217</v>
      </c>
      <c r="E16" s="148" t="s">
        <v>218</v>
      </c>
      <c r="F16" s="24" t="s">
        <v>1002</v>
      </c>
      <c r="G16" s="161">
        <v>9234</v>
      </c>
      <c r="H16" s="204" t="s">
        <v>2378</v>
      </c>
      <c r="I16" s="169" t="s">
        <v>2393</v>
      </c>
      <c r="J16" s="26" t="s">
        <v>2398</v>
      </c>
      <c r="K16" s="205" t="s">
        <v>2395</v>
      </c>
    </row>
    <row r="17" spans="1:11" ht="43.5" x14ac:dyDescent="0.35">
      <c r="A17" s="24">
        <v>1305</v>
      </c>
      <c r="B17" s="24" t="s">
        <v>1069</v>
      </c>
      <c r="C17" s="161">
        <v>2073</v>
      </c>
      <c r="D17" s="148" t="s">
        <v>222</v>
      </c>
      <c r="E17" s="148" t="s">
        <v>223</v>
      </c>
      <c r="F17" s="24" t="s">
        <v>1002</v>
      </c>
      <c r="G17" s="161">
        <v>9235</v>
      </c>
      <c r="H17" s="204" t="s">
        <v>2378</v>
      </c>
      <c r="I17" s="169" t="s">
        <v>2393</v>
      </c>
      <c r="J17" s="26" t="s">
        <v>2399</v>
      </c>
      <c r="K17" s="205" t="s">
        <v>2395</v>
      </c>
    </row>
    <row r="18" spans="1:11" ht="43.5" x14ac:dyDescent="0.35">
      <c r="A18" s="24">
        <v>1306</v>
      </c>
      <c r="B18" s="24" t="s">
        <v>1070</v>
      </c>
      <c r="C18" s="161">
        <v>2075</v>
      </c>
      <c r="D18" s="148" t="s">
        <v>227</v>
      </c>
      <c r="E18" s="148" t="s">
        <v>228</v>
      </c>
      <c r="F18" s="24" t="s">
        <v>1002</v>
      </c>
      <c r="G18" s="161">
        <v>9236</v>
      </c>
      <c r="H18" s="204" t="s">
        <v>2378</v>
      </c>
      <c r="I18" s="169" t="s">
        <v>2393</v>
      </c>
      <c r="J18" s="26" t="s">
        <v>2400</v>
      </c>
      <c r="K18" s="205" t="s">
        <v>2395</v>
      </c>
    </row>
    <row r="19" spans="1:11" ht="43.5" x14ac:dyDescent="0.35">
      <c r="A19" s="24">
        <v>1307</v>
      </c>
      <c r="B19" s="24" t="s">
        <v>1071</v>
      </c>
      <c r="C19" s="161">
        <v>2077</v>
      </c>
      <c r="D19" s="148" t="s">
        <v>222</v>
      </c>
      <c r="E19" s="148" t="s">
        <v>233</v>
      </c>
      <c r="F19" s="24" t="s">
        <v>1002</v>
      </c>
      <c r="G19" s="161">
        <v>9237</v>
      </c>
      <c r="H19" s="204" t="s">
        <v>2378</v>
      </c>
      <c r="I19" s="169" t="s">
        <v>2393</v>
      </c>
      <c r="J19" s="26" t="s">
        <v>2401</v>
      </c>
      <c r="K19" s="205" t="s">
        <v>2395</v>
      </c>
    </row>
    <row r="20" spans="1:11" ht="43.5" x14ac:dyDescent="0.35">
      <c r="A20" s="24">
        <v>1308</v>
      </c>
      <c r="B20" s="24" t="s">
        <v>1072</v>
      </c>
      <c r="C20" s="161">
        <v>2079</v>
      </c>
      <c r="D20" s="148" t="s">
        <v>237</v>
      </c>
      <c r="E20" s="148" t="s">
        <v>238</v>
      </c>
      <c r="F20" s="24" t="s">
        <v>1002</v>
      </c>
      <c r="G20" s="161">
        <v>9238</v>
      </c>
      <c r="H20" s="204" t="s">
        <v>2378</v>
      </c>
      <c r="I20" s="169" t="s">
        <v>2393</v>
      </c>
      <c r="J20" s="26" t="s">
        <v>2402</v>
      </c>
      <c r="K20" s="205" t="s">
        <v>2395</v>
      </c>
    </row>
    <row r="21" spans="1:11" ht="58" x14ac:dyDescent="0.35">
      <c r="A21" s="24">
        <v>1309</v>
      </c>
      <c r="B21" s="24" t="s">
        <v>1073</v>
      </c>
      <c r="C21" s="161">
        <v>2081</v>
      </c>
      <c r="D21" s="148" t="s">
        <v>242</v>
      </c>
      <c r="E21" s="148" t="s">
        <v>243</v>
      </c>
      <c r="F21" s="24" t="s">
        <v>1002</v>
      </c>
      <c r="G21" s="161">
        <v>9246</v>
      </c>
      <c r="H21" s="204" t="s">
        <v>2378</v>
      </c>
      <c r="I21" s="169" t="s">
        <v>2403</v>
      </c>
      <c r="J21" s="26" t="s">
        <v>2404</v>
      </c>
      <c r="K21" s="205" t="s">
        <v>2405</v>
      </c>
    </row>
    <row r="22" spans="1:11" ht="58" x14ac:dyDescent="0.35">
      <c r="A22" s="24">
        <v>1310</v>
      </c>
      <c r="B22" s="24" t="s">
        <v>1078</v>
      </c>
      <c r="C22" s="161">
        <v>2084</v>
      </c>
      <c r="D22" s="148" t="s">
        <v>249</v>
      </c>
      <c r="E22" s="148" t="s">
        <v>250</v>
      </c>
      <c r="F22" s="24" t="s">
        <v>1002</v>
      </c>
      <c r="G22" s="161">
        <v>9247</v>
      </c>
      <c r="H22" s="204" t="s">
        <v>2378</v>
      </c>
      <c r="I22" s="169" t="s">
        <v>2403</v>
      </c>
      <c r="J22" s="26" t="s">
        <v>2406</v>
      </c>
      <c r="K22" s="205" t="s">
        <v>2405</v>
      </c>
    </row>
    <row r="23" spans="1:11" ht="58" x14ac:dyDescent="0.35">
      <c r="A23" s="24">
        <v>1311</v>
      </c>
      <c r="B23" s="24" t="s">
        <v>1083</v>
      </c>
      <c r="C23" s="161">
        <v>2087</v>
      </c>
      <c r="D23" s="148" t="s">
        <v>256</v>
      </c>
      <c r="E23" s="148" t="s">
        <v>257</v>
      </c>
      <c r="F23" s="24" t="s">
        <v>1002</v>
      </c>
      <c r="G23" s="161">
        <v>9248</v>
      </c>
      <c r="H23" s="204" t="s">
        <v>2378</v>
      </c>
      <c r="I23" s="169" t="s">
        <v>2403</v>
      </c>
      <c r="J23" s="26" t="s">
        <v>2407</v>
      </c>
      <c r="K23" s="205" t="s">
        <v>2405</v>
      </c>
    </row>
    <row r="24" spans="1:11" ht="58" x14ac:dyDescent="0.35">
      <c r="A24" s="24">
        <v>1312</v>
      </c>
      <c r="B24" s="24" t="s">
        <v>1088</v>
      </c>
      <c r="C24" s="161">
        <v>2090</v>
      </c>
      <c r="D24" s="148" t="s">
        <v>263</v>
      </c>
      <c r="E24" s="148" t="s">
        <v>264</v>
      </c>
      <c r="F24" s="24" t="s">
        <v>1002</v>
      </c>
      <c r="G24" s="161">
        <v>9249</v>
      </c>
      <c r="H24" s="204" t="s">
        <v>2378</v>
      </c>
      <c r="I24" s="169" t="s">
        <v>2403</v>
      </c>
      <c r="J24" s="26" t="s">
        <v>2408</v>
      </c>
      <c r="K24" s="205" t="s">
        <v>2405</v>
      </c>
    </row>
    <row r="25" spans="1:11" ht="43.5" x14ac:dyDescent="0.35">
      <c r="A25" s="24">
        <v>1313</v>
      </c>
      <c r="B25" s="24" t="s">
        <v>1095</v>
      </c>
      <c r="C25" s="161">
        <v>2105</v>
      </c>
      <c r="D25" s="148" t="s">
        <v>297</v>
      </c>
      <c r="E25" s="148" t="s">
        <v>298</v>
      </c>
      <c r="F25" s="24" t="s">
        <v>1002</v>
      </c>
      <c r="G25" s="161">
        <v>9250</v>
      </c>
      <c r="H25" s="204" t="s">
        <v>2378</v>
      </c>
      <c r="I25" s="169" t="s">
        <v>2409</v>
      </c>
      <c r="J25" s="26" t="s">
        <v>2410</v>
      </c>
      <c r="K25" s="205" t="s">
        <v>2411</v>
      </c>
    </row>
    <row r="26" spans="1:11" ht="43.5" x14ac:dyDescent="0.35">
      <c r="A26" s="24">
        <v>1314</v>
      </c>
      <c r="B26" s="24" t="s">
        <v>1099</v>
      </c>
      <c r="C26" s="161">
        <v>2107</v>
      </c>
      <c r="D26" s="148" t="s">
        <v>302</v>
      </c>
      <c r="E26" s="148" t="s">
        <v>303</v>
      </c>
      <c r="F26" s="24" t="s">
        <v>1002</v>
      </c>
      <c r="G26" s="161">
        <v>9251</v>
      </c>
      <c r="H26" s="204" t="s">
        <v>2378</v>
      </c>
      <c r="I26" s="169" t="s">
        <v>2409</v>
      </c>
      <c r="J26" s="26" t="s">
        <v>2412</v>
      </c>
      <c r="K26" s="205" t="s">
        <v>2411</v>
      </c>
    </row>
    <row r="27" spans="1:11" ht="43.5" x14ac:dyDescent="0.35">
      <c r="A27" s="24">
        <v>1315</v>
      </c>
      <c r="B27" s="24" t="s">
        <v>1100</v>
      </c>
      <c r="C27" s="161">
        <v>2109</v>
      </c>
      <c r="D27" s="148" t="s">
        <v>307</v>
      </c>
      <c r="E27" s="148" t="s">
        <v>308</v>
      </c>
      <c r="F27" s="24" t="s">
        <v>1002</v>
      </c>
      <c r="G27" s="161">
        <v>9252</v>
      </c>
      <c r="H27" s="204" t="s">
        <v>2378</v>
      </c>
      <c r="I27" s="169" t="s">
        <v>2409</v>
      </c>
      <c r="J27" s="26" t="s">
        <v>2413</v>
      </c>
      <c r="K27" s="205" t="s">
        <v>2411</v>
      </c>
    </row>
    <row r="28" spans="1:11" ht="43.5" x14ac:dyDescent="0.35">
      <c r="A28" s="24">
        <v>1316</v>
      </c>
      <c r="B28" s="24" t="s">
        <v>1101</v>
      </c>
      <c r="C28" s="161">
        <v>2111</v>
      </c>
      <c r="D28" s="148" t="s">
        <v>312</v>
      </c>
      <c r="E28" s="148" t="s">
        <v>313</v>
      </c>
      <c r="F28" s="24" t="s">
        <v>1002</v>
      </c>
      <c r="G28" s="161">
        <v>9253</v>
      </c>
      <c r="H28" s="204" t="s">
        <v>2378</v>
      </c>
      <c r="I28" s="169" t="s">
        <v>2409</v>
      </c>
      <c r="J28" s="26" t="s">
        <v>2414</v>
      </c>
      <c r="K28" s="205" t="s">
        <v>2411</v>
      </c>
    </row>
    <row r="29" spans="1:11" ht="43.5" x14ac:dyDescent="0.35">
      <c r="A29" s="24">
        <v>1317</v>
      </c>
      <c r="B29" s="24" t="s">
        <v>1102</v>
      </c>
      <c r="C29" s="161">
        <v>2113</v>
      </c>
      <c r="D29" s="148" t="s">
        <v>317</v>
      </c>
      <c r="E29" s="148" t="s">
        <v>318</v>
      </c>
      <c r="F29" s="24" t="s">
        <v>1002</v>
      </c>
      <c r="G29" s="161">
        <v>9254</v>
      </c>
      <c r="H29" s="204" t="s">
        <v>2378</v>
      </c>
      <c r="I29" s="169" t="s">
        <v>2409</v>
      </c>
      <c r="J29" s="26" t="s">
        <v>2415</v>
      </c>
      <c r="K29" s="205" t="s">
        <v>2411</v>
      </c>
    </row>
    <row r="30" spans="1:11" ht="43.5" x14ac:dyDescent="0.35">
      <c r="A30" s="24">
        <v>1318</v>
      </c>
      <c r="B30" s="24" t="s">
        <v>1103</v>
      </c>
      <c r="C30" s="161">
        <v>2115</v>
      </c>
      <c r="D30" s="148" t="s">
        <v>322</v>
      </c>
      <c r="E30" s="148" t="s">
        <v>323</v>
      </c>
      <c r="F30" s="24" t="s">
        <v>1002</v>
      </c>
      <c r="G30" s="161">
        <v>9255</v>
      </c>
      <c r="H30" s="204" t="s">
        <v>2378</v>
      </c>
      <c r="I30" s="169" t="s">
        <v>2409</v>
      </c>
      <c r="J30" s="26" t="s">
        <v>2416</v>
      </c>
      <c r="K30" s="205" t="s">
        <v>2411</v>
      </c>
    </row>
    <row r="31" spans="1:11" ht="43.5" x14ac:dyDescent="0.35">
      <c r="A31" s="24">
        <v>1319</v>
      </c>
      <c r="B31" s="24" t="s">
        <v>1104</v>
      </c>
      <c r="C31" s="161">
        <v>2117</v>
      </c>
      <c r="D31" s="148" t="s">
        <v>327</v>
      </c>
      <c r="E31" s="148" t="s">
        <v>328</v>
      </c>
      <c r="F31" s="24" t="s">
        <v>1002</v>
      </c>
      <c r="G31" s="161">
        <v>9256</v>
      </c>
      <c r="H31" s="204" t="s">
        <v>2378</v>
      </c>
      <c r="I31" s="169" t="s">
        <v>2409</v>
      </c>
      <c r="J31" s="26" t="s">
        <v>2417</v>
      </c>
      <c r="K31" s="205" t="s">
        <v>2411</v>
      </c>
    </row>
    <row r="32" spans="1:11" ht="43.5" x14ac:dyDescent="0.35">
      <c r="A32" s="24">
        <v>1320</v>
      </c>
      <c r="B32" s="24" t="s">
        <v>1105</v>
      </c>
      <c r="C32" s="161">
        <v>2119</v>
      </c>
      <c r="D32" s="148" t="s">
        <v>332</v>
      </c>
      <c r="E32" s="148" t="s">
        <v>333</v>
      </c>
      <c r="F32" s="24" t="s">
        <v>1002</v>
      </c>
      <c r="G32" s="161">
        <v>9257</v>
      </c>
      <c r="H32" s="204" t="s">
        <v>2378</v>
      </c>
      <c r="I32" s="169" t="s">
        <v>2409</v>
      </c>
      <c r="J32" s="26" t="s">
        <v>2418</v>
      </c>
      <c r="K32" s="205" t="s">
        <v>2411</v>
      </c>
    </row>
    <row r="33" spans="1:11" ht="43.5" x14ac:dyDescent="0.35">
      <c r="A33" s="24">
        <v>1321</v>
      </c>
      <c r="B33" s="24" t="s">
        <v>1106</v>
      </c>
      <c r="C33" s="161">
        <v>2121</v>
      </c>
      <c r="D33" s="148" t="s">
        <v>337</v>
      </c>
      <c r="E33" s="148" t="s">
        <v>338</v>
      </c>
      <c r="F33" s="24" t="s">
        <v>1002</v>
      </c>
      <c r="G33" s="161">
        <v>9258</v>
      </c>
      <c r="H33" s="204" t="s">
        <v>2378</v>
      </c>
      <c r="I33" s="169" t="s">
        <v>2409</v>
      </c>
      <c r="J33" s="26" t="s">
        <v>2419</v>
      </c>
      <c r="K33" s="205" t="s">
        <v>2411</v>
      </c>
    </row>
    <row r="34" spans="1:11" ht="43.5" x14ac:dyDescent="0.35">
      <c r="A34" s="24">
        <v>1322</v>
      </c>
      <c r="B34" s="24" t="s">
        <v>1107</v>
      </c>
      <c r="C34" s="161">
        <v>2123</v>
      </c>
      <c r="D34" s="148" t="s">
        <v>342</v>
      </c>
      <c r="E34" s="148" t="s">
        <v>343</v>
      </c>
      <c r="F34" s="24" t="s">
        <v>1002</v>
      </c>
      <c r="G34" s="161">
        <v>9259</v>
      </c>
      <c r="H34" s="204" t="s">
        <v>2378</v>
      </c>
      <c r="I34" s="169" t="s">
        <v>2409</v>
      </c>
      <c r="J34" s="26" t="s">
        <v>2420</v>
      </c>
      <c r="K34" s="205" t="s">
        <v>2411</v>
      </c>
    </row>
    <row r="35" spans="1:11" ht="43.5" x14ac:dyDescent="0.35">
      <c r="A35" s="24">
        <v>1323</v>
      </c>
      <c r="B35" s="24" t="s">
        <v>1108</v>
      </c>
      <c r="C35" s="161">
        <v>2125</v>
      </c>
      <c r="D35" s="148" t="s">
        <v>347</v>
      </c>
      <c r="E35" s="148" t="s">
        <v>348</v>
      </c>
      <c r="F35" s="24" t="s">
        <v>1002</v>
      </c>
      <c r="G35" s="161">
        <v>9260</v>
      </c>
      <c r="H35" s="204" t="s">
        <v>2378</v>
      </c>
      <c r="I35" s="169" t="s">
        <v>2409</v>
      </c>
      <c r="J35" s="26" t="s">
        <v>2421</v>
      </c>
      <c r="K35" s="205" t="s">
        <v>2411</v>
      </c>
    </row>
    <row r="36" spans="1:11" ht="43.5" x14ac:dyDescent="0.35">
      <c r="A36" s="24">
        <v>1324</v>
      </c>
      <c r="B36" s="24" t="s">
        <v>1109</v>
      </c>
      <c r="C36" s="161">
        <v>2127</v>
      </c>
      <c r="D36" s="148" t="s">
        <v>352</v>
      </c>
      <c r="E36" s="148" t="s">
        <v>353</v>
      </c>
      <c r="F36" s="24" t="s">
        <v>1002</v>
      </c>
      <c r="G36" s="161">
        <v>9261</v>
      </c>
      <c r="H36" s="204" t="s">
        <v>2378</v>
      </c>
      <c r="I36" s="169" t="s">
        <v>2409</v>
      </c>
      <c r="J36" s="26" t="s">
        <v>2422</v>
      </c>
      <c r="K36" s="205" t="s">
        <v>2411</v>
      </c>
    </row>
    <row r="37" spans="1:11" ht="43.5" x14ac:dyDescent="0.35">
      <c r="A37" s="24">
        <v>1342</v>
      </c>
      <c r="B37" s="24">
        <v>42</v>
      </c>
      <c r="C37" s="161">
        <v>2501</v>
      </c>
      <c r="D37" s="148" t="s">
        <v>357</v>
      </c>
      <c r="E37" s="148" t="s">
        <v>358</v>
      </c>
      <c r="F37" s="24" t="s">
        <v>1110</v>
      </c>
      <c r="G37" s="161">
        <v>9270</v>
      </c>
      <c r="H37" s="204" t="s">
        <v>2357</v>
      </c>
      <c r="I37" s="169" t="s">
        <v>2423</v>
      </c>
      <c r="J37" s="26" t="s">
        <v>2424</v>
      </c>
      <c r="K37" s="205" t="s">
        <v>2425</v>
      </c>
    </row>
    <row r="38" spans="1:11" ht="58" x14ac:dyDescent="0.35">
      <c r="A38" s="24">
        <v>1395</v>
      </c>
      <c r="B38" s="24">
        <v>42</v>
      </c>
      <c r="C38" s="161">
        <v>2501</v>
      </c>
      <c r="D38" s="148" t="s">
        <v>357</v>
      </c>
      <c r="E38" s="148" t="s">
        <v>358</v>
      </c>
      <c r="F38" s="24" t="s">
        <v>1110</v>
      </c>
      <c r="G38" s="161">
        <v>9271</v>
      </c>
      <c r="H38" s="204" t="s">
        <v>2378</v>
      </c>
      <c r="I38" s="169" t="s">
        <v>2426</v>
      </c>
      <c r="J38" s="26" t="s">
        <v>2427</v>
      </c>
      <c r="K38" s="205" t="s">
        <v>2428</v>
      </c>
    </row>
    <row r="39" spans="1:11" ht="43.5" x14ac:dyDescent="0.35">
      <c r="A39" s="24">
        <v>1331</v>
      </c>
      <c r="B39" s="24">
        <v>6</v>
      </c>
      <c r="C39" s="24">
        <v>2026</v>
      </c>
      <c r="D39" s="148" t="s">
        <v>2429</v>
      </c>
      <c r="E39" s="148" t="s">
        <v>84</v>
      </c>
      <c r="F39" s="24" t="s">
        <v>1002</v>
      </c>
      <c r="G39" s="161">
        <v>9291</v>
      </c>
      <c r="H39" s="204" t="s">
        <v>2357</v>
      </c>
      <c r="I39" s="169" t="s">
        <v>2430</v>
      </c>
      <c r="J39" s="26" t="s">
        <v>2431</v>
      </c>
      <c r="K39" s="206" t="s">
        <v>2432</v>
      </c>
    </row>
    <row r="40" spans="1:11" ht="43.5" x14ac:dyDescent="0.35">
      <c r="A40" s="24">
        <v>1332</v>
      </c>
      <c r="B40" s="24">
        <v>6</v>
      </c>
      <c r="C40" s="24">
        <v>2026</v>
      </c>
      <c r="D40" s="148" t="s">
        <v>2429</v>
      </c>
      <c r="E40" s="148" t="s">
        <v>84</v>
      </c>
      <c r="F40" s="24" t="s">
        <v>1002</v>
      </c>
      <c r="G40" s="161">
        <v>9292</v>
      </c>
      <c r="H40" s="204" t="s">
        <v>2357</v>
      </c>
      <c r="I40" s="169" t="s">
        <v>2433</v>
      </c>
      <c r="J40" s="26" t="s">
        <v>2434</v>
      </c>
      <c r="K40" s="206" t="s">
        <v>2435</v>
      </c>
    </row>
    <row r="41" spans="1:11" ht="43.5" x14ac:dyDescent="0.35">
      <c r="A41" s="207">
        <v>1343</v>
      </c>
      <c r="B41" s="207">
        <v>2</v>
      </c>
      <c r="C41" s="207">
        <v>2020</v>
      </c>
      <c r="D41" s="208" t="s">
        <v>64</v>
      </c>
      <c r="E41" s="208" t="s">
        <v>65</v>
      </c>
      <c r="F41" s="207" t="s">
        <v>1002</v>
      </c>
      <c r="G41" s="207">
        <v>9301</v>
      </c>
      <c r="H41" s="209" t="s">
        <v>2357</v>
      </c>
      <c r="I41" s="210" t="s">
        <v>2436</v>
      </c>
      <c r="J41" s="211" t="s">
        <v>2437</v>
      </c>
      <c r="K41" s="205" t="s">
        <v>2438</v>
      </c>
    </row>
    <row r="42" spans="1:11" ht="58" x14ac:dyDescent="0.35">
      <c r="A42" s="24">
        <v>1582</v>
      </c>
      <c r="B42" s="24">
        <v>5</v>
      </c>
      <c r="C42" s="24">
        <v>2025</v>
      </c>
      <c r="D42" s="148" t="s">
        <v>80</v>
      </c>
      <c r="E42" s="148" t="s">
        <v>81</v>
      </c>
      <c r="F42" s="25" t="s">
        <v>1002</v>
      </c>
      <c r="G42" s="25" t="s">
        <v>2439</v>
      </c>
      <c r="H42" s="26" t="s">
        <v>2357</v>
      </c>
      <c r="I42" s="212" t="s">
        <v>2440</v>
      </c>
      <c r="J42" s="26" t="s">
        <v>2441</v>
      </c>
      <c r="K42" s="202" t="s">
        <v>2442</v>
      </c>
    </row>
    <row r="43" spans="1:11" ht="43.5" x14ac:dyDescent="0.35">
      <c r="A43" s="207">
        <v>1345</v>
      </c>
      <c r="B43" s="207">
        <v>1</v>
      </c>
      <c r="C43" s="207">
        <v>2005</v>
      </c>
      <c r="D43" s="208" t="s">
        <v>29</v>
      </c>
      <c r="E43" s="208" t="s">
        <v>30</v>
      </c>
      <c r="F43" s="207" t="s">
        <v>1002</v>
      </c>
      <c r="G43" s="207">
        <v>9380</v>
      </c>
      <c r="H43" s="209" t="s">
        <v>2357</v>
      </c>
      <c r="I43" s="210" t="s">
        <v>2443</v>
      </c>
      <c r="J43" s="211" t="s">
        <v>2444</v>
      </c>
      <c r="K43" s="206" t="s">
        <v>2445</v>
      </c>
    </row>
    <row r="44" spans="1:11" ht="43.5" x14ac:dyDescent="0.35">
      <c r="A44" s="207">
        <v>1346</v>
      </c>
      <c r="B44" s="207">
        <v>2</v>
      </c>
      <c r="C44" s="207">
        <v>2019</v>
      </c>
      <c r="D44" s="208" t="s">
        <v>62</v>
      </c>
      <c r="E44" s="213" t="s">
        <v>63</v>
      </c>
      <c r="F44" s="207" t="s">
        <v>1002</v>
      </c>
      <c r="G44" s="207">
        <v>9381</v>
      </c>
      <c r="H44" s="209" t="s">
        <v>2378</v>
      </c>
      <c r="I44" s="210" t="s">
        <v>2446</v>
      </c>
      <c r="J44" s="211" t="s">
        <v>2447</v>
      </c>
      <c r="K44" s="206" t="s">
        <v>2448</v>
      </c>
    </row>
    <row r="45" spans="1:11" ht="43.5" x14ac:dyDescent="0.35">
      <c r="A45" s="24">
        <v>12</v>
      </c>
      <c r="B45" s="24">
        <v>56</v>
      </c>
      <c r="C45" s="24">
        <v>2154</v>
      </c>
      <c r="D45" s="148" t="s">
        <v>478</v>
      </c>
      <c r="E45" s="48" t="s">
        <v>479</v>
      </c>
      <c r="F45" s="24" t="s">
        <v>1002</v>
      </c>
      <c r="G45" s="161">
        <v>9501</v>
      </c>
      <c r="H45" s="204" t="s">
        <v>2449</v>
      </c>
      <c r="I45" s="169" t="s">
        <v>2450</v>
      </c>
      <c r="J45" s="26" t="s">
        <v>2451</v>
      </c>
      <c r="K45" s="206" t="s">
        <v>2452</v>
      </c>
    </row>
    <row r="46" spans="1:11" ht="43.5" x14ac:dyDescent="0.35">
      <c r="A46" s="24">
        <v>124</v>
      </c>
      <c r="B46" s="24">
        <v>47</v>
      </c>
      <c r="C46" s="24">
        <v>2506</v>
      </c>
      <c r="D46" s="148" t="s">
        <v>396</v>
      </c>
      <c r="E46" s="48" t="s">
        <v>397</v>
      </c>
      <c r="F46" s="24" t="s">
        <v>1110</v>
      </c>
      <c r="G46" s="161">
        <v>9601</v>
      </c>
      <c r="H46" s="204" t="s">
        <v>2357</v>
      </c>
      <c r="I46" s="169" t="s">
        <v>2453</v>
      </c>
      <c r="J46" s="26" t="s">
        <v>2454</v>
      </c>
      <c r="K46" s="206" t="s">
        <v>2455</v>
      </c>
    </row>
    <row r="47" spans="1:11" ht="29" x14ac:dyDescent="0.35">
      <c r="A47" s="24">
        <v>1387</v>
      </c>
      <c r="B47" s="24" t="s">
        <v>1126</v>
      </c>
      <c r="C47" s="24">
        <v>2133</v>
      </c>
      <c r="D47" s="148" t="s">
        <v>396</v>
      </c>
      <c r="E47" s="148" t="s">
        <v>413</v>
      </c>
      <c r="F47" s="24" t="s">
        <v>1002</v>
      </c>
      <c r="G47" s="161">
        <v>9602</v>
      </c>
      <c r="H47" s="204" t="s">
        <v>2357</v>
      </c>
      <c r="I47" s="169" t="s">
        <v>2456</v>
      </c>
      <c r="J47" s="26" t="s">
        <v>2457</v>
      </c>
      <c r="K47" s="206" t="s">
        <v>2458</v>
      </c>
    </row>
    <row r="48" spans="1:11" ht="159.5" x14ac:dyDescent="0.35">
      <c r="A48" s="24">
        <v>1388</v>
      </c>
      <c r="B48" s="24">
        <v>67</v>
      </c>
      <c r="C48" s="24">
        <v>2183</v>
      </c>
      <c r="D48" s="148" t="s">
        <v>614</v>
      </c>
      <c r="E48" s="48" t="s">
        <v>615</v>
      </c>
      <c r="F48" s="24" t="s">
        <v>1002</v>
      </c>
      <c r="G48" s="161">
        <v>9320</v>
      </c>
      <c r="H48" s="204" t="s">
        <v>2357</v>
      </c>
      <c r="I48" s="178" t="s">
        <v>2459</v>
      </c>
      <c r="J48" s="26" t="s">
        <v>2460</v>
      </c>
      <c r="K48" s="206" t="s">
        <v>2461</v>
      </c>
    </row>
    <row r="49" spans="1:11" ht="43.5" x14ac:dyDescent="0.35">
      <c r="A49" s="24">
        <v>1389</v>
      </c>
      <c r="B49" s="24">
        <v>43</v>
      </c>
      <c r="C49" s="24">
        <v>2510</v>
      </c>
      <c r="D49" s="148" t="s">
        <v>366</v>
      </c>
      <c r="E49" s="148" t="s">
        <v>367</v>
      </c>
      <c r="F49" s="24" t="s">
        <v>1110</v>
      </c>
      <c r="G49" s="24">
        <v>9001</v>
      </c>
      <c r="H49" s="204" t="s">
        <v>2357</v>
      </c>
      <c r="I49" s="169" t="s">
        <v>2462</v>
      </c>
      <c r="J49" s="26" t="s">
        <v>2463</v>
      </c>
      <c r="K49" s="206" t="s">
        <v>2464</v>
      </c>
    </row>
    <row r="50" spans="1:11" s="4" customFormat="1" ht="29" x14ac:dyDescent="0.35">
      <c r="A50" s="161">
        <v>1626</v>
      </c>
      <c r="B50" s="24" t="s">
        <v>2345</v>
      </c>
      <c r="C50" s="24">
        <v>2309</v>
      </c>
      <c r="D50" s="48" t="s">
        <v>2346</v>
      </c>
      <c r="E50" s="26" t="s">
        <v>888</v>
      </c>
      <c r="F50" s="25" t="s">
        <v>1002</v>
      </c>
      <c r="G50" s="67">
        <v>1100000</v>
      </c>
      <c r="H50" s="26" t="s">
        <v>2465</v>
      </c>
      <c r="I50" s="26" t="s">
        <v>2466</v>
      </c>
      <c r="J50" s="26" t="s">
        <v>2467</v>
      </c>
      <c r="K50" s="197"/>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E65BF-08E8-4CE8-8484-8BE1C41A9141}">
  <dimension ref="A1:L168"/>
  <sheetViews>
    <sheetView zoomScaleNormal="100" workbookViewId="0">
      <pane ySplit="1" topLeftCell="A35" activePane="bottomLeft" state="frozen"/>
      <selection pane="bottomLeft" activeCell="L43" sqref="L43"/>
    </sheetView>
  </sheetViews>
  <sheetFormatPr defaultColWidth="9.26953125" defaultRowHeight="14.5" x14ac:dyDescent="0.35"/>
  <cols>
    <col min="1" max="1" width="6.54296875" style="22" customWidth="1"/>
    <col min="2" max="2" width="7.54296875" style="22" bestFit="1" customWidth="1"/>
    <col min="3" max="3" width="7.453125" style="68" customWidth="1"/>
    <col min="4" max="4" width="22.7265625" style="72" customWidth="1"/>
    <col min="5" max="5" width="21.453125" style="72" bestFit="1" customWidth="1"/>
    <col min="6" max="6" width="12.26953125" style="22" customWidth="1"/>
    <col min="7" max="7" width="10.453125" style="68" bestFit="1" customWidth="1"/>
    <col min="8" max="8" width="24.7265625" style="72" customWidth="1"/>
    <col min="9" max="9" width="66.26953125" style="76" customWidth="1"/>
    <col min="10" max="10" width="46" style="72" customWidth="1"/>
    <col min="11" max="11" width="30.81640625" style="76" customWidth="1"/>
    <col min="12" max="12" width="9.26953125" style="3"/>
    <col min="13" max="16384" width="9.26953125" style="22"/>
  </cols>
  <sheetData>
    <row r="1" spans="1:12" s="3" customFormat="1" ht="29" x14ac:dyDescent="0.35">
      <c r="A1" s="2" t="s">
        <v>989</v>
      </c>
      <c r="B1" s="1" t="s">
        <v>991</v>
      </c>
      <c r="C1" s="70" t="s">
        <v>990</v>
      </c>
      <c r="D1" s="5" t="s">
        <v>2340</v>
      </c>
      <c r="E1" s="5" t="s">
        <v>2341</v>
      </c>
      <c r="F1" s="5" t="s">
        <v>2342</v>
      </c>
      <c r="G1" s="70" t="s">
        <v>996</v>
      </c>
      <c r="H1" s="69" t="s">
        <v>997</v>
      </c>
      <c r="I1" s="69" t="s">
        <v>2343</v>
      </c>
      <c r="J1" s="69" t="s">
        <v>2344</v>
      </c>
      <c r="K1" s="71" t="s">
        <v>1001</v>
      </c>
    </row>
    <row r="2" spans="1:12" s="4" customFormat="1" ht="29" x14ac:dyDescent="0.35">
      <c r="A2" s="214">
        <v>1622</v>
      </c>
      <c r="B2" s="214" t="s">
        <v>2345</v>
      </c>
      <c r="C2" s="218">
        <v>2309</v>
      </c>
      <c r="D2" s="215" t="s">
        <v>2346</v>
      </c>
      <c r="E2" s="216" t="s">
        <v>888</v>
      </c>
      <c r="F2" s="217" t="s">
        <v>1002</v>
      </c>
      <c r="G2" s="218" t="s">
        <v>2347</v>
      </c>
      <c r="H2" s="216" t="s">
        <v>2348</v>
      </c>
      <c r="I2" s="216" t="s">
        <v>2349</v>
      </c>
      <c r="J2" s="216" t="s">
        <v>2350</v>
      </c>
      <c r="K2" s="216"/>
      <c r="L2" s="6"/>
    </row>
    <row r="3" spans="1:12" s="4" customFormat="1" ht="29" x14ac:dyDescent="0.35">
      <c r="A3" s="24">
        <v>1623</v>
      </c>
      <c r="B3" s="24" t="s">
        <v>2345</v>
      </c>
      <c r="C3" s="67">
        <v>20317</v>
      </c>
      <c r="D3" s="48" t="s">
        <v>2346</v>
      </c>
      <c r="E3" s="26" t="s">
        <v>888</v>
      </c>
      <c r="F3" s="25" t="s">
        <v>1002</v>
      </c>
      <c r="G3" s="67">
        <v>20001</v>
      </c>
      <c r="H3" s="26" t="s">
        <v>2352</v>
      </c>
      <c r="I3" s="26" t="s">
        <v>2468</v>
      </c>
      <c r="J3" s="26" t="s">
        <v>2469</v>
      </c>
      <c r="K3" s="26"/>
      <c r="L3" s="6"/>
    </row>
    <row r="4" spans="1:12" ht="43.5" x14ac:dyDescent="0.35">
      <c r="A4" s="161">
        <v>1279</v>
      </c>
      <c r="B4" s="161">
        <v>60</v>
      </c>
      <c r="C4" s="177">
        <v>20141</v>
      </c>
      <c r="D4" s="281" t="s">
        <v>2355</v>
      </c>
      <c r="E4" s="281" t="s">
        <v>600</v>
      </c>
      <c r="F4" s="282" t="s">
        <v>1002</v>
      </c>
      <c r="G4" s="177">
        <v>20101</v>
      </c>
      <c r="H4" s="283" t="s">
        <v>2357</v>
      </c>
      <c r="I4" s="281" t="s">
        <v>2470</v>
      </c>
      <c r="J4" s="281" t="s">
        <v>2471</v>
      </c>
      <c r="K4" s="279" t="s">
        <v>2360</v>
      </c>
      <c r="L4" s="280" t="s">
        <v>2472</v>
      </c>
    </row>
    <row r="5" spans="1:12" ht="43.5" x14ac:dyDescent="0.35">
      <c r="A5" s="161">
        <v>1280</v>
      </c>
      <c r="B5" s="161" t="s">
        <v>1029</v>
      </c>
      <c r="C5" s="177">
        <v>20022</v>
      </c>
      <c r="D5" s="212" t="s">
        <v>103</v>
      </c>
      <c r="E5" s="28" t="s">
        <v>104</v>
      </c>
      <c r="F5" s="282" t="s">
        <v>1002</v>
      </c>
      <c r="G5" s="177">
        <v>20102</v>
      </c>
      <c r="H5" s="284" t="s">
        <v>2357</v>
      </c>
      <c r="I5" s="212" t="s">
        <v>2473</v>
      </c>
      <c r="J5" s="212" t="s">
        <v>2474</v>
      </c>
      <c r="K5" s="192" t="s">
        <v>2364</v>
      </c>
      <c r="L5" s="280" t="s">
        <v>2472</v>
      </c>
    </row>
    <row r="6" spans="1:12" ht="43.5" x14ac:dyDescent="0.35">
      <c r="A6" s="161">
        <v>1281</v>
      </c>
      <c r="B6" s="161">
        <v>10</v>
      </c>
      <c r="C6" s="177">
        <v>20028</v>
      </c>
      <c r="D6" s="212" t="s">
        <v>2365</v>
      </c>
      <c r="E6" s="28" t="s">
        <v>133</v>
      </c>
      <c r="F6" s="282" t="s">
        <v>1002</v>
      </c>
      <c r="G6" s="177">
        <v>20103</v>
      </c>
      <c r="H6" s="284" t="s">
        <v>2357</v>
      </c>
      <c r="I6" s="212" t="s">
        <v>2475</v>
      </c>
      <c r="J6" s="212" t="s">
        <v>2476</v>
      </c>
      <c r="K6" s="192" t="s">
        <v>2369</v>
      </c>
      <c r="L6" s="280" t="s">
        <v>2472</v>
      </c>
    </row>
    <row r="7" spans="1:12" ht="29" x14ac:dyDescent="0.35">
      <c r="A7" s="161">
        <v>1282</v>
      </c>
      <c r="B7" s="161">
        <v>60</v>
      </c>
      <c r="C7" s="177">
        <v>20141</v>
      </c>
      <c r="D7" s="281" t="s">
        <v>2355</v>
      </c>
      <c r="E7" s="212" t="s">
        <v>558</v>
      </c>
      <c r="F7" s="282" t="s">
        <v>1002</v>
      </c>
      <c r="G7" s="177">
        <v>21010</v>
      </c>
      <c r="H7" s="284" t="s">
        <v>2357</v>
      </c>
      <c r="I7" s="212" t="s">
        <v>2477</v>
      </c>
      <c r="J7" s="212" t="s">
        <v>2478</v>
      </c>
      <c r="K7" s="192" t="s">
        <v>2373</v>
      </c>
      <c r="L7" s="280" t="s">
        <v>2472</v>
      </c>
    </row>
    <row r="8" spans="1:12" ht="29" x14ac:dyDescent="0.35">
      <c r="A8" s="161">
        <v>1283</v>
      </c>
      <c r="B8" s="161">
        <v>60</v>
      </c>
      <c r="C8" s="177">
        <v>20141</v>
      </c>
      <c r="D8" s="281" t="s">
        <v>2355</v>
      </c>
      <c r="E8" s="212" t="s">
        <v>558</v>
      </c>
      <c r="F8" s="282" t="s">
        <v>1002</v>
      </c>
      <c r="G8" s="177">
        <v>21020</v>
      </c>
      <c r="H8" s="284" t="s">
        <v>2357</v>
      </c>
      <c r="I8" s="212" t="s">
        <v>2479</v>
      </c>
      <c r="J8" s="212" t="s">
        <v>2480</v>
      </c>
      <c r="K8" s="194" t="s">
        <v>2377</v>
      </c>
      <c r="L8" s="280" t="s">
        <v>2472</v>
      </c>
    </row>
    <row r="9" spans="1:12" ht="43.5" x14ac:dyDescent="0.35">
      <c r="A9" s="24">
        <v>1300</v>
      </c>
      <c r="B9" s="24">
        <v>4</v>
      </c>
      <c r="C9" s="67">
        <v>20001</v>
      </c>
      <c r="D9" s="169" t="s">
        <v>77</v>
      </c>
      <c r="E9" s="169" t="s">
        <v>78</v>
      </c>
      <c r="F9" s="24" t="s">
        <v>1002</v>
      </c>
      <c r="G9" s="67">
        <v>20121</v>
      </c>
      <c r="H9" s="204" t="s">
        <v>2378</v>
      </c>
      <c r="I9" s="169" t="s">
        <v>2481</v>
      </c>
      <c r="J9" s="26" t="s">
        <v>2482</v>
      </c>
      <c r="K9" s="169" t="s">
        <v>2381</v>
      </c>
    </row>
    <row r="10" spans="1:12" ht="87" x14ac:dyDescent="0.35">
      <c r="A10" s="24">
        <v>1397</v>
      </c>
      <c r="B10" s="24">
        <v>6</v>
      </c>
      <c r="C10" s="67">
        <v>20018</v>
      </c>
      <c r="D10" s="48" t="s">
        <v>2382</v>
      </c>
      <c r="E10" s="148" t="s">
        <v>84</v>
      </c>
      <c r="F10" s="24" t="s">
        <v>1002</v>
      </c>
      <c r="G10" s="67">
        <v>20125</v>
      </c>
      <c r="H10" s="204" t="s">
        <v>2378</v>
      </c>
      <c r="I10" s="169" t="s">
        <v>2483</v>
      </c>
      <c r="J10" s="26" t="s">
        <v>2484</v>
      </c>
      <c r="K10" s="169" t="s">
        <v>2385</v>
      </c>
    </row>
    <row r="11" spans="1:12" ht="72.5" x14ac:dyDescent="0.35">
      <c r="A11" s="24">
        <v>1398</v>
      </c>
      <c r="B11" s="24">
        <v>12</v>
      </c>
      <c r="C11" s="67">
        <v>20030</v>
      </c>
      <c r="D11" s="148" t="s">
        <v>140</v>
      </c>
      <c r="E11" s="148" t="s">
        <v>141</v>
      </c>
      <c r="F11" s="24" t="s">
        <v>1002</v>
      </c>
      <c r="G11" s="67">
        <v>20128</v>
      </c>
      <c r="H11" s="204" t="s">
        <v>2378</v>
      </c>
      <c r="I11" s="178" t="s">
        <v>2485</v>
      </c>
      <c r="J11" s="26" t="s">
        <v>2486</v>
      </c>
      <c r="K11" s="169" t="s">
        <v>2388</v>
      </c>
    </row>
    <row r="12" spans="1:12" ht="72.5" x14ac:dyDescent="0.35">
      <c r="A12" s="24">
        <v>1399</v>
      </c>
      <c r="B12" s="24">
        <v>17</v>
      </c>
      <c r="C12" s="67">
        <v>20035</v>
      </c>
      <c r="D12" s="148" t="s">
        <v>159</v>
      </c>
      <c r="E12" s="148" t="s">
        <v>160</v>
      </c>
      <c r="F12" s="24" t="s">
        <v>1002</v>
      </c>
      <c r="G12" s="67">
        <v>20129</v>
      </c>
      <c r="H12" s="204" t="s">
        <v>2389</v>
      </c>
      <c r="I12" s="169" t="s">
        <v>2487</v>
      </c>
      <c r="J12" s="26" t="s">
        <v>2488</v>
      </c>
      <c r="K12" s="169" t="s">
        <v>2392</v>
      </c>
    </row>
    <row r="13" spans="1:12" ht="29" x14ac:dyDescent="0.35">
      <c r="A13" s="24">
        <v>1301</v>
      </c>
      <c r="B13" s="24" t="s">
        <v>1063</v>
      </c>
      <c r="C13" s="177">
        <v>20048</v>
      </c>
      <c r="D13" s="148" t="s">
        <v>201</v>
      </c>
      <c r="E13" s="148" t="s">
        <v>202</v>
      </c>
      <c r="F13" s="24" t="s">
        <v>1002</v>
      </c>
      <c r="G13" s="177">
        <v>20131</v>
      </c>
      <c r="H13" s="204" t="s">
        <v>2378</v>
      </c>
      <c r="I13" s="169" t="s">
        <v>2489</v>
      </c>
      <c r="J13" s="26" t="s">
        <v>2490</v>
      </c>
      <c r="K13" s="169" t="s">
        <v>2395</v>
      </c>
    </row>
    <row r="14" spans="1:12" ht="29" x14ac:dyDescent="0.35">
      <c r="A14" s="24">
        <v>1302</v>
      </c>
      <c r="B14" s="24" t="s">
        <v>1066</v>
      </c>
      <c r="C14" s="177">
        <v>20050</v>
      </c>
      <c r="D14" s="148" t="s">
        <v>207</v>
      </c>
      <c r="E14" s="148" t="s">
        <v>208</v>
      </c>
      <c r="F14" s="24" t="s">
        <v>1002</v>
      </c>
      <c r="G14" s="177">
        <v>20132</v>
      </c>
      <c r="H14" s="204" t="s">
        <v>2378</v>
      </c>
      <c r="I14" s="169" t="s">
        <v>2489</v>
      </c>
      <c r="J14" s="26" t="s">
        <v>2491</v>
      </c>
      <c r="K14" s="169" t="s">
        <v>2395</v>
      </c>
    </row>
    <row r="15" spans="1:12" ht="29" x14ac:dyDescent="0.35">
      <c r="A15" s="24">
        <v>1303</v>
      </c>
      <c r="B15" s="24" t="s">
        <v>1067</v>
      </c>
      <c r="C15" s="177">
        <v>20052</v>
      </c>
      <c r="D15" s="148" t="s">
        <v>212</v>
      </c>
      <c r="E15" s="148" t="s">
        <v>213</v>
      </c>
      <c r="F15" s="24" t="s">
        <v>1002</v>
      </c>
      <c r="G15" s="177">
        <v>20133</v>
      </c>
      <c r="H15" s="204" t="s">
        <v>2378</v>
      </c>
      <c r="I15" s="169" t="s">
        <v>2489</v>
      </c>
      <c r="J15" s="26" t="s">
        <v>2492</v>
      </c>
      <c r="K15" s="169" t="s">
        <v>2395</v>
      </c>
    </row>
    <row r="16" spans="1:12" ht="29" x14ac:dyDescent="0.35">
      <c r="A16" s="24">
        <v>1304</v>
      </c>
      <c r="B16" s="24" t="s">
        <v>1068</v>
      </c>
      <c r="C16" s="177">
        <v>20054</v>
      </c>
      <c r="D16" s="148" t="s">
        <v>217</v>
      </c>
      <c r="E16" s="148" t="s">
        <v>218</v>
      </c>
      <c r="F16" s="24" t="s">
        <v>1002</v>
      </c>
      <c r="G16" s="177">
        <v>20134</v>
      </c>
      <c r="H16" s="204" t="s">
        <v>2378</v>
      </c>
      <c r="I16" s="169" t="s">
        <v>2489</v>
      </c>
      <c r="J16" s="26" t="s">
        <v>2493</v>
      </c>
      <c r="K16" s="169" t="s">
        <v>2395</v>
      </c>
    </row>
    <row r="17" spans="1:11" ht="29" x14ac:dyDescent="0.35">
      <c r="A17" s="24">
        <v>1305</v>
      </c>
      <c r="B17" s="24" t="s">
        <v>1069</v>
      </c>
      <c r="C17" s="177">
        <v>20056</v>
      </c>
      <c r="D17" s="148" t="s">
        <v>222</v>
      </c>
      <c r="E17" s="148" t="s">
        <v>223</v>
      </c>
      <c r="F17" s="24" t="s">
        <v>1002</v>
      </c>
      <c r="G17" s="177">
        <v>20135</v>
      </c>
      <c r="H17" s="204" t="s">
        <v>2378</v>
      </c>
      <c r="I17" s="169" t="s">
        <v>2489</v>
      </c>
      <c r="J17" s="26" t="s">
        <v>2494</v>
      </c>
      <c r="K17" s="169" t="s">
        <v>2395</v>
      </c>
    </row>
    <row r="18" spans="1:11" ht="29" x14ac:dyDescent="0.35">
      <c r="A18" s="24">
        <v>1306</v>
      </c>
      <c r="B18" s="24" t="s">
        <v>1070</v>
      </c>
      <c r="C18" s="177">
        <v>20058</v>
      </c>
      <c r="D18" s="148" t="s">
        <v>227</v>
      </c>
      <c r="E18" s="148" t="s">
        <v>228</v>
      </c>
      <c r="F18" s="24" t="s">
        <v>1002</v>
      </c>
      <c r="G18" s="177">
        <v>20136</v>
      </c>
      <c r="H18" s="204" t="s">
        <v>2378</v>
      </c>
      <c r="I18" s="169" t="s">
        <v>2489</v>
      </c>
      <c r="J18" s="26" t="s">
        <v>2495</v>
      </c>
      <c r="K18" s="169" t="s">
        <v>2395</v>
      </c>
    </row>
    <row r="19" spans="1:11" ht="29" x14ac:dyDescent="0.35">
      <c r="A19" s="24">
        <v>1307</v>
      </c>
      <c r="B19" s="24" t="s">
        <v>1071</v>
      </c>
      <c r="C19" s="177">
        <v>20060</v>
      </c>
      <c r="D19" s="148" t="s">
        <v>232</v>
      </c>
      <c r="E19" s="148" t="s">
        <v>233</v>
      </c>
      <c r="F19" s="24" t="s">
        <v>1002</v>
      </c>
      <c r="G19" s="177">
        <v>20137</v>
      </c>
      <c r="H19" s="204" t="s">
        <v>2378</v>
      </c>
      <c r="I19" s="169" t="s">
        <v>2489</v>
      </c>
      <c r="J19" s="26" t="s">
        <v>2496</v>
      </c>
      <c r="K19" s="169" t="s">
        <v>2395</v>
      </c>
    </row>
    <row r="20" spans="1:11" ht="29" x14ac:dyDescent="0.35">
      <c r="A20" s="24">
        <v>1308</v>
      </c>
      <c r="B20" s="24" t="s">
        <v>1072</v>
      </c>
      <c r="C20" s="177">
        <v>20062</v>
      </c>
      <c r="D20" s="148" t="s">
        <v>237</v>
      </c>
      <c r="E20" s="148" t="s">
        <v>238</v>
      </c>
      <c r="F20" s="24" t="s">
        <v>1002</v>
      </c>
      <c r="G20" s="177">
        <v>20138</v>
      </c>
      <c r="H20" s="204" t="s">
        <v>2378</v>
      </c>
      <c r="I20" s="169" t="s">
        <v>2489</v>
      </c>
      <c r="J20" s="26" t="s">
        <v>2497</v>
      </c>
      <c r="K20" s="169" t="s">
        <v>2395</v>
      </c>
    </row>
    <row r="21" spans="1:11" ht="29" x14ac:dyDescent="0.35">
      <c r="A21" s="161">
        <v>1309</v>
      </c>
      <c r="B21" s="161" t="s">
        <v>1073</v>
      </c>
      <c r="C21" s="177">
        <v>20064</v>
      </c>
      <c r="D21" s="27" t="s">
        <v>242</v>
      </c>
      <c r="E21" s="27" t="s">
        <v>243</v>
      </c>
      <c r="F21" s="161" t="s">
        <v>1002</v>
      </c>
      <c r="G21" s="177">
        <v>20141</v>
      </c>
      <c r="H21" s="234" t="s">
        <v>2378</v>
      </c>
      <c r="I21" s="178" t="s">
        <v>2498</v>
      </c>
      <c r="J21" s="212" t="s">
        <v>2499</v>
      </c>
      <c r="K21" s="169" t="s">
        <v>2405</v>
      </c>
    </row>
    <row r="22" spans="1:11" ht="29" x14ac:dyDescent="0.35">
      <c r="A22" s="161">
        <v>1310</v>
      </c>
      <c r="B22" s="161" t="s">
        <v>1078</v>
      </c>
      <c r="C22" s="177">
        <v>20067</v>
      </c>
      <c r="D22" s="27" t="s">
        <v>249</v>
      </c>
      <c r="E22" s="27" t="s">
        <v>250</v>
      </c>
      <c r="F22" s="161" t="s">
        <v>1002</v>
      </c>
      <c r="G22" s="177">
        <v>20142</v>
      </c>
      <c r="H22" s="234" t="s">
        <v>2378</v>
      </c>
      <c r="I22" s="178" t="s">
        <v>2498</v>
      </c>
      <c r="J22" s="212" t="s">
        <v>2500</v>
      </c>
      <c r="K22" s="169" t="s">
        <v>2405</v>
      </c>
    </row>
    <row r="23" spans="1:11" ht="29" x14ac:dyDescent="0.35">
      <c r="A23" s="161">
        <v>1311</v>
      </c>
      <c r="B23" s="161" t="s">
        <v>1083</v>
      </c>
      <c r="C23" s="177">
        <v>20070</v>
      </c>
      <c r="D23" s="27" t="s">
        <v>256</v>
      </c>
      <c r="E23" s="27" t="s">
        <v>257</v>
      </c>
      <c r="F23" s="161" t="s">
        <v>1002</v>
      </c>
      <c r="G23" s="177">
        <v>20143</v>
      </c>
      <c r="H23" s="234" t="s">
        <v>2378</v>
      </c>
      <c r="I23" s="178" t="s">
        <v>2498</v>
      </c>
      <c r="J23" s="212" t="s">
        <v>2501</v>
      </c>
      <c r="K23" s="169" t="s">
        <v>2405</v>
      </c>
    </row>
    <row r="24" spans="1:11" ht="29" x14ac:dyDescent="0.35">
      <c r="A24" s="161">
        <v>1312</v>
      </c>
      <c r="B24" s="161" t="s">
        <v>1088</v>
      </c>
      <c r="C24" s="177">
        <v>20073</v>
      </c>
      <c r="D24" s="27" t="s">
        <v>263</v>
      </c>
      <c r="E24" s="27" t="s">
        <v>264</v>
      </c>
      <c r="F24" s="161" t="s">
        <v>1002</v>
      </c>
      <c r="G24" s="177">
        <v>20144</v>
      </c>
      <c r="H24" s="234" t="s">
        <v>2378</v>
      </c>
      <c r="I24" s="178" t="s">
        <v>2498</v>
      </c>
      <c r="J24" s="212" t="s">
        <v>2502</v>
      </c>
      <c r="K24" s="169" t="s">
        <v>2405</v>
      </c>
    </row>
    <row r="25" spans="1:11" ht="29" x14ac:dyDescent="0.35">
      <c r="A25" s="24">
        <v>1313</v>
      </c>
      <c r="B25" s="24" t="s">
        <v>1095</v>
      </c>
      <c r="C25" s="177">
        <v>20080</v>
      </c>
      <c r="D25" s="148" t="s">
        <v>297</v>
      </c>
      <c r="E25" s="148" t="s">
        <v>298</v>
      </c>
      <c r="F25" s="24" t="s">
        <v>1002</v>
      </c>
      <c r="G25" s="177">
        <v>20151</v>
      </c>
      <c r="H25" s="204" t="s">
        <v>2378</v>
      </c>
      <c r="I25" s="169" t="s">
        <v>2503</v>
      </c>
      <c r="J25" s="26" t="s">
        <v>2504</v>
      </c>
      <c r="K25" s="169" t="s">
        <v>2411</v>
      </c>
    </row>
    <row r="26" spans="1:11" ht="43.5" x14ac:dyDescent="0.35">
      <c r="A26" s="24">
        <v>1314</v>
      </c>
      <c r="B26" s="24" t="s">
        <v>1099</v>
      </c>
      <c r="C26" s="177">
        <v>20082</v>
      </c>
      <c r="D26" s="148" t="s">
        <v>302</v>
      </c>
      <c r="E26" s="148" t="s">
        <v>303</v>
      </c>
      <c r="F26" s="24" t="s">
        <v>1002</v>
      </c>
      <c r="G26" s="177">
        <v>20152</v>
      </c>
      <c r="H26" s="204" t="s">
        <v>2378</v>
      </c>
      <c r="I26" s="169" t="s">
        <v>2505</v>
      </c>
      <c r="J26" s="26" t="s">
        <v>2506</v>
      </c>
      <c r="K26" s="169" t="s">
        <v>2411</v>
      </c>
    </row>
    <row r="27" spans="1:11" ht="43.5" x14ac:dyDescent="0.35">
      <c r="A27" s="24">
        <v>1315</v>
      </c>
      <c r="B27" s="24" t="s">
        <v>1100</v>
      </c>
      <c r="C27" s="177">
        <v>20084</v>
      </c>
      <c r="D27" s="148" t="s">
        <v>307</v>
      </c>
      <c r="E27" s="148" t="s">
        <v>308</v>
      </c>
      <c r="F27" s="24" t="s">
        <v>1002</v>
      </c>
      <c r="G27" s="177">
        <v>20153</v>
      </c>
      <c r="H27" s="204" t="s">
        <v>2378</v>
      </c>
      <c r="I27" s="169" t="s">
        <v>2505</v>
      </c>
      <c r="J27" s="26" t="s">
        <v>2507</v>
      </c>
      <c r="K27" s="169" t="s">
        <v>2411</v>
      </c>
    </row>
    <row r="28" spans="1:11" ht="43.5" x14ac:dyDescent="0.35">
      <c r="A28" s="24">
        <v>1316</v>
      </c>
      <c r="B28" s="24" t="s">
        <v>1101</v>
      </c>
      <c r="C28" s="177">
        <v>20086</v>
      </c>
      <c r="D28" s="148" t="s">
        <v>312</v>
      </c>
      <c r="E28" s="148" t="s">
        <v>313</v>
      </c>
      <c r="F28" s="24" t="s">
        <v>1002</v>
      </c>
      <c r="G28" s="177">
        <v>20154</v>
      </c>
      <c r="H28" s="204" t="s">
        <v>2378</v>
      </c>
      <c r="I28" s="169" t="s">
        <v>2505</v>
      </c>
      <c r="J28" s="26" t="s">
        <v>2508</v>
      </c>
      <c r="K28" s="169" t="s">
        <v>2411</v>
      </c>
    </row>
    <row r="29" spans="1:11" ht="43.5" x14ac:dyDescent="0.35">
      <c r="A29" s="24">
        <v>1317</v>
      </c>
      <c r="B29" s="24" t="s">
        <v>1102</v>
      </c>
      <c r="C29" s="177">
        <v>20088</v>
      </c>
      <c r="D29" s="148" t="s">
        <v>317</v>
      </c>
      <c r="E29" s="148" t="s">
        <v>318</v>
      </c>
      <c r="F29" s="24" t="s">
        <v>1002</v>
      </c>
      <c r="G29" s="177">
        <v>20155</v>
      </c>
      <c r="H29" s="204" t="s">
        <v>2378</v>
      </c>
      <c r="I29" s="169" t="s">
        <v>2505</v>
      </c>
      <c r="J29" s="26" t="s">
        <v>2509</v>
      </c>
      <c r="K29" s="169" t="s">
        <v>2411</v>
      </c>
    </row>
    <row r="30" spans="1:11" ht="43.5" x14ac:dyDescent="0.35">
      <c r="A30" s="24">
        <v>1318</v>
      </c>
      <c r="B30" s="24" t="s">
        <v>1103</v>
      </c>
      <c r="C30" s="177">
        <v>20090</v>
      </c>
      <c r="D30" s="148" t="s">
        <v>322</v>
      </c>
      <c r="E30" s="148" t="s">
        <v>323</v>
      </c>
      <c r="F30" s="24" t="s">
        <v>1002</v>
      </c>
      <c r="G30" s="177">
        <v>20156</v>
      </c>
      <c r="H30" s="204" t="s">
        <v>2378</v>
      </c>
      <c r="I30" s="169" t="s">
        <v>2505</v>
      </c>
      <c r="J30" s="26" t="s">
        <v>2510</v>
      </c>
      <c r="K30" s="169" t="s">
        <v>2411</v>
      </c>
    </row>
    <row r="31" spans="1:11" ht="43.5" x14ac:dyDescent="0.35">
      <c r="A31" s="24">
        <v>1319</v>
      </c>
      <c r="B31" s="24" t="s">
        <v>1104</v>
      </c>
      <c r="C31" s="177">
        <v>20092</v>
      </c>
      <c r="D31" s="148" t="s">
        <v>327</v>
      </c>
      <c r="E31" s="148" t="s">
        <v>328</v>
      </c>
      <c r="F31" s="24" t="s">
        <v>1002</v>
      </c>
      <c r="G31" s="177">
        <v>20157</v>
      </c>
      <c r="H31" s="204" t="s">
        <v>2378</v>
      </c>
      <c r="I31" s="169" t="s">
        <v>2505</v>
      </c>
      <c r="J31" s="26" t="s">
        <v>2511</v>
      </c>
      <c r="K31" s="169" t="s">
        <v>2411</v>
      </c>
    </row>
    <row r="32" spans="1:11" ht="43.5" x14ac:dyDescent="0.35">
      <c r="A32" s="24">
        <v>1320</v>
      </c>
      <c r="B32" s="24" t="s">
        <v>1105</v>
      </c>
      <c r="C32" s="177">
        <v>20094</v>
      </c>
      <c r="D32" s="148" t="s">
        <v>332</v>
      </c>
      <c r="E32" s="148" t="s">
        <v>333</v>
      </c>
      <c r="F32" s="24" t="s">
        <v>1002</v>
      </c>
      <c r="G32" s="177">
        <v>20158</v>
      </c>
      <c r="H32" s="204" t="s">
        <v>2378</v>
      </c>
      <c r="I32" s="169" t="s">
        <v>2505</v>
      </c>
      <c r="J32" s="26" t="s">
        <v>2512</v>
      </c>
      <c r="K32" s="169" t="s">
        <v>2411</v>
      </c>
    </row>
    <row r="33" spans="1:12" ht="43.5" x14ac:dyDescent="0.35">
      <c r="A33" s="24">
        <v>1321</v>
      </c>
      <c r="B33" s="24" t="s">
        <v>1106</v>
      </c>
      <c r="C33" s="177">
        <v>20096</v>
      </c>
      <c r="D33" s="148" t="s">
        <v>337</v>
      </c>
      <c r="E33" s="148" t="s">
        <v>338</v>
      </c>
      <c r="F33" s="24" t="s">
        <v>1002</v>
      </c>
      <c r="G33" s="177">
        <v>20159</v>
      </c>
      <c r="H33" s="204" t="s">
        <v>2378</v>
      </c>
      <c r="I33" s="169" t="s">
        <v>2505</v>
      </c>
      <c r="J33" s="26" t="s">
        <v>2419</v>
      </c>
      <c r="K33" s="169" t="s">
        <v>2411</v>
      </c>
    </row>
    <row r="34" spans="1:12" ht="43.5" x14ac:dyDescent="0.35">
      <c r="A34" s="24">
        <v>1322</v>
      </c>
      <c r="B34" s="24" t="s">
        <v>1107</v>
      </c>
      <c r="C34" s="177">
        <v>20098</v>
      </c>
      <c r="D34" s="148" t="s">
        <v>342</v>
      </c>
      <c r="E34" s="148" t="s">
        <v>343</v>
      </c>
      <c r="F34" s="24" t="s">
        <v>1002</v>
      </c>
      <c r="G34" s="177">
        <v>20160</v>
      </c>
      <c r="H34" s="204" t="s">
        <v>2378</v>
      </c>
      <c r="I34" s="169" t="s">
        <v>2505</v>
      </c>
      <c r="J34" s="26" t="s">
        <v>2420</v>
      </c>
      <c r="K34" s="169" t="s">
        <v>2411</v>
      </c>
    </row>
    <row r="35" spans="1:12" ht="43.5" x14ac:dyDescent="0.35">
      <c r="A35" s="24">
        <v>1323</v>
      </c>
      <c r="B35" s="24" t="s">
        <v>1108</v>
      </c>
      <c r="C35" s="177">
        <v>20100</v>
      </c>
      <c r="D35" s="148" t="s">
        <v>347</v>
      </c>
      <c r="E35" s="148" t="s">
        <v>348</v>
      </c>
      <c r="F35" s="24" t="s">
        <v>1002</v>
      </c>
      <c r="G35" s="177">
        <v>20161</v>
      </c>
      <c r="H35" s="204" t="s">
        <v>2378</v>
      </c>
      <c r="I35" s="169" t="s">
        <v>2505</v>
      </c>
      <c r="J35" s="26" t="s">
        <v>2421</v>
      </c>
      <c r="K35" s="169" t="s">
        <v>2411</v>
      </c>
    </row>
    <row r="36" spans="1:12" ht="43.5" x14ac:dyDescent="0.35">
      <c r="A36" s="24">
        <v>1324</v>
      </c>
      <c r="B36" s="24" t="s">
        <v>1109</v>
      </c>
      <c r="C36" s="177">
        <v>20102</v>
      </c>
      <c r="D36" s="148" t="s">
        <v>352</v>
      </c>
      <c r="E36" s="148" t="s">
        <v>353</v>
      </c>
      <c r="F36" s="24" t="s">
        <v>1002</v>
      </c>
      <c r="G36" s="177">
        <v>20162</v>
      </c>
      <c r="H36" s="204" t="s">
        <v>2378</v>
      </c>
      <c r="I36" s="169" t="s">
        <v>2505</v>
      </c>
      <c r="J36" s="26" t="s">
        <v>2422</v>
      </c>
      <c r="K36" s="169" t="s">
        <v>2411</v>
      </c>
    </row>
    <row r="37" spans="1:12" ht="29" x14ac:dyDescent="0.35">
      <c r="A37" s="24">
        <v>1342</v>
      </c>
      <c r="B37" s="24">
        <v>42</v>
      </c>
      <c r="C37" s="177">
        <v>21001</v>
      </c>
      <c r="D37" s="148" t="s">
        <v>357</v>
      </c>
      <c r="E37" s="148" t="s">
        <v>358</v>
      </c>
      <c r="F37" s="24" t="s">
        <v>1110</v>
      </c>
      <c r="G37" s="177">
        <v>20171</v>
      </c>
      <c r="H37" s="204" t="s">
        <v>2357</v>
      </c>
      <c r="I37" s="169" t="s">
        <v>2513</v>
      </c>
      <c r="J37" s="26" t="s">
        <v>2514</v>
      </c>
      <c r="K37" s="169" t="s">
        <v>2425</v>
      </c>
    </row>
    <row r="38" spans="1:12" ht="43.5" x14ac:dyDescent="0.35">
      <c r="A38" s="24">
        <v>1395</v>
      </c>
      <c r="B38" s="24">
        <v>42</v>
      </c>
      <c r="C38" s="177">
        <v>21001</v>
      </c>
      <c r="D38" s="148" t="s">
        <v>357</v>
      </c>
      <c r="E38" s="148" t="s">
        <v>358</v>
      </c>
      <c r="F38" s="24" t="s">
        <v>1110</v>
      </c>
      <c r="G38" s="177">
        <v>20172</v>
      </c>
      <c r="H38" s="204" t="s">
        <v>2378</v>
      </c>
      <c r="I38" s="169" t="s">
        <v>2515</v>
      </c>
      <c r="J38" s="26" t="s">
        <v>2516</v>
      </c>
      <c r="K38" s="169" t="s">
        <v>2428</v>
      </c>
    </row>
    <row r="39" spans="1:12" ht="43.5" x14ac:dyDescent="0.35">
      <c r="A39" s="24">
        <v>1331</v>
      </c>
      <c r="B39" s="24">
        <v>6</v>
      </c>
      <c r="C39" s="67">
        <v>20018</v>
      </c>
      <c r="D39" s="148" t="s">
        <v>2429</v>
      </c>
      <c r="E39" s="148" t="s">
        <v>84</v>
      </c>
      <c r="F39" s="24" t="s">
        <v>1002</v>
      </c>
      <c r="G39" s="177">
        <v>21040</v>
      </c>
      <c r="H39" s="204" t="s">
        <v>2357</v>
      </c>
      <c r="I39" s="169" t="s">
        <v>2517</v>
      </c>
      <c r="J39" s="26" t="s">
        <v>2518</v>
      </c>
      <c r="K39" s="169" t="s">
        <v>2432</v>
      </c>
    </row>
    <row r="40" spans="1:12" ht="43.5" x14ac:dyDescent="0.35">
      <c r="A40" s="24">
        <v>1332</v>
      </c>
      <c r="B40" s="24">
        <v>6</v>
      </c>
      <c r="C40" s="67">
        <v>20018</v>
      </c>
      <c r="D40" s="148" t="s">
        <v>2429</v>
      </c>
      <c r="E40" s="148" t="s">
        <v>84</v>
      </c>
      <c r="F40" s="24" t="s">
        <v>1002</v>
      </c>
      <c r="G40" s="177">
        <v>21045</v>
      </c>
      <c r="H40" s="204" t="s">
        <v>2357</v>
      </c>
      <c r="I40" s="169" t="s">
        <v>2519</v>
      </c>
      <c r="J40" s="26" t="s">
        <v>2520</v>
      </c>
      <c r="K40" s="169" t="s">
        <v>2435</v>
      </c>
    </row>
    <row r="41" spans="1:12" ht="58" x14ac:dyDescent="0.35">
      <c r="A41" s="161">
        <v>1343</v>
      </c>
      <c r="B41" s="161">
        <v>2</v>
      </c>
      <c r="C41" s="177">
        <v>20014</v>
      </c>
      <c r="D41" s="27" t="s">
        <v>64</v>
      </c>
      <c r="E41" s="27" t="s">
        <v>65</v>
      </c>
      <c r="F41" s="161" t="s">
        <v>1002</v>
      </c>
      <c r="G41" s="177">
        <v>20181</v>
      </c>
      <c r="H41" s="234" t="s">
        <v>2357</v>
      </c>
      <c r="I41" s="178" t="s">
        <v>2521</v>
      </c>
      <c r="J41" s="212" t="s">
        <v>2522</v>
      </c>
      <c r="K41" s="169" t="s">
        <v>2523</v>
      </c>
      <c r="L41" s="3" t="s">
        <v>2524</v>
      </c>
    </row>
    <row r="42" spans="1:12" ht="29" x14ac:dyDescent="0.35">
      <c r="A42" s="24">
        <v>1582</v>
      </c>
      <c r="B42" s="24">
        <v>5</v>
      </c>
      <c r="C42" s="67">
        <v>20017</v>
      </c>
      <c r="D42" s="148" t="s">
        <v>80</v>
      </c>
      <c r="E42" s="148" t="s">
        <v>81</v>
      </c>
      <c r="F42" s="25" t="s">
        <v>1002</v>
      </c>
      <c r="G42" s="67">
        <v>21070</v>
      </c>
      <c r="H42" s="212" t="s">
        <v>2525</v>
      </c>
      <c r="I42" s="212" t="s">
        <v>2526</v>
      </c>
      <c r="J42" s="212" t="s">
        <v>2527</v>
      </c>
      <c r="K42" s="212" t="s">
        <v>2528</v>
      </c>
      <c r="L42" s="3" t="s">
        <v>2529</v>
      </c>
    </row>
    <row r="43" spans="1:12" ht="43.5" x14ac:dyDescent="0.35">
      <c r="A43" s="161">
        <v>1345</v>
      </c>
      <c r="B43" s="161">
        <v>1</v>
      </c>
      <c r="C43" s="177">
        <v>20004</v>
      </c>
      <c r="D43" s="27" t="s">
        <v>29</v>
      </c>
      <c r="E43" s="27" t="s">
        <v>30</v>
      </c>
      <c r="F43" s="161" t="s">
        <v>1002</v>
      </c>
      <c r="G43" s="177">
        <v>21080</v>
      </c>
      <c r="H43" s="234" t="s">
        <v>2357</v>
      </c>
      <c r="I43" s="178" t="s">
        <v>2530</v>
      </c>
      <c r="J43" s="212" t="s">
        <v>2531</v>
      </c>
      <c r="K43" s="169" t="s">
        <v>2445</v>
      </c>
    </row>
    <row r="44" spans="1:12" ht="46.5" x14ac:dyDescent="0.35">
      <c r="A44" s="161">
        <v>1346</v>
      </c>
      <c r="B44" s="161">
        <v>2</v>
      </c>
      <c r="C44" s="177">
        <v>20013</v>
      </c>
      <c r="D44" s="27" t="s">
        <v>62</v>
      </c>
      <c r="E44" s="28" t="s">
        <v>63</v>
      </c>
      <c r="F44" s="161" t="s">
        <v>1002</v>
      </c>
      <c r="G44" s="177">
        <v>21090</v>
      </c>
      <c r="H44" s="234" t="s">
        <v>2378</v>
      </c>
      <c r="I44" s="178" t="s">
        <v>2532</v>
      </c>
      <c r="J44" s="212" t="s">
        <v>2533</v>
      </c>
      <c r="K44" s="169" t="s">
        <v>2448</v>
      </c>
      <c r="L44" s="3" t="s">
        <v>2534</v>
      </c>
    </row>
    <row r="45" spans="1:12" ht="29" x14ac:dyDescent="0.35">
      <c r="A45" s="24">
        <v>12</v>
      </c>
      <c r="B45" s="24">
        <v>56</v>
      </c>
      <c r="C45" s="67">
        <v>20131</v>
      </c>
      <c r="D45" s="148" t="s">
        <v>478</v>
      </c>
      <c r="E45" s="48" t="s">
        <v>479</v>
      </c>
      <c r="F45" s="24" t="s">
        <v>1002</v>
      </c>
      <c r="G45" s="177">
        <v>21200</v>
      </c>
      <c r="H45" s="204" t="s">
        <v>2449</v>
      </c>
      <c r="I45" s="169" t="s">
        <v>2535</v>
      </c>
      <c r="J45" s="26" t="s">
        <v>2536</v>
      </c>
      <c r="K45" s="169" t="s">
        <v>2452</v>
      </c>
    </row>
    <row r="46" spans="1:12" ht="43.5" x14ac:dyDescent="0.35">
      <c r="A46" s="161">
        <v>124</v>
      </c>
      <c r="B46" s="161">
        <v>47</v>
      </c>
      <c r="C46" s="177">
        <v>21018</v>
      </c>
      <c r="D46" s="27" t="s">
        <v>396</v>
      </c>
      <c r="E46" s="28" t="s">
        <v>397</v>
      </c>
      <c r="F46" s="161" t="s">
        <v>1110</v>
      </c>
      <c r="G46" s="177">
        <v>21060</v>
      </c>
      <c r="H46" s="234" t="s">
        <v>2357</v>
      </c>
      <c r="I46" s="178" t="s">
        <v>2537</v>
      </c>
      <c r="J46" s="212" t="s">
        <v>2538</v>
      </c>
      <c r="K46" s="169" t="s">
        <v>2455</v>
      </c>
      <c r="L46" s="134" t="s">
        <v>2539</v>
      </c>
    </row>
    <row r="47" spans="1:12" ht="29" x14ac:dyDescent="0.35">
      <c r="A47" s="24">
        <v>1387</v>
      </c>
      <c r="B47" s="24" t="s">
        <v>1126</v>
      </c>
      <c r="C47" s="67">
        <v>20296</v>
      </c>
      <c r="D47" s="148" t="s">
        <v>396</v>
      </c>
      <c r="E47" s="148" t="s">
        <v>413</v>
      </c>
      <c r="F47" s="24" t="s">
        <v>1002</v>
      </c>
      <c r="G47" s="177">
        <v>21065</v>
      </c>
      <c r="H47" s="204" t="s">
        <v>2357</v>
      </c>
      <c r="I47" s="169" t="s">
        <v>2540</v>
      </c>
      <c r="J47" s="26" t="s">
        <v>2541</v>
      </c>
      <c r="K47" s="169" t="s">
        <v>2458</v>
      </c>
    </row>
    <row r="48" spans="1:12" ht="159.5" x14ac:dyDescent="0.35">
      <c r="A48" s="24">
        <v>1388</v>
      </c>
      <c r="B48" s="24">
        <v>67</v>
      </c>
      <c r="C48" s="67">
        <v>20157</v>
      </c>
      <c r="D48" s="148" t="s">
        <v>614</v>
      </c>
      <c r="E48" s="48" t="s">
        <v>615</v>
      </c>
      <c r="F48" s="24" t="s">
        <v>1002</v>
      </c>
      <c r="G48" s="177">
        <v>21030</v>
      </c>
      <c r="H48" s="204" t="s">
        <v>2357</v>
      </c>
      <c r="I48" s="178" t="s">
        <v>2542</v>
      </c>
      <c r="J48" s="26" t="s">
        <v>2543</v>
      </c>
      <c r="K48" s="169" t="s">
        <v>2461</v>
      </c>
    </row>
    <row r="49" spans="1:12" ht="29" x14ac:dyDescent="0.35">
      <c r="A49" s="24">
        <v>1389</v>
      </c>
      <c r="B49" s="24">
        <v>43</v>
      </c>
      <c r="C49" s="67">
        <v>21003</v>
      </c>
      <c r="D49" s="148" t="s">
        <v>366</v>
      </c>
      <c r="E49" s="148" t="s">
        <v>367</v>
      </c>
      <c r="F49" s="24" t="s">
        <v>1110</v>
      </c>
      <c r="G49" s="177">
        <v>21000</v>
      </c>
      <c r="H49" s="204" t="s">
        <v>2357</v>
      </c>
      <c r="I49" s="169" t="s">
        <v>2544</v>
      </c>
      <c r="J49" s="26" t="s">
        <v>2545</v>
      </c>
      <c r="K49" s="169" t="s">
        <v>2464</v>
      </c>
    </row>
    <row r="50" spans="1:12" s="4" customFormat="1" ht="29" x14ac:dyDescent="0.35">
      <c r="A50" s="161">
        <v>1626</v>
      </c>
      <c r="B50" s="24" t="s">
        <v>2345</v>
      </c>
      <c r="C50" s="24">
        <v>2309</v>
      </c>
      <c r="D50" s="48" t="s">
        <v>2346</v>
      </c>
      <c r="E50" s="26" t="s">
        <v>888</v>
      </c>
      <c r="F50" s="25" t="s">
        <v>1002</v>
      </c>
      <c r="G50" s="67">
        <v>1100000</v>
      </c>
      <c r="H50" s="26" t="s">
        <v>2465</v>
      </c>
      <c r="I50" s="26" t="s">
        <v>2466</v>
      </c>
      <c r="J50" s="26" t="s">
        <v>2467</v>
      </c>
      <c r="K50" s="26"/>
      <c r="L50" s="6"/>
    </row>
    <row r="52" spans="1:12" x14ac:dyDescent="0.35">
      <c r="A52" s="4" t="s">
        <v>2546</v>
      </c>
    </row>
    <row r="53" spans="1:12" x14ac:dyDescent="0.35">
      <c r="A53" s="4" t="s">
        <v>2547</v>
      </c>
    </row>
    <row r="54" spans="1:12" x14ac:dyDescent="0.35">
      <c r="A54" s="4" t="s">
        <v>2548</v>
      </c>
    </row>
    <row r="55" spans="1:12" x14ac:dyDescent="0.35">
      <c r="A55" s="4" t="s">
        <v>2549</v>
      </c>
    </row>
    <row r="56" spans="1:12" x14ac:dyDescent="0.35">
      <c r="A56" s="4" t="s">
        <v>2550</v>
      </c>
    </row>
    <row r="57" spans="1:12" x14ac:dyDescent="0.35">
      <c r="A57" s="4" t="s">
        <v>2551</v>
      </c>
    </row>
    <row r="58" spans="1:12" x14ac:dyDescent="0.35">
      <c r="A58" s="4" t="s">
        <v>2552</v>
      </c>
    </row>
    <row r="59" spans="1:12" x14ac:dyDescent="0.35">
      <c r="A59" s="4" t="s">
        <v>2553</v>
      </c>
    </row>
    <row r="60" spans="1:12" x14ac:dyDescent="0.35">
      <c r="A60" s="4" t="s">
        <v>2554</v>
      </c>
    </row>
    <row r="61" spans="1:12" x14ac:dyDescent="0.35">
      <c r="A61" s="4"/>
    </row>
    <row r="62" spans="1:12" x14ac:dyDescent="0.35">
      <c r="A62" s="4"/>
    </row>
    <row r="63" spans="1:12" x14ac:dyDescent="0.35">
      <c r="A63" s="4"/>
    </row>
    <row r="64" spans="1:12" x14ac:dyDescent="0.35">
      <c r="A64" s="4"/>
    </row>
    <row r="65" spans="1:1" x14ac:dyDescent="0.35">
      <c r="A65" s="4"/>
    </row>
    <row r="66" spans="1:1" x14ac:dyDescent="0.35">
      <c r="A66" s="4"/>
    </row>
    <row r="67" spans="1:1" x14ac:dyDescent="0.35">
      <c r="A67" s="4"/>
    </row>
    <row r="68" spans="1:1" x14ac:dyDescent="0.35">
      <c r="A68" s="4"/>
    </row>
    <row r="69" spans="1:1" x14ac:dyDescent="0.35">
      <c r="A69" s="4"/>
    </row>
    <row r="70" spans="1:1" x14ac:dyDescent="0.35">
      <c r="A70" s="4"/>
    </row>
    <row r="71" spans="1:1" x14ac:dyDescent="0.35">
      <c r="A71" s="4"/>
    </row>
    <row r="72" spans="1:1" x14ac:dyDescent="0.35">
      <c r="A72" s="4"/>
    </row>
    <row r="73" spans="1:1" x14ac:dyDescent="0.35">
      <c r="A73" s="4"/>
    </row>
    <row r="74" spans="1:1" x14ac:dyDescent="0.35">
      <c r="A74" s="4"/>
    </row>
    <row r="75" spans="1:1" x14ac:dyDescent="0.35">
      <c r="A75" s="4"/>
    </row>
    <row r="76" spans="1:1" x14ac:dyDescent="0.35">
      <c r="A76" s="4"/>
    </row>
    <row r="77" spans="1:1" x14ac:dyDescent="0.35">
      <c r="A77" s="4"/>
    </row>
    <row r="78" spans="1:1" x14ac:dyDescent="0.35">
      <c r="A78" s="4"/>
    </row>
    <row r="79" spans="1:1" x14ac:dyDescent="0.35">
      <c r="A79" s="4"/>
    </row>
    <row r="80" spans="1:1" x14ac:dyDescent="0.35">
      <c r="A80" s="4"/>
    </row>
    <row r="81" spans="1:1" x14ac:dyDescent="0.35">
      <c r="A81" s="4"/>
    </row>
    <row r="82" spans="1:1" x14ac:dyDescent="0.35">
      <c r="A82" s="4"/>
    </row>
    <row r="83" spans="1:1" x14ac:dyDescent="0.35">
      <c r="A83" s="4"/>
    </row>
    <row r="84" spans="1:1" x14ac:dyDescent="0.35">
      <c r="A84" s="4"/>
    </row>
    <row r="85" spans="1:1" x14ac:dyDescent="0.35">
      <c r="A85" s="4"/>
    </row>
    <row r="86" spans="1:1" x14ac:dyDescent="0.35">
      <c r="A86" s="4"/>
    </row>
    <row r="87" spans="1:1" x14ac:dyDescent="0.35">
      <c r="A87" s="4"/>
    </row>
    <row r="88" spans="1:1" x14ac:dyDescent="0.35">
      <c r="A88" s="4"/>
    </row>
    <row r="89" spans="1:1" x14ac:dyDescent="0.35">
      <c r="A89" s="4"/>
    </row>
    <row r="90" spans="1:1" x14ac:dyDescent="0.35">
      <c r="A90" s="4"/>
    </row>
    <row r="91" spans="1:1" x14ac:dyDescent="0.35">
      <c r="A91" s="4"/>
    </row>
    <row r="92" spans="1:1" x14ac:dyDescent="0.35">
      <c r="A92" s="4"/>
    </row>
    <row r="93" spans="1:1" x14ac:dyDescent="0.35">
      <c r="A93" s="4"/>
    </row>
    <row r="94" spans="1:1" x14ac:dyDescent="0.35">
      <c r="A94" s="4"/>
    </row>
    <row r="95" spans="1:1" x14ac:dyDescent="0.35">
      <c r="A95" s="4"/>
    </row>
    <row r="96" spans="1:1" x14ac:dyDescent="0.35">
      <c r="A96" s="4"/>
    </row>
    <row r="97" spans="1:1" x14ac:dyDescent="0.35">
      <c r="A97" s="4"/>
    </row>
    <row r="98" spans="1:1" x14ac:dyDescent="0.35">
      <c r="A98" s="4"/>
    </row>
    <row r="99" spans="1:1" x14ac:dyDescent="0.35">
      <c r="A99" s="4"/>
    </row>
    <row r="100" spans="1:1" x14ac:dyDescent="0.35">
      <c r="A100" s="4"/>
    </row>
    <row r="101" spans="1:1" x14ac:dyDescent="0.35">
      <c r="A101" s="4"/>
    </row>
    <row r="102" spans="1:1" x14ac:dyDescent="0.35">
      <c r="A102" s="4"/>
    </row>
    <row r="103" spans="1:1" x14ac:dyDescent="0.35">
      <c r="A103" s="4"/>
    </row>
    <row r="104" spans="1:1" x14ac:dyDescent="0.35">
      <c r="A104" s="4"/>
    </row>
    <row r="105" spans="1:1" x14ac:dyDescent="0.35">
      <c r="A105" s="4"/>
    </row>
    <row r="106" spans="1:1" x14ac:dyDescent="0.35">
      <c r="A106" s="4"/>
    </row>
    <row r="107" spans="1:1" x14ac:dyDescent="0.35">
      <c r="A107" s="4"/>
    </row>
    <row r="108" spans="1:1" x14ac:dyDescent="0.35">
      <c r="A108" s="4"/>
    </row>
    <row r="109" spans="1:1" x14ac:dyDescent="0.35">
      <c r="A109" s="4"/>
    </row>
    <row r="110" spans="1:1" x14ac:dyDescent="0.35">
      <c r="A110" s="4"/>
    </row>
    <row r="111" spans="1:1" x14ac:dyDescent="0.35">
      <c r="A111" s="4"/>
    </row>
    <row r="112" spans="1:1" x14ac:dyDescent="0.35">
      <c r="A112" s="4"/>
    </row>
    <row r="113" spans="1:1" x14ac:dyDescent="0.35">
      <c r="A113" s="4"/>
    </row>
    <row r="114" spans="1:1" x14ac:dyDescent="0.35">
      <c r="A114" s="4"/>
    </row>
    <row r="115" spans="1:1" x14ac:dyDescent="0.35">
      <c r="A115" s="4"/>
    </row>
    <row r="116" spans="1:1" x14ac:dyDescent="0.35">
      <c r="A116" s="4"/>
    </row>
    <row r="117" spans="1:1" x14ac:dyDescent="0.35">
      <c r="A117" s="4"/>
    </row>
    <row r="118" spans="1:1" x14ac:dyDescent="0.35">
      <c r="A118" s="4"/>
    </row>
    <row r="119" spans="1:1" x14ac:dyDescent="0.35">
      <c r="A119" s="4"/>
    </row>
    <row r="120" spans="1:1" x14ac:dyDescent="0.35">
      <c r="A120" s="4"/>
    </row>
    <row r="121" spans="1:1" x14ac:dyDescent="0.35">
      <c r="A121" s="4"/>
    </row>
    <row r="122" spans="1:1" x14ac:dyDescent="0.35">
      <c r="A122" s="4"/>
    </row>
    <row r="123" spans="1:1" x14ac:dyDescent="0.35">
      <c r="A123" s="4"/>
    </row>
    <row r="124" spans="1:1" x14ac:dyDescent="0.35">
      <c r="A124" s="4"/>
    </row>
    <row r="125" spans="1:1" x14ac:dyDescent="0.35">
      <c r="A125" s="4"/>
    </row>
    <row r="126" spans="1:1" x14ac:dyDescent="0.35">
      <c r="A126" s="4"/>
    </row>
    <row r="127" spans="1:1" x14ac:dyDescent="0.35">
      <c r="A127" s="4"/>
    </row>
    <row r="128" spans="1:1" x14ac:dyDescent="0.35">
      <c r="A128" s="4"/>
    </row>
    <row r="129" spans="1:1" x14ac:dyDescent="0.35">
      <c r="A129" s="4"/>
    </row>
    <row r="130" spans="1:1" x14ac:dyDescent="0.35">
      <c r="A130" s="4"/>
    </row>
    <row r="131" spans="1:1" x14ac:dyDescent="0.35">
      <c r="A131" s="4"/>
    </row>
    <row r="132" spans="1:1" x14ac:dyDescent="0.35">
      <c r="A132" s="4"/>
    </row>
    <row r="133" spans="1:1" x14ac:dyDescent="0.35">
      <c r="A133" s="4"/>
    </row>
    <row r="134" spans="1:1" x14ac:dyDescent="0.35">
      <c r="A134" s="4"/>
    </row>
    <row r="135" spans="1:1" x14ac:dyDescent="0.35">
      <c r="A135" s="4"/>
    </row>
    <row r="136" spans="1:1" x14ac:dyDescent="0.35">
      <c r="A136" s="4"/>
    </row>
    <row r="137" spans="1:1" x14ac:dyDescent="0.35">
      <c r="A137" s="4"/>
    </row>
    <row r="138" spans="1:1" x14ac:dyDescent="0.35">
      <c r="A138" s="4"/>
    </row>
    <row r="139" spans="1:1" x14ac:dyDescent="0.35">
      <c r="A139" s="4"/>
    </row>
    <row r="140" spans="1:1" x14ac:dyDescent="0.35">
      <c r="A140" s="4"/>
    </row>
    <row r="141" spans="1:1" x14ac:dyDescent="0.35">
      <c r="A141" s="4"/>
    </row>
    <row r="142" spans="1:1" x14ac:dyDescent="0.35">
      <c r="A142" s="4"/>
    </row>
    <row r="143" spans="1:1" x14ac:dyDescent="0.35">
      <c r="A143" s="4"/>
    </row>
    <row r="144" spans="1:1" x14ac:dyDescent="0.35">
      <c r="A144" s="4"/>
    </row>
    <row r="145" spans="1:1" x14ac:dyDescent="0.35">
      <c r="A145" s="4"/>
    </row>
    <row r="146" spans="1:1" x14ac:dyDescent="0.35">
      <c r="A146" s="4"/>
    </row>
    <row r="147" spans="1:1" x14ac:dyDescent="0.35">
      <c r="A147" s="4"/>
    </row>
    <row r="148" spans="1:1" x14ac:dyDescent="0.35">
      <c r="A148" s="4"/>
    </row>
    <row r="149" spans="1:1" x14ac:dyDescent="0.35">
      <c r="A149" s="4"/>
    </row>
    <row r="150" spans="1:1" x14ac:dyDescent="0.35">
      <c r="A150" s="4"/>
    </row>
    <row r="151" spans="1:1" x14ac:dyDescent="0.35">
      <c r="A151" s="4"/>
    </row>
    <row r="152" spans="1:1" x14ac:dyDescent="0.35">
      <c r="A152" s="4"/>
    </row>
    <row r="153" spans="1:1" x14ac:dyDescent="0.35">
      <c r="A153" s="4"/>
    </row>
    <row r="154" spans="1:1" x14ac:dyDescent="0.35">
      <c r="A154" s="4"/>
    </row>
    <row r="155" spans="1:1" x14ac:dyDescent="0.35">
      <c r="A155" s="4"/>
    </row>
    <row r="156" spans="1:1" x14ac:dyDescent="0.35">
      <c r="A156" s="4"/>
    </row>
    <row r="157" spans="1:1" x14ac:dyDescent="0.35">
      <c r="A157" s="4"/>
    </row>
    <row r="158" spans="1:1" x14ac:dyDescent="0.35">
      <c r="A158" s="4"/>
    </row>
    <row r="159" spans="1:1" x14ac:dyDescent="0.35">
      <c r="A159" s="4"/>
    </row>
    <row r="160" spans="1:1" x14ac:dyDescent="0.35">
      <c r="A160" s="4"/>
    </row>
    <row r="161" spans="1:1" x14ac:dyDescent="0.35">
      <c r="A161" s="4"/>
    </row>
    <row r="162" spans="1:1" x14ac:dyDescent="0.35">
      <c r="A162" s="4"/>
    </row>
    <row r="163" spans="1:1" x14ac:dyDescent="0.35">
      <c r="A163" s="4"/>
    </row>
    <row r="164" spans="1:1" x14ac:dyDescent="0.35">
      <c r="A164" s="4"/>
    </row>
    <row r="165" spans="1:1" x14ac:dyDescent="0.35">
      <c r="A165" s="4"/>
    </row>
    <row r="166" spans="1:1" x14ac:dyDescent="0.35">
      <c r="A166" s="4"/>
    </row>
    <row r="167" spans="1:1" x14ac:dyDescent="0.35">
      <c r="A167" s="4"/>
    </row>
    <row r="168" spans="1:1" x14ac:dyDescent="0.35">
      <c r="A168" s="4"/>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50"/>
  <sheetViews>
    <sheetView workbookViewId="0">
      <pane ySplit="1" topLeftCell="A108" activePane="bottomLeft" state="frozen"/>
      <selection pane="bottomLeft" activeCell="K130" sqref="K130"/>
    </sheetView>
  </sheetViews>
  <sheetFormatPr defaultColWidth="9.1796875" defaultRowHeight="14.5" x14ac:dyDescent="0.35"/>
  <cols>
    <col min="1" max="1" width="8.453125" style="38" customWidth="1"/>
    <col min="2" max="2" width="18.7265625" style="4" customWidth="1"/>
    <col min="3" max="3" width="33.1796875" style="4" customWidth="1"/>
    <col min="4" max="4" width="28.453125" style="4" customWidth="1"/>
    <col min="5" max="5" width="5.81640625" style="4" customWidth="1"/>
    <col min="6" max="6" width="8.54296875" style="4" customWidth="1"/>
    <col min="7" max="7" width="8.7265625" style="4" customWidth="1"/>
    <col min="8" max="8" width="15.1796875" style="4" customWidth="1"/>
    <col min="9" max="9" width="12.1796875" style="4" customWidth="1"/>
    <col min="10" max="10" width="50.54296875" style="4" customWidth="1"/>
    <col min="11" max="11" width="23.81640625" style="4" customWidth="1"/>
    <col min="12" max="12" width="20.1796875" style="6" customWidth="1"/>
    <col min="13" max="13" width="37.1796875" style="4" customWidth="1"/>
    <col min="14" max="24" width="9.1796875" style="4"/>
    <col min="25" max="25" width="37.54296875" style="4" customWidth="1"/>
    <col min="26" max="16384" width="9.1796875" style="4"/>
  </cols>
  <sheetData>
    <row r="1" spans="1:13" s="6" customFormat="1" ht="29" x14ac:dyDescent="0.35">
      <c r="A1" s="35" t="s">
        <v>0</v>
      </c>
      <c r="B1" s="29" t="s">
        <v>991</v>
      </c>
      <c r="C1" s="29" t="s">
        <v>2</v>
      </c>
      <c r="D1" s="29" t="s">
        <v>3</v>
      </c>
      <c r="E1" s="29" t="s">
        <v>4</v>
      </c>
      <c r="F1" s="29" t="s">
        <v>5</v>
      </c>
      <c r="G1" s="29" t="s">
        <v>7</v>
      </c>
      <c r="H1" s="29" t="s">
        <v>8</v>
      </c>
      <c r="I1" s="29" t="s">
        <v>9</v>
      </c>
      <c r="J1" s="29" t="s">
        <v>10</v>
      </c>
      <c r="K1" s="29" t="s">
        <v>11</v>
      </c>
      <c r="L1" s="29" t="s">
        <v>13</v>
      </c>
      <c r="M1" s="30" t="s">
        <v>14</v>
      </c>
    </row>
    <row r="2" spans="1:13" x14ac:dyDescent="0.35">
      <c r="A2" s="36">
        <v>20004</v>
      </c>
      <c r="B2" s="9" t="s">
        <v>1376</v>
      </c>
      <c r="C2" s="9" t="s">
        <v>2555</v>
      </c>
      <c r="D2" s="9" t="s">
        <v>285</v>
      </c>
      <c r="E2" s="9">
        <v>0</v>
      </c>
      <c r="F2" s="9">
        <v>33</v>
      </c>
      <c r="G2" s="9" t="s">
        <v>1377</v>
      </c>
      <c r="H2" s="128" t="s">
        <v>31</v>
      </c>
      <c r="I2" s="9" t="s">
        <v>1377</v>
      </c>
      <c r="J2" s="17" t="s">
        <v>2556</v>
      </c>
      <c r="K2" s="16"/>
      <c r="L2" s="39"/>
      <c r="M2" s="4" t="str">
        <f>CONCATENATE("INSERT INTO TransformationEngine_Field (FieldName, FieldDescription, SourceFieldName, DetailField, Length, Required, OutputFieldName, AllowedChars, OutputFormat) VALUES ('", B2, "', '", C2, "', '", D2, "',", E2, ", ", F2, ", 0, '", J2, "', '", H2,"', '", K2, "')")</f>
        <v>INSERT INTO TransformationEngine_Field (FieldName, FieldDescription, SourceFieldName, DetailField, Length, Required, OutputFieldName, AllowedChars, OutputFormat) VALUES ('Output UB Box 1', 'Billing Provider - Org Name', 'ResponsibleParty_Name',0, 33, 0, 'CLM_SERV_PROV_NAME_GROUP', '0-9,A-Z, ,-,.,/,',&amp;,#', '')</v>
      </c>
    </row>
    <row r="3" spans="1:13" x14ac:dyDescent="0.35">
      <c r="A3" s="36">
        <v>20005</v>
      </c>
      <c r="B3" s="9" t="s">
        <v>1376</v>
      </c>
      <c r="C3" s="9" t="s">
        <v>32</v>
      </c>
      <c r="D3" s="9" t="s">
        <v>287</v>
      </c>
      <c r="E3" s="9">
        <v>0</v>
      </c>
      <c r="F3" s="9">
        <v>30</v>
      </c>
      <c r="G3" s="9" t="s">
        <v>1377</v>
      </c>
      <c r="H3" s="9" t="s">
        <v>31</v>
      </c>
      <c r="I3" s="9" t="s">
        <v>1377</v>
      </c>
      <c r="J3" s="17" t="s">
        <v>2557</v>
      </c>
      <c r="K3" s="16"/>
      <c r="L3" s="39"/>
      <c r="M3" s="4" t="str">
        <f t="shared" ref="M3:M14" si="0">CONCATENATE("INSERT INTO TransformationEngine_Field (FieldName, FieldDescription, SourceFieldName, DetailField, Length, Required, OutputFieldName, AllowedChars, OutputFormat) VALUES ('", B3, "', '", C3, "', '", D3, "',", E3, ", ", F3, ", 0, '", J3, "', '", H3,"', '", K3, "')")</f>
        <v>INSERT INTO TransformationEngine_Field (FieldName, FieldDescription, SourceFieldName, DetailField, Length, Required, OutputFieldName, AllowedChars, OutputFormat) VALUES ('Output UB Box 1', 'Billing Provider - Street Address', 'ResponsibleParty_Addr_Street',0, 30, 0, 'CLM_ SERV_PROV_ADDR_STREET', '0-9,A-Z, ,-,.,/,',&amp;,#', '')</v>
      </c>
    </row>
    <row r="4" spans="1:13" x14ac:dyDescent="0.35">
      <c r="A4" s="36">
        <v>20006</v>
      </c>
      <c r="B4" s="9" t="s">
        <v>1376</v>
      </c>
      <c r="C4" s="9" t="s">
        <v>33</v>
      </c>
      <c r="D4" s="9" t="s">
        <v>289</v>
      </c>
      <c r="E4" s="9">
        <v>0</v>
      </c>
      <c r="F4" s="9">
        <v>20</v>
      </c>
      <c r="G4" s="9" t="s">
        <v>1377</v>
      </c>
      <c r="H4" s="9" t="s">
        <v>61</v>
      </c>
      <c r="I4" s="9" t="s">
        <v>1377</v>
      </c>
      <c r="J4" s="17" t="s">
        <v>2558</v>
      </c>
      <c r="K4" s="16"/>
      <c r="L4" s="39"/>
      <c r="M4" s="4" t="str">
        <f t="shared" si="0"/>
        <v>INSERT INTO TransformationEngine_Field (FieldName, FieldDescription, SourceFieldName, DetailField, Length, Required, OutputFieldName, AllowedChars, OutputFormat) VALUES ('Output UB Box 1', 'Billing Provider - City', 'ResponsibleParty_Addr_City',0, 20, 0, 'CLM_ SERV_PROV_ADDR_CITY', ' ,A-Z', '')</v>
      </c>
    </row>
    <row r="5" spans="1:13" x14ac:dyDescent="0.35">
      <c r="A5" s="36">
        <v>20007</v>
      </c>
      <c r="B5" s="9" t="s">
        <v>1376</v>
      </c>
      <c r="C5" s="9" t="s">
        <v>36</v>
      </c>
      <c r="D5" s="9" t="s">
        <v>291</v>
      </c>
      <c r="E5" s="9">
        <v>0</v>
      </c>
      <c r="F5" s="9">
        <v>2</v>
      </c>
      <c r="G5" s="9" t="s">
        <v>1377</v>
      </c>
      <c r="H5" s="9" t="s">
        <v>61</v>
      </c>
      <c r="I5" s="9" t="s">
        <v>1377</v>
      </c>
      <c r="J5" s="17" t="s">
        <v>2559</v>
      </c>
      <c r="K5" s="16"/>
      <c r="L5" s="39"/>
      <c r="M5" s="4" t="str">
        <f t="shared" si="0"/>
        <v>INSERT INTO TransformationEngine_Field (FieldName, FieldDescription, SourceFieldName, DetailField, Length, Required, OutputFieldName, AllowedChars, OutputFormat) VALUES ('Output UB Box 1', 'Billing Provider - State', 'ResponsibleParty_Addr_State',0, 2, 0, 'CLM_ SERV_PROV_ADDR_STATE', ' ,A-Z', '')</v>
      </c>
    </row>
    <row r="6" spans="1:13" x14ac:dyDescent="0.35">
      <c r="A6" s="36">
        <v>20008</v>
      </c>
      <c r="B6" s="9" t="s">
        <v>1376</v>
      </c>
      <c r="C6" s="9" t="s">
        <v>38</v>
      </c>
      <c r="D6" s="9" t="s">
        <v>293</v>
      </c>
      <c r="E6" s="9">
        <v>0</v>
      </c>
      <c r="F6" s="9">
        <v>9</v>
      </c>
      <c r="G6" s="9" t="s">
        <v>1377</v>
      </c>
      <c r="H6" s="12" t="s">
        <v>27</v>
      </c>
      <c r="I6" s="9" t="s">
        <v>1377</v>
      </c>
      <c r="J6" s="17" t="s">
        <v>2560</v>
      </c>
      <c r="K6" s="16"/>
      <c r="L6" s="39"/>
      <c r="M6" s="4" t="str">
        <f t="shared" si="0"/>
        <v>INSERT INTO TransformationEngine_Field (FieldName, FieldDescription, SourceFieldName, DetailField, Length, Required, OutputFieldName, AllowedChars, OutputFormat) VALUES ('Output UB Box 1', 'Billing Provider - Zip', 'ResponsibleParty_Addr_Zip',0, 9, 0, 'CLM_ SERV_PROV_ADDR_ZIP', '0-9', '')</v>
      </c>
    </row>
    <row r="7" spans="1:13" x14ac:dyDescent="0.35">
      <c r="A7" s="36">
        <v>20009</v>
      </c>
      <c r="B7" s="9" t="s">
        <v>1376</v>
      </c>
      <c r="C7" s="9" t="s">
        <v>43</v>
      </c>
      <c r="D7" s="9" t="s">
        <v>1383</v>
      </c>
      <c r="E7" s="9">
        <v>0</v>
      </c>
      <c r="F7" s="9">
        <v>14</v>
      </c>
      <c r="G7" s="9" t="s">
        <v>1377</v>
      </c>
      <c r="H7" s="9" t="s">
        <v>27</v>
      </c>
      <c r="I7" s="9" t="s">
        <v>1377</v>
      </c>
      <c r="J7" s="17" t="s">
        <v>2561</v>
      </c>
      <c r="K7" s="16"/>
      <c r="L7" s="39"/>
      <c r="M7" s="4" t="str">
        <f t="shared" si="0"/>
        <v>INSERT INTO TransformationEngine_Field (FieldName, FieldDescription, SourceFieldName, DetailField, Length, Required, OutputFieldName, AllowedChars, OutputFormat) VALUES ('Output UB Box 1', 'Billing Provider - Phone', 'ResponsibleParty_Phone',0, 14, 0, 'CLM_SERV_PROV_PHONE', '0-9', '')</v>
      </c>
    </row>
    <row r="8" spans="1:13" x14ac:dyDescent="0.35">
      <c r="A8" s="36">
        <v>20010</v>
      </c>
      <c r="B8" s="9" t="s">
        <v>1386</v>
      </c>
      <c r="C8" s="9" t="s">
        <v>54</v>
      </c>
      <c r="D8" s="9" t="s">
        <v>55</v>
      </c>
      <c r="E8" s="9">
        <v>0</v>
      </c>
      <c r="F8" s="9">
        <v>33</v>
      </c>
      <c r="G8" s="9" t="s">
        <v>1377</v>
      </c>
      <c r="H8" s="9" t="s">
        <v>56</v>
      </c>
      <c r="I8" s="9" t="s">
        <v>1377</v>
      </c>
      <c r="J8" s="17" t="s">
        <v>2562</v>
      </c>
      <c r="K8" s="16"/>
      <c r="L8" s="39"/>
      <c r="M8" s="4" t="str">
        <f t="shared" si="0"/>
        <v>INSERT INTO TransformationEngine_Field (FieldName, FieldDescription, SourceFieldName, DetailField, Length, Required, OutputFieldName, AllowedChars, OutputFormat) VALUES ('Output UB Box 2', 'Pay To Provider - Org Name', 'PayToProvider_Name',0, 33, 0, 'CLM_BILL_PROV_NAME_GROUP', 'A-Z, ,',-,.,', '')</v>
      </c>
    </row>
    <row r="9" spans="1:13" x14ac:dyDescent="0.35">
      <c r="A9" s="36">
        <v>20011</v>
      </c>
      <c r="B9" s="9" t="s">
        <v>1386</v>
      </c>
      <c r="C9" s="9" t="s">
        <v>57</v>
      </c>
      <c r="D9" s="9" t="s">
        <v>58</v>
      </c>
      <c r="E9" s="9">
        <v>0</v>
      </c>
      <c r="F9" s="9">
        <v>30</v>
      </c>
      <c r="G9" s="9" t="s">
        <v>1377</v>
      </c>
      <c r="H9" s="9" t="s">
        <v>31</v>
      </c>
      <c r="I9" s="9" t="s">
        <v>1377</v>
      </c>
      <c r="J9" s="17" t="s">
        <v>2563</v>
      </c>
      <c r="K9" s="16"/>
      <c r="L9" s="39"/>
      <c r="M9" s="4" t="str">
        <f t="shared" si="0"/>
        <v>INSERT INTO TransformationEngine_Field (FieldName, FieldDescription, SourceFieldName, DetailField, Length, Required, OutputFieldName, AllowedChars, OutputFormat) VALUES ('Output UB Box 2', 'Pay To Provider - Street Address', 'PayToProvider_Addr_Street',0, 30, 0, 'CLM_BILL_PROV_ADDR_STREET', '0-9,A-Z, ,-,.,/,',&amp;,#', '')</v>
      </c>
    </row>
    <row r="10" spans="1:13" x14ac:dyDescent="0.35">
      <c r="A10" s="36">
        <v>20012</v>
      </c>
      <c r="B10" s="9" t="s">
        <v>1386</v>
      </c>
      <c r="C10" s="9" t="s">
        <v>59</v>
      </c>
      <c r="D10" s="9" t="s">
        <v>60</v>
      </c>
      <c r="E10" s="9">
        <v>0</v>
      </c>
      <c r="F10" s="9">
        <v>20</v>
      </c>
      <c r="G10" s="9" t="s">
        <v>1377</v>
      </c>
      <c r="H10" s="9" t="s">
        <v>61</v>
      </c>
      <c r="I10" s="9" t="s">
        <v>1377</v>
      </c>
      <c r="J10" s="17" t="s">
        <v>2564</v>
      </c>
      <c r="K10" s="16"/>
      <c r="L10" s="39"/>
      <c r="M10" s="4" t="str">
        <f t="shared" si="0"/>
        <v>INSERT INTO TransformationEngine_Field (FieldName, FieldDescription, SourceFieldName, DetailField, Length, Required, OutputFieldName, AllowedChars, OutputFormat) VALUES ('Output UB Box 2', 'Pay To Provider - City', 'PayToProvider_Addr_City',0, 20, 0, 'CLM_BILL_PROV_ADDR_CITY', ' ,A-Z', '')</v>
      </c>
    </row>
    <row r="11" spans="1:13" x14ac:dyDescent="0.35">
      <c r="A11" s="36">
        <v>20013</v>
      </c>
      <c r="B11" s="9" t="s">
        <v>1386</v>
      </c>
      <c r="C11" s="9" t="s">
        <v>62</v>
      </c>
      <c r="D11" s="9" t="s">
        <v>63</v>
      </c>
      <c r="E11" s="9">
        <v>0</v>
      </c>
      <c r="F11" s="9">
        <v>2</v>
      </c>
      <c r="G11" s="9" t="s">
        <v>1377</v>
      </c>
      <c r="H11" s="9" t="s">
        <v>61</v>
      </c>
      <c r="I11" s="9" t="s">
        <v>1377</v>
      </c>
      <c r="J11" s="17" t="s">
        <v>2565</v>
      </c>
      <c r="K11" s="16"/>
      <c r="L11" s="39"/>
      <c r="M11" s="4" t="str">
        <f t="shared" si="0"/>
        <v>INSERT INTO TransformationEngine_Field (FieldName, FieldDescription, SourceFieldName, DetailField, Length, Required, OutputFieldName, AllowedChars, OutputFormat) VALUES ('Output UB Box 2', 'Pay To Provider - State', 'PayToProvider_Addr_State',0, 2, 0, 'CLM_BILL_PROV_ADDR_STATE', ' ,A-Z', '')</v>
      </c>
    </row>
    <row r="12" spans="1:13" x14ac:dyDescent="0.35">
      <c r="A12" s="36">
        <v>20014</v>
      </c>
      <c r="B12" s="9" t="s">
        <v>1386</v>
      </c>
      <c r="C12" s="9" t="s">
        <v>64</v>
      </c>
      <c r="D12" s="9" t="s">
        <v>65</v>
      </c>
      <c r="E12" s="9">
        <v>0</v>
      </c>
      <c r="F12" s="9">
        <v>9</v>
      </c>
      <c r="G12" s="9" t="s">
        <v>1377</v>
      </c>
      <c r="H12" s="12" t="s">
        <v>27</v>
      </c>
      <c r="I12" s="9" t="s">
        <v>1377</v>
      </c>
      <c r="J12" s="17" t="s">
        <v>2566</v>
      </c>
      <c r="K12" s="16"/>
      <c r="L12" s="39"/>
      <c r="M12" s="4" t="str">
        <f t="shared" si="0"/>
        <v>INSERT INTO TransformationEngine_Field (FieldName, FieldDescription, SourceFieldName, DetailField, Length, Required, OutputFieldName, AllowedChars, OutputFormat) VALUES ('Output UB Box 2', 'Pay To Provider - Zip', 'PayToProvider_Addr_Zip',0, 9, 0, 'CLM_BILL_PROV_ADDR_ZIP', '0-9', '')</v>
      </c>
    </row>
    <row r="13" spans="1:13" x14ac:dyDescent="0.35">
      <c r="A13" s="36">
        <v>20015</v>
      </c>
      <c r="B13" s="9" t="s">
        <v>1393</v>
      </c>
      <c r="C13" s="9" t="s">
        <v>69</v>
      </c>
      <c r="D13" s="9" t="s">
        <v>70</v>
      </c>
      <c r="E13" s="9">
        <v>0</v>
      </c>
      <c r="F13" s="12">
        <v>20</v>
      </c>
      <c r="G13" s="9" t="s">
        <v>1377</v>
      </c>
      <c r="H13" s="9" t="s">
        <v>71</v>
      </c>
      <c r="I13" s="9" t="s">
        <v>1377</v>
      </c>
      <c r="J13" s="17" t="s">
        <v>2567</v>
      </c>
      <c r="K13" s="16"/>
      <c r="L13" s="39"/>
      <c r="M13" s="4" t="str">
        <f t="shared" si="0"/>
        <v>INSERT INTO TransformationEngine_Field (FieldName, FieldDescription, SourceFieldName, DetailField, Length, Required, OutputFieldName, AllowedChars, OutputFormat) VALUES ('Output UB Box 3a', 'Patient Control Number', 'OCRPatCtl',0, 20, 0, 'CLM_PATIENT_ACCOUNT_NUMBER', 'A-Z,0-9', '')</v>
      </c>
    </row>
    <row r="14" spans="1:13" x14ac:dyDescent="0.35">
      <c r="A14" s="36">
        <v>20016</v>
      </c>
      <c r="B14" s="9" t="s">
        <v>1395</v>
      </c>
      <c r="C14" s="9" t="s">
        <v>73</v>
      </c>
      <c r="D14" s="9" t="s">
        <v>74</v>
      </c>
      <c r="E14" s="9">
        <v>0</v>
      </c>
      <c r="F14" s="9">
        <v>24</v>
      </c>
      <c r="G14" s="9" t="s">
        <v>1377</v>
      </c>
      <c r="H14" s="9" t="s">
        <v>71</v>
      </c>
      <c r="I14" s="9" t="s">
        <v>1377</v>
      </c>
      <c r="J14" s="17" t="s">
        <v>2568</v>
      </c>
      <c r="K14" s="16"/>
      <c r="L14" s="39"/>
      <c r="M14" s="4" t="str">
        <f t="shared" si="0"/>
        <v>INSERT INTO TransformationEngine_Field (FieldName, FieldDescription, SourceFieldName, DetailField, Length, Required, OutputFieldName, AllowedChars, OutputFormat) VALUES ('Output UB Box 3b', 'Medical Record Number', 'OCRMedRecNo',0, 24, 0, 'CLM_MED_REC_NUMBER', 'A-Z,0-9', '')</v>
      </c>
    </row>
    <row r="15" spans="1:13" x14ac:dyDescent="0.35">
      <c r="A15" s="36">
        <v>20001</v>
      </c>
      <c r="B15" s="9" t="s">
        <v>1397</v>
      </c>
      <c r="C15" s="9" t="s">
        <v>77</v>
      </c>
      <c r="D15" s="9" t="s">
        <v>78</v>
      </c>
      <c r="E15" s="9">
        <v>0</v>
      </c>
      <c r="F15" s="9">
        <v>1</v>
      </c>
      <c r="G15" s="9" t="s">
        <v>1377</v>
      </c>
      <c r="H15" s="12" t="s">
        <v>27</v>
      </c>
      <c r="I15" s="9" t="s">
        <v>1377</v>
      </c>
      <c r="J15" s="17" t="s">
        <v>2569</v>
      </c>
      <c r="K15" s="16"/>
      <c r="L15" s="39"/>
      <c r="M15" s="4" t="str">
        <f t="shared" ref="M15:M24" si="1">CONCATENATE("INSERT INTO TransformationEngine_Field (FieldName, FieldDescription, SourceFieldName, DetailField, Length, Required, OutputFieldName, AllowedChars, OutputFormat) VALUES ('", B15, "', '", C15, "', '", D15, "',", E15, ", ", F15, ", 0, '", J15, "', '", H15,"', '", K15, "')")</f>
        <v>INSERT INTO TransformationEngine_Field (FieldName, FieldDescription, SourceFieldName, DetailField, Length, Required, OutputFieldName, AllowedChars, OutputFormat) VALUES ('Output UB Box 4', 'Type of Bill', 'OCRBillType',0, 1, 0, 'CLM_HOSP_FACILITY_CODE', '0-9', '')</v>
      </c>
    </row>
    <row r="16" spans="1:13" x14ac:dyDescent="0.35">
      <c r="A16" s="36">
        <v>20002</v>
      </c>
      <c r="B16" s="9" t="s">
        <v>1397</v>
      </c>
      <c r="C16" s="9" t="s">
        <v>77</v>
      </c>
      <c r="D16" s="9" t="s">
        <v>78</v>
      </c>
      <c r="E16" s="9">
        <v>0</v>
      </c>
      <c r="F16" s="9">
        <v>1</v>
      </c>
      <c r="G16" s="9" t="s">
        <v>1377</v>
      </c>
      <c r="H16" s="12" t="s">
        <v>27</v>
      </c>
      <c r="I16" s="9" t="s">
        <v>1377</v>
      </c>
      <c r="J16" s="17" t="s">
        <v>2570</v>
      </c>
      <c r="K16" s="16"/>
      <c r="L16" s="39"/>
      <c r="M16" s="4" t="str">
        <f t="shared" si="1"/>
        <v>INSERT INTO TransformationEngine_Field (FieldName, FieldDescription, SourceFieldName, DetailField, Length, Required, OutputFieldName, AllowedChars, OutputFormat) VALUES ('Output UB Box 4', 'Type of Bill', 'OCRBillType',0, 1, 0, 'CLM_HOSP_BILL_CLASSIFICATION', '0-9', '')</v>
      </c>
    </row>
    <row r="17" spans="1:13" x14ac:dyDescent="0.35">
      <c r="A17" s="36">
        <v>20003</v>
      </c>
      <c r="B17" s="9" t="s">
        <v>1397</v>
      </c>
      <c r="C17" s="9" t="s">
        <v>77</v>
      </c>
      <c r="D17" s="9" t="s">
        <v>78</v>
      </c>
      <c r="E17" s="9">
        <v>0</v>
      </c>
      <c r="F17" s="9">
        <v>1</v>
      </c>
      <c r="G17" s="9" t="s">
        <v>1377</v>
      </c>
      <c r="H17" s="9" t="s">
        <v>71</v>
      </c>
      <c r="I17" s="9" t="s">
        <v>1377</v>
      </c>
      <c r="J17" s="17" t="s">
        <v>2571</v>
      </c>
      <c r="K17" s="16"/>
      <c r="L17" s="39"/>
      <c r="M17" s="4" t="str">
        <f t="shared" si="1"/>
        <v>INSERT INTO TransformationEngine_Field (FieldName, FieldDescription, SourceFieldName, DetailField, Length, Required, OutputFieldName, AllowedChars, OutputFormat) VALUES ('Output UB Box 4', 'Type of Bill', 'OCRBillType',0, 1, 0, 'CLM_HOSP_FREQUENCY_CODE', 'A-Z,0-9', '')</v>
      </c>
    </row>
    <row r="18" spans="1:13" x14ac:dyDescent="0.35">
      <c r="A18" s="36">
        <v>20017</v>
      </c>
      <c r="B18" s="9" t="s">
        <v>1399</v>
      </c>
      <c r="C18" s="9" t="s">
        <v>80</v>
      </c>
      <c r="D18" s="9" t="s">
        <v>81</v>
      </c>
      <c r="E18" s="9">
        <v>0</v>
      </c>
      <c r="F18" s="9">
        <v>17</v>
      </c>
      <c r="G18" s="9" t="s">
        <v>1377</v>
      </c>
      <c r="H18" s="9" t="s">
        <v>27</v>
      </c>
      <c r="I18" s="9" t="s">
        <v>1377</v>
      </c>
      <c r="J18" s="17" t="s">
        <v>2572</v>
      </c>
      <c r="K18" s="16"/>
      <c r="L18" s="39"/>
      <c r="M18" s="4" t="str">
        <f t="shared" si="1"/>
        <v>INSERT INTO TransformationEngine_Field (FieldName, FieldDescription, SourceFieldName, DetailField, Length, Required, OutputFieldName, AllowedChars, OutputFormat) VALUES ('Output UB Box 5', 'Federal Tax Number', 'OCRFedID',0, 17, 0, 'CLM_BILL_PROV_ID', '0-9', '')</v>
      </c>
    </row>
    <row r="19" spans="1:13" x14ac:dyDescent="0.35">
      <c r="A19" s="36">
        <v>20018</v>
      </c>
      <c r="B19" s="9" t="s">
        <v>1401</v>
      </c>
      <c r="C19" s="9" t="s">
        <v>83</v>
      </c>
      <c r="D19" s="9" t="s">
        <v>84</v>
      </c>
      <c r="E19" s="9">
        <v>0</v>
      </c>
      <c r="F19" s="9">
        <v>8</v>
      </c>
      <c r="G19" s="9" t="s">
        <v>1377</v>
      </c>
      <c r="H19" s="9" t="s">
        <v>27</v>
      </c>
      <c r="I19" s="9" t="s">
        <v>1377</v>
      </c>
      <c r="J19" s="17" t="s">
        <v>2573</v>
      </c>
      <c r="K19" s="16"/>
      <c r="L19" s="39"/>
      <c r="M19" s="4" t="str">
        <f t="shared" si="1"/>
        <v>INSERT INTO TransformationEngine_Field (FieldName, FieldDescription, SourceFieldName, DetailField, Length, Required, OutputFieldName, AllowedChars, OutputFormat) VALUES ('Output UB Box 6', 'Statement Cover Period From', 'OCRStmtDateFrom',0, 8, 0, 'CLM_START_CCYYMMDD', '0-9', '')</v>
      </c>
    </row>
    <row r="20" spans="1:13" x14ac:dyDescent="0.35">
      <c r="A20" s="36">
        <v>20019</v>
      </c>
      <c r="B20" s="9" t="s">
        <v>1401</v>
      </c>
      <c r="C20" s="9" t="s">
        <v>87</v>
      </c>
      <c r="D20" s="9" t="s">
        <v>88</v>
      </c>
      <c r="E20" s="9">
        <v>0</v>
      </c>
      <c r="F20" s="9">
        <v>8</v>
      </c>
      <c r="G20" s="9" t="s">
        <v>1377</v>
      </c>
      <c r="H20" s="9" t="s">
        <v>27</v>
      </c>
      <c r="I20" s="9" t="s">
        <v>1377</v>
      </c>
      <c r="J20" s="17" t="s">
        <v>2574</v>
      </c>
      <c r="K20" s="16" t="s">
        <v>2575</v>
      </c>
      <c r="L20" s="39"/>
      <c r="M20" s="4" t="str">
        <f t="shared" si="1"/>
        <v>INSERT INTO TransformationEngine_Field (FieldName, FieldDescription, SourceFieldName, DetailField, Length, Required, OutputFieldName, AllowedChars, OutputFormat) VALUES ('Output UB Box 6', 'Statement Cover Period Through', 'OCRStmtDateTo',0, 8, 0, 'CLM_END_CCYYMMDD', '0-9', 'DateFormat:CCYYMMDD')</v>
      </c>
    </row>
    <row r="21" spans="1:13" x14ac:dyDescent="0.35">
      <c r="A21" s="36">
        <v>20020</v>
      </c>
      <c r="B21" s="9" t="s">
        <v>1407</v>
      </c>
      <c r="C21" s="9" t="s">
        <v>95</v>
      </c>
      <c r="D21" s="9" t="s">
        <v>96</v>
      </c>
      <c r="E21" s="9">
        <v>0</v>
      </c>
      <c r="F21" s="9">
        <v>20</v>
      </c>
      <c r="G21" s="9" t="s">
        <v>1377</v>
      </c>
      <c r="H21" s="9" t="s">
        <v>71</v>
      </c>
      <c r="I21" s="9" t="s">
        <v>1377</v>
      </c>
      <c r="J21" s="17" t="s">
        <v>2576</v>
      </c>
      <c r="K21" s="16"/>
      <c r="L21" s="39"/>
      <c r="M21" s="4" t="str">
        <f t="shared" si="1"/>
        <v>INSERT INTO TransformationEngine_Field (FieldName, FieldDescription, SourceFieldName, DetailField, Length, Required, OutputFieldName, AllowedChars, OutputFormat) VALUES ('Output UB Box 8a', 'Patient ID', 'OCRPatientID',0, 20, 0, 'CLM_PAT_ID', 'A-Z,0-9', '')</v>
      </c>
    </row>
    <row r="22" spans="1:13" x14ac:dyDescent="0.35">
      <c r="A22" s="36">
        <v>20021</v>
      </c>
      <c r="B22" s="9" t="s">
        <v>1409</v>
      </c>
      <c r="C22" s="9" t="s">
        <v>101</v>
      </c>
      <c r="D22" s="9" t="s">
        <v>102</v>
      </c>
      <c r="E22" s="9">
        <v>0</v>
      </c>
      <c r="F22" s="9">
        <v>20</v>
      </c>
      <c r="G22" s="9" t="s">
        <v>1377</v>
      </c>
      <c r="H22" s="9" t="s">
        <v>56</v>
      </c>
      <c r="I22" s="9" t="s">
        <v>1377</v>
      </c>
      <c r="J22" s="17" t="s">
        <v>2577</v>
      </c>
      <c r="K22" s="16"/>
      <c r="L22" s="39"/>
      <c r="M22" s="4" t="str">
        <f t="shared" si="1"/>
        <v>INSERT INTO TransformationEngine_Field (FieldName, FieldDescription, SourceFieldName, DetailField, Length, Required, OutputFieldName, AllowedChars, OutputFormat) VALUES ('Output UB Box 8b', 'Patient Name - Last', 'Patient_Name_Last',0, 20, 0, 'CLM_PAT_NAME_LAST', 'A-Z, ,',-,.,', '')</v>
      </c>
    </row>
    <row r="23" spans="1:13" x14ac:dyDescent="0.35">
      <c r="A23" s="36">
        <v>20022</v>
      </c>
      <c r="B23" s="9" t="s">
        <v>1409</v>
      </c>
      <c r="C23" s="9" t="s">
        <v>103</v>
      </c>
      <c r="D23" s="9" t="s">
        <v>104</v>
      </c>
      <c r="E23" s="9">
        <v>0</v>
      </c>
      <c r="F23" s="9">
        <v>12</v>
      </c>
      <c r="G23" s="9" t="s">
        <v>1377</v>
      </c>
      <c r="H23" s="12" t="s">
        <v>61</v>
      </c>
      <c r="I23" s="9" t="s">
        <v>1377</v>
      </c>
      <c r="J23" s="17" t="s">
        <v>2578</v>
      </c>
      <c r="K23" s="16"/>
      <c r="L23" s="39"/>
      <c r="M23" s="4" t="str">
        <f t="shared" si="1"/>
        <v>INSERT INTO TransformationEngine_Field (FieldName, FieldDescription, SourceFieldName, DetailField, Length, Required, OutputFieldName, AllowedChars, OutputFormat) VALUES ('Output UB Box 8b', 'Patient Name - First', 'Patient_Name_First',0, 12, 0, 'CLM_PAT_NAME_FIRST', ' ,A-Z', '')</v>
      </c>
    </row>
    <row r="24" spans="1:13" x14ac:dyDescent="0.35">
      <c r="A24" s="36">
        <v>20023</v>
      </c>
      <c r="B24" s="9" t="s">
        <v>1409</v>
      </c>
      <c r="C24" s="9" t="s">
        <v>105</v>
      </c>
      <c r="D24" s="9" t="s">
        <v>106</v>
      </c>
      <c r="E24" s="9">
        <v>0</v>
      </c>
      <c r="F24" s="9">
        <v>1</v>
      </c>
      <c r="G24" s="9" t="s">
        <v>1377</v>
      </c>
      <c r="H24" s="9" t="s">
        <v>107</v>
      </c>
      <c r="I24" s="9" t="s">
        <v>1377</v>
      </c>
      <c r="J24" s="17" t="s">
        <v>2579</v>
      </c>
      <c r="K24" s="16"/>
      <c r="L24" s="39"/>
      <c r="M24" s="4" t="str">
        <f t="shared" si="1"/>
        <v>INSERT INTO TransformationEngine_Field (FieldName, FieldDescription, SourceFieldName, DetailField, Length, Required, OutputFieldName, AllowedChars, OutputFormat) VALUES ('Output UB Box 8b', 'Patient Name - Middle', 'Patient_Name_Middle',0, 1, 0, 'CLM_PAT_NAME_INIT', 'A-Z', '')</v>
      </c>
    </row>
    <row r="25" spans="1:13" x14ac:dyDescent="0.35">
      <c r="A25" s="36">
        <v>20024</v>
      </c>
      <c r="B25" s="12" t="s">
        <v>1413</v>
      </c>
      <c r="C25" s="12" t="s">
        <v>115</v>
      </c>
      <c r="D25" s="9" t="s">
        <v>116</v>
      </c>
      <c r="E25" s="9">
        <v>0</v>
      </c>
      <c r="F25" s="9">
        <v>30</v>
      </c>
      <c r="G25" s="9" t="s">
        <v>1377</v>
      </c>
      <c r="H25" s="9" t="s">
        <v>31</v>
      </c>
      <c r="I25" s="9" t="s">
        <v>1377</v>
      </c>
      <c r="J25" s="17" t="s">
        <v>2580</v>
      </c>
      <c r="K25" s="16"/>
      <c r="L25" s="39"/>
      <c r="M25" s="4" t="str">
        <f>CONCATENATE("INSERT INTO TransformationEngine_Field (FieldName, FieldDescription, SourceFieldName, DetailField, Length, Required, OutputFieldName, AllowedChars, OutputFormat) VALUES ('", B25, "', '", C25, "', '", D25, "',", E25, ", ", F25, ", 0, '", J25, "', '", H25,"', '", K25, "')")</f>
        <v>INSERT INTO TransformationEngine_Field (FieldName, FieldDescription, SourceFieldName, DetailField, Length, Required, OutputFieldName, AllowedChars, OutputFormat) VALUES ('Output UB Box 9a', 'Patient Address - Street', 'OCRPatAddress_Street',0, 30, 0, 'CLM_PAT_ADDR_STREET', '0-9,A-Z, ,-,.,/,',&amp;,#', '')</v>
      </c>
    </row>
    <row r="26" spans="1:13" x14ac:dyDescent="0.35">
      <c r="A26" s="36">
        <v>20025</v>
      </c>
      <c r="B26" s="12" t="s">
        <v>1415</v>
      </c>
      <c r="C26" s="12" t="s">
        <v>118</v>
      </c>
      <c r="D26" s="9" t="s">
        <v>119</v>
      </c>
      <c r="E26" s="9">
        <v>0</v>
      </c>
      <c r="F26" s="9">
        <v>20</v>
      </c>
      <c r="G26" s="9" t="s">
        <v>1377</v>
      </c>
      <c r="H26" s="9" t="s">
        <v>61</v>
      </c>
      <c r="I26" s="9" t="s">
        <v>1377</v>
      </c>
      <c r="J26" s="17" t="s">
        <v>2581</v>
      </c>
      <c r="K26" s="16"/>
      <c r="L26" s="39"/>
      <c r="M26" s="4" t="str">
        <f>CONCATENATE("INSERT INTO TransformationEngine_Field (FieldName, FieldDescription, SourceFieldName, DetailField, Length, Required, OutputFieldName, AllowedChars, OutputFormat) VALUES ('", B26, "', '", C26, "', '", D26, "',", E26, ", ", F26, ", 0, '", J26, "', '", H26,"', '", K26, "')")</f>
        <v>INSERT INTO TransformationEngine_Field (FieldName, FieldDescription, SourceFieldName, DetailField, Length, Required, OutputFieldName, AllowedChars, OutputFormat) VALUES ('Output UB Box 9b', 'Patient Address - City', 'OCRPatAddress_City',0, 20, 0, 'CLM_PAT_ADDR_CITY', ' ,A-Z', '')</v>
      </c>
    </row>
    <row r="27" spans="1:13" x14ac:dyDescent="0.35">
      <c r="A27" s="36">
        <v>20026</v>
      </c>
      <c r="B27" s="12" t="s">
        <v>1417</v>
      </c>
      <c r="C27" s="12" t="s">
        <v>121</v>
      </c>
      <c r="D27" s="9" t="s">
        <v>122</v>
      </c>
      <c r="E27" s="9">
        <v>0</v>
      </c>
      <c r="F27" s="9">
        <v>2</v>
      </c>
      <c r="G27" s="9" t="s">
        <v>1377</v>
      </c>
      <c r="H27" s="9" t="s">
        <v>107</v>
      </c>
      <c r="I27" s="9" t="s">
        <v>1377</v>
      </c>
      <c r="J27" s="17" t="s">
        <v>2582</v>
      </c>
      <c r="K27" s="16"/>
      <c r="L27" s="39"/>
      <c r="M27" s="4" t="str">
        <f>CONCATENATE("INSERT INTO TransformationEngine_Field (FieldName, FieldDescription, SourceFieldName, DetailField, Length, Required, OutputFieldName, AllowedChars, OutputFormat) VALUES ('", B27, "', '", C27, "', '", D27, "',", E27, ", ", F27, ", 0, '", J27, "', '", H27,"', '", K27, "')")</f>
        <v>INSERT INTO TransformationEngine_Field (FieldName, FieldDescription, SourceFieldName, DetailField, Length, Required, OutputFieldName, AllowedChars, OutputFormat) VALUES ('Output UB Box 9c', 'Patient Address - State', 'OCRPatAddress_State',0, 2, 0, 'CLM_PAT_ADDR_STATE', 'A-Z', '')</v>
      </c>
    </row>
    <row r="28" spans="1:13" x14ac:dyDescent="0.35">
      <c r="A28" s="36">
        <v>20027</v>
      </c>
      <c r="B28" s="12" t="s">
        <v>1419</v>
      </c>
      <c r="C28" s="12" t="s">
        <v>124</v>
      </c>
      <c r="D28" s="9" t="s">
        <v>125</v>
      </c>
      <c r="E28" s="9">
        <v>0</v>
      </c>
      <c r="F28" s="9">
        <v>9</v>
      </c>
      <c r="G28" s="9" t="s">
        <v>1377</v>
      </c>
      <c r="H28" s="9" t="s">
        <v>27</v>
      </c>
      <c r="I28" s="9" t="s">
        <v>1377</v>
      </c>
      <c r="J28" s="17" t="s">
        <v>2583</v>
      </c>
      <c r="K28" s="16"/>
      <c r="L28" s="39"/>
      <c r="M28" s="4" t="str">
        <f>CONCATENATE("INSERT INTO TransformationEngine_Field (FieldName, FieldDescription, SourceFieldName, DetailField, Length, Required, OutputFieldName, AllowedChars, OutputFormat) VALUES ('", B28, "', '", C28, "', '", D28, "',", E28, ", ", F28, ", 0, '", J28, "', '", H28,"', '", K28, "')")</f>
        <v>INSERT INTO TransformationEngine_Field (FieldName, FieldDescription, SourceFieldName, DetailField, Length, Required, OutputFieldName, AllowedChars, OutputFormat) VALUES ('Output UB Box 9d', 'Patient Address - Zip', 'OCRPatAddress_Zip',0, 9, 0, 'CLM_PAT_ADDR_ZIP', '0-9', '')</v>
      </c>
    </row>
    <row r="29" spans="1:13" x14ac:dyDescent="0.35">
      <c r="A29" s="36">
        <v>20028</v>
      </c>
      <c r="B29" s="9" t="s">
        <v>1422</v>
      </c>
      <c r="C29" s="9" t="s">
        <v>1423</v>
      </c>
      <c r="D29" s="9" t="s">
        <v>133</v>
      </c>
      <c r="E29" s="9">
        <v>0</v>
      </c>
      <c r="F29" s="9">
        <v>8</v>
      </c>
      <c r="G29" s="9" t="s">
        <v>1377</v>
      </c>
      <c r="H29" s="9" t="s">
        <v>27</v>
      </c>
      <c r="I29" s="9" t="s">
        <v>1377</v>
      </c>
      <c r="J29" s="17" t="s">
        <v>2584</v>
      </c>
      <c r="K29" s="16"/>
      <c r="L29" s="39"/>
      <c r="M29" s="4" t="str">
        <f t="shared" ref="M29:M37" si="2">CONCATENATE("INSERT INTO TransformationEngine_Field (FieldName, FieldDescription, SourceFieldName, DetailField, Length, Required, OutputFieldName, AllowedChars, OutputFormat) VALUES ('", B29, "', '", C29, "', '", D29, "',", E29, ", ", F29, ", 0, '", J29, "', '", H29,"', '", K29, "')")</f>
        <v>INSERT INTO TransformationEngine_Field (FieldName, FieldDescription, SourceFieldName, DetailField, Length, Required, OutputFieldName, AllowedChars, OutputFormat) VALUES ('Output UB Box 10', 'Birthdate', 'OCRPatDOB',0, 8, 0, 'CLM_PAT_DOB_CCYYMMDD', '0-9', '')</v>
      </c>
    </row>
    <row r="30" spans="1:13" x14ac:dyDescent="0.35">
      <c r="A30" s="36">
        <v>20029</v>
      </c>
      <c r="B30" s="9" t="s">
        <v>1425</v>
      </c>
      <c r="C30" s="9" t="s">
        <v>136</v>
      </c>
      <c r="D30" s="9" t="s">
        <v>137</v>
      </c>
      <c r="E30" s="9">
        <v>0</v>
      </c>
      <c r="F30" s="9">
        <v>1</v>
      </c>
      <c r="G30" s="9" t="s">
        <v>1377</v>
      </c>
      <c r="H30" s="9" t="s">
        <v>138</v>
      </c>
      <c r="I30" s="9" t="s">
        <v>1377</v>
      </c>
      <c r="J30" s="17" t="s">
        <v>2585</v>
      </c>
      <c r="K30" s="16"/>
      <c r="L30" s="39"/>
      <c r="M30" s="4" t="str">
        <f t="shared" si="2"/>
        <v>INSERT INTO TransformationEngine_Field (FieldName, FieldDescription, SourceFieldName, DetailField, Length, Required, OutputFieldName, AllowedChars, OutputFormat) VALUES ('Output UB Box 11', 'Sex', 'OCRPatSex',0, 1, 0, 'CLM_PAT_GENDER', 'M,F,U', '')</v>
      </c>
    </row>
    <row r="31" spans="1:13" x14ac:dyDescent="0.35">
      <c r="A31" s="36">
        <v>20030</v>
      </c>
      <c r="B31" s="9" t="s">
        <v>1427</v>
      </c>
      <c r="C31" s="9" t="s">
        <v>140</v>
      </c>
      <c r="D31" s="9" t="s">
        <v>141</v>
      </c>
      <c r="E31" s="9">
        <v>0</v>
      </c>
      <c r="F31" s="9">
        <v>8</v>
      </c>
      <c r="G31" s="9" t="s">
        <v>1377</v>
      </c>
      <c r="H31" s="9" t="s">
        <v>27</v>
      </c>
      <c r="I31" s="9" t="s">
        <v>1377</v>
      </c>
      <c r="J31" s="17" t="s">
        <v>2586</v>
      </c>
      <c r="K31" s="16"/>
      <c r="L31" s="39"/>
      <c r="M31" s="4" t="str">
        <f t="shared" si="2"/>
        <v>INSERT INTO TransformationEngine_Field (FieldName, FieldDescription, SourceFieldName, DetailField, Length, Required, OutputFieldName, AllowedChars, OutputFormat) VALUES ('Output UB Box 12', 'Admission - Date', 'OCRAdmitDate',0, 8, 0, 'CLM_HOSP_ADMIT_CCYYMMDD', '0-9', '')</v>
      </c>
    </row>
    <row r="32" spans="1:13" x14ac:dyDescent="0.35">
      <c r="A32" s="36">
        <v>20031</v>
      </c>
      <c r="B32" s="9" t="s">
        <v>1429</v>
      </c>
      <c r="C32" s="9" t="s">
        <v>143</v>
      </c>
      <c r="D32" s="9" t="s">
        <v>144</v>
      </c>
      <c r="E32" s="9">
        <v>0</v>
      </c>
      <c r="F32" s="9">
        <v>2</v>
      </c>
      <c r="G32" s="9" t="s">
        <v>1377</v>
      </c>
      <c r="H32" s="9" t="s">
        <v>27</v>
      </c>
      <c r="I32" s="9" t="s">
        <v>2587</v>
      </c>
      <c r="J32" s="17" t="s">
        <v>2588</v>
      </c>
      <c r="K32" s="16"/>
      <c r="L32" s="39"/>
      <c r="M32" s="4" t="str">
        <f t="shared" si="2"/>
        <v>INSERT INTO TransformationEngine_Field (FieldName, FieldDescription, SourceFieldName, DetailField, Length, Required, OutputFieldName, AllowedChars, OutputFormat) VALUES ('Output UB Box 13', 'Admission - Hour', 'OCRAdmitHour',0, 2, 0, 'CLM_HOSP_ADMIT_HOUR', '0-9', '')</v>
      </c>
    </row>
    <row r="33" spans="1:13" x14ac:dyDescent="0.35">
      <c r="A33" s="36">
        <v>20032</v>
      </c>
      <c r="B33" s="9" t="s">
        <v>1431</v>
      </c>
      <c r="C33" s="9" t="s">
        <v>148</v>
      </c>
      <c r="D33" s="9" t="s">
        <v>149</v>
      </c>
      <c r="E33" s="9">
        <v>0</v>
      </c>
      <c r="F33" s="9">
        <v>1</v>
      </c>
      <c r="G33" s="9" t="s">
        <v>1377</v>
      </c>
      <c r="H33" s="9" t="s">
        <v>2589</v>
      </c>
      <c r="I33" s="9" t="s">
        <v>2589</v>
      </c>
      <c r="J33" s="17" t="s">
        <v>2590</v>
      </c>
      <c r="K33" s="16"/>
      <c r="L33" s="39"/>
      <c r="M33" s="4" t="str">
        <f t="shared" si="2"/>
        <v>INSERT INTO TransformationEngine_Field (FieldName, FieldDescription, SourceFieldName, DetailField, Length, Required, OutputFieldName, AllowedChars, OutputFormat) VALUES ('Output UB Box 14', 'Admission - Type', 'OCRAdmitType',0, 1, 0, 'CLM_HOSP_ADMIT_TYPE', '1-5,9', '')</v>
      </c>
    </row>
    <row r="34" spans="1:13" ht="29" x14ac:dyDescent="0.35">
      <c r="A34" s="36">
        <v>20033</v>
      </c>
      <c r="B34" s="9" t="s">
        <v>1433</v>
      </c>
      <c r="C34" s="9" t="s">
        <v>152</v>
      </c>
      <c r="D34" s="9" t="s">
        <v>153</v>
      </c>
      <c r="E34" s="9">
        <v>0</v>
      </c>
      <c r="F34" s="9">
        <v>1</v>
      </c>
      <c r="G34" s="9" t="s">
        <v>1377</v>
      </c>
      <c r="H34" s="10" t="s">
        <v>2591</v>
      </c>
      <c r="I34" s="10" t="s">
        <v>2591</v>
      </c>
      <c r="J34" s="17" t="s">
        <v>2592</v>
      </c>
      <c r="K34" s="16"/>
      <c r="L34" s="39"/>
      <c r="M34" s="4" t="str">
        <f t="shared" si="2"/>
        <v>INSERT INTO TransformationEngine_Field (FieldName, FieldDescription, SourceFieldName, DetailField, Length, Required, OutputFieldName, AllowedChars, OutputFormat) VALUES ('Output UB Box 15', 'Admission - Source', 'OCRAdmitSource',0, 1, 0, 'CLM_HOSP_ADMIT_SOURCE', '1,2,4-6,8,9,D-F', '')</v>
      </c>
    </row>
    <row r="35" spans="1:13" x14ac:dyDescent="0.35">
      <c r="A35" s="36">
        <v>20034</v>
      </c>
      <c r="B35" s="9" t="s">
        <v>1435</v>
      </c>
      <c r="C35" s="9" t="s">
        <v>156</v>
      </c>
      <c r="D35" s="9" t="s">
        <v>157</v>
      </c>
      <c r="E35" s="9">
        <v>0</v>
      </c>
      <c r="F35" s="9">
        <v>2</v>
      </c>
      <c r="G35" s="9" t="s">
        <v>1377</v>
      </c>
      <c r="H35" s="9" t="s">
        <v>27</v>
      </c>
      <c r="I35" s="9" t="s">
        <v>2587</v>
      </c>
      <c r="J35" s="17" t="s">
        <v>2593</v>
      </c>
      <c r="K35" s="16"/>
      <c r="L35" s="39"/>
      <c r="M35" s="4" t="str">
        <f t="shared" si="2"/>
        <v>INSERT INTO TransformationEngine_Field (FieldName, FieldDescription, SourceFieldName, DetailField, Length, Required, OutputFieldName, AllowedChars, OutputFormat) VALUES ('Output UB Box 16', 'Discharge Hour (DHR)', 'OCRDischargeHour',0, 2, 0, 'CLM_HOSP_DISCHARGE_HOUR', '0-9', '')</v>
      </c>
    </row>
    <row r="36" spans="1:13" ht="52" x14ac:dyDescent="0.3">
      <c r="A36" s="36">
        <v>20035</v>
      </c>
      <c r="B36" s="9" t="s">
        <v>1437</v>
      </c>
      <c r="C36" s="9" t="s">
        <v>159</v>
      </c>
      <c r="D36" s="9" t="s">
        <v>160</v>
      </c>
      <c r="E36" s="9">
        <v>0</v>
      </c>
      <c r="F36" s="9">
        <v>2</v>
      </c>
      <c r="G36" s="9" t="s">
        <v>1377</v>
      </c>
      <c r="H36" s="9" t="s">
        <v>27</v>
      </c>
      <c r="I36" s="101" t="s">
        <v>2594</v>
      </c>
      <c r="J36" s="17" t="s">
        <v>2595</v>
      </c>
      <c r="K36" s="16"/>
      <c r="L36" s="39" t="s">
        <v>2596</v>
      </c>
      <c r="M36" s="4" t="str">
        <f t="shared" si="2"/>
        <v>INSERT INTO TransformationEngine_Field (FieldName, FieldDescription, SourceFieldName, DetailField, Length, Required, OutputFieldName, AllowedChars, OutputFormat) VALUES ('Output UB Box 17', 'Discharge Status', 'OCRDischargeStat',0, 2, 0, 'CLM_HOSP_DISCHARGE_STATUS', '0-9', '')</v>
      </c>
    </row>
    <row r="37" spans="1:13" ht="29.15" customHeight="1" x14ac:dyDescent="0.35">
      <c r="A37" s="36">
        <v>20036</v>
      </c>
      <c r="B37" s="9" t="s">
        <v>1439</v>
      </c>
      <c r="C37" s="9" t="s">
        <v>162</v>
      </c>
      <c r="D37" s="9" t="s">
        <v>163</v>
      </c>
      <c r="E37" s="9">
        <v>0</v>
      </c>
      <c r="F37" s="9">
        <v>2</v>
      </c>
      <c r="G37" s="9" t="s">
        <v>1377</v>
      </c>
      <c r="H37" s="9" t="s">
        <v>564</v>
      </c>
      <c r="I37" s="9" t="s">
        <v>1377</v>
      </c>
      <c r="J37" s="17" t="s">
        <v>2597</v>
      </c>
      <c r="K37" s="16"/>
      <c r="L37" s="436" t="s">
        <v>2598</v>
      </c>
      <c r="M37" s="4" t="str">
        <f t="shared" si="2"/>
        <v>INSERT INTO TransformationEngine_Field (FieldName, FieldDescription, SourceFieldName, DetailField, Length, Required, OutputFieldName, AllowedChars, OutputFormat) VALUES ('Output UB Box 18', 'Condition Codes 1', 'OCRInsCondCode1',0, 2, 0, 'CLM_HOSP_CONDITION_CD_1', 'A-Z, ,0-9', '')</v>
      </c>
    </row>
    <row r="38" spans="1:13" x14ac:dyDescent="0.35">
      <c r="A38" s="36">
        <v>20037</v>
      </c>
      <c r="B38" s="9" t="s">
        <v>1441</v>
      </c>
      <c r="C38" s="9" t="s">
        <v>165</v>
      </c>
      <c r="D38" s="9" t="s">
        <v>166</v>
      </c>
      <c r="E38" s="9">
        <v>0</v>
      </c>
      <c r="F38" s="9">
        <v>2</v>
      </c>
      <c r="G38" s="9" t="s">
        <v>1377</v>
      </c>
      <c r="H38" s="9" t="s">
        <v>564</v>
      </c>
      <c r="I38" s="9" t="s">
        <v>1377</v>
      </c>
      <c r="J38" s="17" t="s">
        <v>2599</v>
      </c>
      <c r="K38" s="16"/>
      <c r="L38" s="437"/>
      <c r="M38" s="4" t="str">
        <f t="shared" ref="M38:M76" si="3">CONCATENATE("INSERT INTO TransformationEngine_Field (FieldName, FieldDescription, SourceFieldName, DetailField, Length, Required, OutputFieldName, AllowedChars, OutputFormat) VALUES ('", B38, "', '", C38, "', '", D38, "',", E38, ", ", F38, ", 0, '", J38, "', '", H38,"', '", K38, "')")</f>
        <v>INSERT INTO TransformationEngine_Field (FieldName, FieldDescription, SourceFieldName, DetailField, Length, Required, OutputFieldName, AllowedChars, OutputFormat) VALUES ('Output UB Box 19', 'Condition Codes 2', 'OCRInsCondCode2',0, 2, 0, 'CLM_HOSP_CONDITION_CD_2', 'A-Z, ,0-9', '')</v>
      </c>
    </row>
    <row r="39" spans="1:13" x14ac:dyDescent="0.35">
      <c r="A39" s="36">
        <v>20038</v>
      </c>
      <c r="B39" s="9" t="s">
        <v>1442</v>
      </c>
      <c r="C39" s="9" t="s">
        <v>168</v>
      </c>
      <c r="D39" s="9" t="s">
        <v>169</v>
      </c>
      <c r="E39" s="9">
        <v>0</v>
      </c>
      <c r="F39" s="9">
        <v>2</v>
      </c>
      <c r="G39" s="9" t="s">
        <v>1377</v>
      </c>
      <c r="H39" s="9" t="s">
        <v>564</v>
      </c>
      <c r="I39" s="9" t="s">
        <v>1377</v>
      </c>
      <c r="J39" s="17" t="s">
        <v>2600</v>
      </c>
      <c r="K39" s="16"/>
      <c r="L39" s="437"/>
      <c r="M39" s="4" t="str">
        <f t="shared" si="3"/>
        <v>INSERT INTO TransformationEngine_Field (FieldName, FieldDescription, SourceFieldName, DetailField, Length, Required, OutputFieldName, AllowedChars, OutputFormat) VALUES ('Output UB Box 20', 'Condition Codes 3', 'OCRInsCondCode3',0, 2, 0, 'CLM_HOSP_CONDITION_CD_3', 'A-Z, ,0-9', '')</v>
      </c>
    </row>
    <row r="40" spans="1:13" x14ac:dyDescent="0.35">
      <c r="A40" s="36">
        <v>20039</v>
      </c>
      <c r="B40" s="9" t="s">
        <v>1443</v>
      </c>
      <c r="C40" s="9" t="s">
        <v>171</v>
      </c>
      <c r="D40" s="9" t="s">
        <v>172</v>
      </c>
      <c r="E40" s="9">
        <v>0</v>
      </c>
      <c r="F40" s="9">
        <v>2</v>
      </c>
      <c r="G40" s="9" t="s">
        <v>1377</v>
      </c>
      <c r="H40" s="9" t="s">
        <v>564</v>
      </c>
      <c r="I40" s="9" t="s">
        <v>1377</v>
      </c>
      <c r="J40" s="17" t="s">
        <v>2601</v>
      </c>
      <c r="K40" s="16"/>
      <c r="L40" s="437"/>
      <c r="M40" s="4" t="str">
        <f t="shared" si="3"/>
        <v>INSERT INTO TransformationEngine_Field (FieldName, FieldDescription, SourceFieldName, DetailField, Length, Required, OutputFieldName, AllowedChars, OutputFormat) VALUES ('Output UB Box 21', 'Condition Codes 4', 'OCRInsCondCode4',0, 2, 0, 'CLM_HOSP_CONDITION_CD_4', 'A-Z, ,0-9', '')</v>
      </c>
    </row>
    <row r="41" spans="1:13" x14ac:dyDescent="0.35">
      <c r="A41" s="36">
        <v>20040</v>
      </c>
      <c r="B41" s="9" t="s">
        <v>1444</v>
      </c>
      <c r="C41" s="9" t="s">
        <v>174</v>
      </c>
      <c r="D41" s="9" t="s">
        <v>175</v>
      </c>
      <c r="E41" s="9">
        <v>0</v>
      </c>
      <c r="F41" s="9">
        <v>2</v>
      </c>
      <c r="G41" s="9" t="s">
        <v>1377</v>
      </c>
      <c r="H41" s="9" t="s">
        <v>564</v>
      </c>
      <c r="I41" s="9" t="s">
        <v>1377</v>
      </c>
      <c r="J41" s="17" t="s">
        <v>2602</v>
      </c>
      <c r="K41" s="16"/>
      <c r="L41" s="437"/>
      <c r="M41" s="4" t="str">
        <f t="shared" si="3"/>
        <v>INSERT INTO TransformationEngine_Field (FieldName, FieldDescription, SourceFieldName, DetailField, Length, Required, OutputFieldName, AllowedChars, OutputFormat) VALUES ('Output UB Box 22', 'Condition Codes 5', 'OCRInsCondCode5',0, 2, 0, 'CLM_HOSP_CONDITION_CD_5', 'A-Z, ,0-9', '')</v>
      </c>
    </row>
    <row r="42" spans="1:13" x14ac:dyDescent="0.35">
      <c r="A42" s="36">
        <v>20041</v>
      </c>
      <c r="B42" s="9" t="s">
        <v>1445</v>
      </c>
      <c r="C42" s="9" t="s">
        <v>177</v>
      </c>
      <c r="D42" s="9" t="s">
        <v>178</v>
      </c>
      <c r="E42" s="9">
        <v>0</v>
      </c>
      <c r="F42" s="9">
        <v>2</v>
      </c>
      <c r="G42" s="9" t="s">
        <v>1377</v>
      </c>
      <c r="H42" s="9" t="s">
        <v>564</v>
      </c>
      <c r="I42" s="9" t="s">
        <v>1377</v>
      </c>
      <c r="J42" s="17" t="s">
        <v>2603</v>
      </c>
      <c r="K42" s="16"/>
      <c r="L42" s="437"/>
      <c r="M42" s="4" t="str">
        <f t="shared" si="3"/>
        <v>INSERT INTO TransformationEngine_Field (FieldName, FieldDescription, SourceFieldName, DetailField, Length, Required, OutputFieldName, AllowedChars, OutputFormat) VALUES ('Output UB Box 23', 'Condition Codes 6', 'OCRInsCondCode6',0, 2, 0, 'CLM_HOSP_CONDITION_CD_6', 'A-Z, ,0-9', '')</v>
      </c>
    </row>
    <row r="43" spans="1:13" x14ac:dyDescent="0.35">
      <c r="A43" s="36">
        <v>20042</v>
      </c>
      <c r="B43" s="9" t="s">
        <v>1446</v>
      </c>
      <c r="C43" s="9" t="s">
        <v>180</v>
      </c>
      <c r="D43" s="9" t="s">
        <v>181</v>
      </c>
      <c r="E43" s="9">
        <v>0</v>
      </c>
      <c r="F43" s="9">
        <v>2</v>
      </c>
      <c r="G43" s="9" t="s">
        <v>1377</v>
      </c>
      <c r="H43" s="9" t="s">
        <v>564</v>
      </c>
      <c r="I43" s="9" t="s">
        <v>1377</v>
      </c>
      <c r="J43" s="17" t="s">
        <v>2604</v>
      </c>
      <c r="K43" s="16"/>
      <c r="L43" s="437"/>
      <c r="M43" s="4" t="str">
        <f t="shared" si="3"/>
        <v>INSERT INTO TransformationEngine_Field (FieldName, FieldDescription, SourceFieldName, DetailField, Length, Required, OutputFieldName, AllowedChars, OutputFormat) VALUES ('Output UB Box 24', 'Condition Codes 7', 'OCRInsCondCode7',0, 2, 0, 'CLM_HOSP_CONDITION_CD_7', 'A-Z, ,0-9', '')</v>
      </c>
    </row>
    <row r="44" spans="1:13" x14ac:dyDescent="0.35">
      <c r="A44" s="36">
        <v>20043</v>
      </c>
      <c r="B44" s="9" t="s">
        <v>1447</v>
      </c>
      <c r="C44" s="9" t="s">
        <v>183</v>
      </c>
      <c r="D44" s="9" t="s">
        <v>184</v>
      </c>
      <c r="E44" s="9">
        <v>0</v>
      </c>
      <c r="F44" s="9">
        <v>2</v>
      </c>
      <c r="G44" s="9" t="s">
        <v>1377</v>
      </c>
      <c r="H44" s="9" t="s">
        <v>564</v>
      </c>
      <c r="I44" s="9" t="s">
        <v>1377</v>
      </c>
      <c r="J44" s="17" t="s">
        <v>2605</v>
      </c>
      <c r="K44" s="16"/>
      <c r="L44" s="437"/>
      <c r="M44" s="4" t="str">
        <f t="shared" si="3"/>
        <v>INSERT INTO TransformationEngine_Field (FieldName, FieldDescription, SourceFieldName, DetailField, Length, Required, OutputFieldName, AllowedChars, OutputFormat) VALUES ('Output UB Box 25', 'Condition Codes 8', 'OCRInsCondCode8',0, 2, 0, 'CLM_HOSP_CONDITION_CD_8', 'A-Z, ,0-9', '')</v>
      </c>
    </row>
    <row r="45" spans="1:13" x14ac:dyDescent="0.35">
      <c r="A45" s="36">
        <v>20044</v>
      </c>
      <c r="B45" s="9" t="s">
        <v>1448</v>
      </c>
      <c r="C45" s="9" t="s">
        <v>186</v>
      </c>
      <c r="D45" s="9" t="s">
        <v>187</v>
      </c>
      <c r="E45" s="9">
        <v>0</v>
      </c>
      <c r="F45" s="9">
        <v>2</v>
      </c>
      <c r="G45" s="9" t="s">
        <v>1377</v>
      </c>
      <c r="H45" s="9" t="s">
        <v>564</v>
      </c>
      <c r="I45" s="9" t="s">
        <v>1377</v>
      </c>
      <c r="J45" s="17" t="s">
        <v>2606</v>
      </c>
      <c r="K45" s="16"/>
      <c r="L45" s="437"/>
      <c r="M45" s="4" t="str">
        <f t="shared" si="3"/>
        <v>INSERT INTO TransformationEngine_Field (FieldName, FieldDescription, SourceFieldName, DetailField, Length, Required, OutputFieldName, AllowedChars, OutputFormat) VALUES ('Output UB Box 26', 'Condition Codes 9', 'OCRInsCondCode9',0, 2, 0, 'CLM_HOSP_CONDITION_CD_9', 'A-Z, ,0-9', '')</v>
      </c>
    </row>
    <row r="46" spans="1:13" x14ac:dyDescent="0.35">
      <c r="A46" s="36">
        <v>20045</v>
      </c>
      <c r="B46" s="9" t="s">
        <v>1449</v>
      </c>
      <c r="C46" s="9" t="s">
        <v>189</v>
      </c>
      <c r="D46" s="9" t="s">
        <v>190</v>
      </c>
      <c r="E46" s="9">
        <v>0</v>
      </c>
      <c r="F46" s="9">
        <v>2</v>
      </c>
      <c r="G46" s="9" t="s">
        <v>1377</v>
      </c>
      <c r="H46" s="9" t="s">
        <v>564</v>
      </c>
      <c r="I46" s="9" t="s">
        <v>1377</v>
      </c>
      <c r="J46" s="17" t="s">
        <v>2607</v>
      </c>
      <c r="K46" s="16"/>
      <c r="L46" s="437"/>
      <c r="M46" s="4" t="str">
        <f t="shared" si="3"/>
        <v>INSERT INTO TransformationEngine_Field (FieldName, FieldDescription, SourceFieldName, DetailField, Length, Required, OutputFieldName, AllowedChars, OutputFormat) VALUES ('Output UB Box 27', 'Condition Codes 10', 'OCRInsCondCode10',0, 2, 0, 'CLM_HOSP_CONDITION_CD_10', 'A-Z, ,0-9', '')</v>
      </c>
    </row>
    <row r="47" spans="1:13" x14ac:dyDescent="0.35">
      <c r="A47" s="36">
        <v>20046</v>
      </c>
      <c r="B47" s="9" t="s">
        <v>1450</v>
      </c>
      <c r="C47" s="9" t="s">
        <v>192</v>
      </c>
      <c r="D47" s="9" t="s">
        <v>193</v>
      </c>
      <c r="E47" s="9">
        <v>0</v>
      </c>
      <c r="F47" s="9">
        <v>2</v>
      </c>
      <c r="G47" s="9" t="s">
        <v>1377</v>
      </c>
      <c r="H47" s="9" t="s">
        <v>564</v>
      </c>
      <c r="I47" s="9" t="s">
        <v>1377</v>
      </c>
      <c r="J47" s="17" t="s">
        <v>2608</v>
      </c>
      <c r="K47" s="16"/>
      <c r="L47" s="438"/>
      <c r="M47" s="4" t="str">
        <f t="shared" si="3"/>
        <v>INSERT INTO TransformationEngine_Field (FieldName, FieldDescription, SourceFieldName, DetailField, Length, Required, OutputFieldName, AllowedChars, OutputFormat) VALUES ('Output UB Box 28', 'Condition Codes 11', 'OCRInsCondCode11',0, 2, 0, 'CLM_HOSP_CONDITION_CD_11', 'A-Z, ,0-9', '')</v>
      </c>
    </row>
    <row r="48" spans="1:13" x14ac:dyDescent="0.35">
      <c r="A48" s="36">
        <v>20047</v>
      </c>
      <c r="B48" s="9" t="s">
        <v>1451</v>
      </c>
      <c r="C48" s="9" t="s">
        <v>195</v>
      </c>
      <c r="D48" s="9" t="s">
        <v>196</v>
      </c>
      <c r="E48" s="9">
        <v>0</v>
      </c>
      <c r="F48" s="9">
        <v>2</v>
      </c>
      <c r="G48" s="9" t="s">
        <v>1377</v>
      </c>
      <c r="H48" s="9" t="s">
        <v>107</v>
      </c>
      <c r="I48" s="9" t="s">
        <v>1377</v>
      </c>
      <c r="J48" s="17" t="s">
        <v>2609</v>
      </c>
      <c r="K48" s="16"/>
      <c r="L48" s="39"/>
      <c r="M48" s="4" t="str">
        <f t="shared" si="3"/>
        <v>INSERT INTO TransformationEngine_Field (FieldName, FieldDescription, SourceFieldName, DetailField, Length, Required, OutputFieldName, AllowedChars, OutputFormat) VALUES ('Output UB Box 29', 'Accident State', 'OCRACDTstate',0, 2, 0, 'CLM_ACCIDENT_STATE', 'A-Z', '')</v>
      </c>
    </row>
    <row r="49" spans="1:13" x14ac:dyDescent="0.35">
      <c r="A49" s="36">
        <v>20048</v>
      </c>
      <c r="B49" s="9" t="s">
        <v>1455</v>
      </c>
      <c r="C49" s="9" t="s">
        <v>201</v>
      </c>
      <c r="D49" s="9" t="s">
        <v>202</v>
      </c>
      <c r="E49" s="9">
        <v>0</v>
      </c>
      <c r="F49" s="9">
        <v>2</v>
      </c>
      <c r="G49" s="9" t="s">
        <v>1377</v>
      </c>
      <c r="H49" s="9" t="s">
        <v>71</v>
      </c>
      <c r="I49" s="9" t="s">
        <v>1377</v>
      </c>
      <c r="J49" s="17" t="s">
        <v>2610</v>
      </c>
      <c r="K49" s="16"/>
      <c r="L49" s="39" t="s">
        <v>2611</v>
      </c>
      <c r="M49" s="4" t="str">
        <f t="shared" si="3"/>
        <v>INSERT INTO TransformationEngine_Field (FieldName, FieldDescription, SourceFieldName, DetailField, Length, Required, OutputFieldName, AllowedChars, OutputFormat) VALUES ('Output UB Box 31a', 'Occurrence Code 1a', 'OCROccurCodes1A',0, 2, 0, 'CLM_HOSP_OCCUR_CODES_1A', 'A-Z,0-9', '')</v>
      </c>
    </row>
    <row r="50" spans="1:13" x14ac:dyDescent="0.35">
      <c r="A50" s="36">
        <v>20049</v>
      </c>
      <c r="B50" s="9" t="s">
        <v>1455</v>
      </c>
      <c r="C50" s="9" t="s">
        <v>203</v>
      </c>
      <c r="D50" s="9" t="s">
        <v>204</v>
      </c>
      <c r="E50" s="9">
        <v>0</v>
      </c>
      <c r="F50" s="12">
        <v>8</v>
      </c>
      <c r="G50" s="9" t="s">
        <v>1377</v>
      </c>
      <c r="H50" s="9" t="s">
        <v>27</v>
      </c>
      <c r="I50" s="9" t="s">
        <v>1377</v>
      </c>
      <c r="J50" s="17" t="s">
        <v>2612</v>
      </c>
      <c r="K50" s="16" t="s">
        <v>2575</v>
      </c>
      <c r="L50" s="39"/>
      <c r="M50" s="4" t="str">
        <f t="shared" si="3"/>
        <v>INSERT INTO TransformationEngine_Field (FieldName, FieldDescription, SourceFieldName, DetailField, Length, Required, OutputFieldName, AllowedChars, OutputFormat) VALUES ('Output UB Box 31a', 'Occurrence Date 1a', 'OCROccurDates1A',0, 8, 0, 'CLM_HOSP_OCCUR_DTE_CCYYMMDD_1A', '0-9', 'DateFormat:CCYYMMDD')</v>
      </c>
    </row>
    <row r="51" spans="1:13" x14ac:dyDescent="0.35">
      <c r="A51" s="36">
        <v>20050</v>
      </c>
      <c r="B51" s="9" t="s">
        <v>1458</v>
      </c>
      <c r="C51" s="9" t="s">
        <v>207</v>
      </c>
      <c r="D51" s="9" t="s">
        <v>208</v>
      </c>
      <c r="E51" s="9">
        <v>0</v>
      </c>
      <c r="F51" s="12">
        <v>2</v>
      </c>
      <c r="G51" s="9" t="s">
        <v>1377</v>
      </c>
      <c r="H51" s="9" t="s">
        <v>71</v>
      </c>
      <c r="I51" s="9" t="s">
        <v>1377</v>
      </c>
      <c r="J51" s="17" t="s">
        <v>2613</v>
      </c>
      <c r="K51" s="16"/>
      <c r="L51" s="39" t="s">
        <v>2611</v>
      </c>
      <c r="M51" s="4" t="str">
        <f t="shared" si="3"/>
        <v>INSERT INTO TransformationEngine_Field (FieldName, FieldDescription, SourceFieldName, DetailField, Length, Required, OutputFieldName, AllowedChars, OutputFormat) VALUES ('Output UB Box 31b', 'Occurrence Code 1b', 'OCROccurCodes1B',0, 2, 0, 'CLM_HOSP_OCCUR_CODES_1B', 'A-Z,0-9', '')</v>
      </c>
    </row>
    <row r="52" spans="1:13" x14ac:dyDescent="0.35">
      <c r="A52" s="36">
        <v>20051</v>
      </c>
      <c r="B52" s="9" t="s">
        <v>1458</v>
      </c>
      <c r="C52" s="9" t="s">
        <v>209</v>
      </c>
      <c r="D52" s="9" t="s">
        <v>210</v>
      </c>
      <c r="E52" s="9">
        <v>0</v>
      </c>
      <c r="F52" s="12">
        <v>8</v>
      </c>
      <c r="G52" s="9" t="s">
        <v>1377</v>
      </c>
      <c r="H52" s="9" t="s">
        <v>27</v>
      </c>
      <c r="I52" s="9" t="s">
        <v>1377</v>
      </c>
      <c r="J52" s="17" t="s">
        <v>2614</v>
      </c>
      <c r="K52" s="16" t="s">
        <v>2575</v>
      </c>
      <c r="L52" s="39"/>
      <c r="M52" s="4" t="str">
        <f t="shared" si="3"/>
        <v>INSERT INTO TransformationEngine_Field (FieldName, FieldDescription, SourceFieldName, DetailField, Length, Required, OutputFieldName, AllowedChars, OutputFormat) VALUES ('Output UB Box 31b', 'Occurrence Date 1b', 'OCROccurDates1B',0, 8, 0, 'CLM_HOSP_OCCUR_DTE_CCYYMMDD_1B', '0-9', 'DateFormat:CCYYMMDD')</v>
      </c>
    </row>
    <row r="53" spans="1:13" x14ac:dyDescent="0.35">
      <c r="A53" s="36">
        <v>20052</v>
      </c>
      <c r="B53" s="9" t="s">
        <v>1459</v>
      </c>
      <c r="C53" s="9" t="s">
        <v>212</v>
      </c>
      <c r="D53" s="9" t="s">
        <v>213</v>
      </c>
      <c r="E53" s="9">
        <v>0</v>
      </c>
      <c r="F53" s="12">
        <v>2</v>
      </c>
      <c r="G53" s="9" t="s">
        <v>1377</v>
      </c>
      <c r="H53" s="9" t="s">
        <v>71</v>
      </c>
      <c r="I53" s="9" t="s">
        <v>1377</v>
      </c>
      <c r="J53" s="17" t="s">
        <v>2615</v>
      </c>
      <c r="K53" s="16"/>
      <c r="L53" s="39" t="s">
        <v>2611</v>
      </c>
      <c r="M53" s="4" t="str">
        <f t="shared" si="3"/>
        <v>INSERT INTO TransformationEngine_Field (FieldName, FieldDescription, SourceFieldName, DetailField, Length, Required, OutputFieldName, AllowedChars, OutputFormat) VALUES ('Output UB Box 32a', 'Occurrence Code 2a', 'OCROccurCodes2A',0, 2, 0, 'CLM_HOSP_OCCUR_CODES_2A', 'A-Z,0-9', '')</v>
      </c>
    </row>
    <row r="54" spans="1:13" x14ac:dyDescent="0.35">
      <c r="A54" s="36">
        <v>20053</v>
      </c>
      <c r="B54" s="9" t="s">
        <v>1459</v>
      </c>
      <c r="C54" s="9" t="s">
        <v>214</v>
      </c>
      <c r="D54" s="9" t="s">
        <v>215</v>
      </c>
      <c r="E54" s="9">
        <v>0</v>
      </c>
      <c r="F54" s="12">
        <v>8</v>
      </c>
      <c r="G54" s="9" t="s">
        <v>1377</v>
      </c>
      <c r="H54" s="9" t="s">
        <v>27</v>
      </c>
      <c r="I54" s="9" t="s">
        <v>1377</v>
      </c>
      <c r="J54" s="17" t="s">
        <v>2616</v>
      </c>
      <c r="K54" s="16" t="s">
        <v>2575</v>
      </c>
      <c r="L54" s="39"/>
      <c r="M54" s="4" t="str">
        <f t="shared" si="3"/>
        <v>INSERT INTO TransformationEngine_Field (FieldName, FieldDescription, SourceFieldName, DetailField, Length, Required, OutputFieldName, AllowedChars, OutputFormat) VALUES ('Output UB Box 32a', 'Occurrence Date 2a', 'OCROccurDates2A',0, 8, 0, 'CLM_HOSP_OCCUR_DTE_CCYYMMDD_2A', '0-9', 'DateFormat:CCYYMMDD')</v>
      </c>
    </row>
    <row r="55" spans="1:13" x14ac:dyDescent="0.35">
      <c r="A55" s="36">
        <v>20054</v>
      </c>
      <c r="B55" s="9" t="s">
        <v>1460</v>
      </c>
      <c r="C55" s="9" t="s">
        <v>217</v>
      </c>
      <c r="D55" s="9" t="s">
        <v>218</v>
      </c>
      <c r="E55" s="9">
        <v>0</v>
      </c>
      <c r="F55" s="12">
        <v>2</v>
      </c>
      <c r="G55" s="9" t="s">
        <v>1377</v>
      </c>
      <c r="H55" s="9" t="s">
        <v>71</v>
      </c>
      <c r="I55" s="9" t="s">
        <v>1377</v>
      </c>
      <c r="J55" s="17" t="s">
        <v>2617</v>
      </c>
      <c r="K55" s="16"/>
      <c r="L55" s="39" t="s">
        <v>2611</v>
      </c>
      <c r="M55" s="4" t="str">
        <f t="shared" si="3"/>
        <v>INSERT INTO TransformationEngine_Field (FieldName, FieldDescription, SourceFieldName, DetailField, Length, Required, OutputFieldName, AllowedChars, OutputFormat) VALUES ('Output UB Box 32b', 'Occurrence Code 2b', 'OCROccurCodes2B',0, 2, 0, 'CLM_HOSP_OCCUR_CODES_2B', 'A-Z,0-9', '')</v>
      </c>
    </row>
    <row r="56" spans="1:13" x14ac:dyDescent="0.35">
      <c r="A56" s="36">
        <v>20055</v>
      </c>
      <c r="B56" s="9" t="s">
        <v>1460</v>
      </c>
      <c r="C56" s="9" t="s">
        <v>219</v>
      </c>
      <c r="D56" s="9" t="s">
        <v>218</v>
      </c>
      <c r="E56" s="9">
        <v>0</v>
      </c>
      <c r="F56" s="12">
        <v>8</v>
      </c>
      <c r="G56" s="9" t="s">
        <v>1377</v>
      </c>
      <c r="H56" s="9" t="s">
        <v>27</v>
      </c>
      <c r="I56" s="9" t="s">
        <v>1377</v>
      </c>
      <c r="J56" s="17" t="s">
        <v>2618</v>
      </c>
      <c r="K56" s="16" t="s">
        <v>2575</v>
      </c>
      <c r="L56" s="39"/>
      <c r="M56" s="4" t="str">
        <f t="shared" si="3"/>
        <v>INSERT INTO TransformationEngine_Field (FieldName, FieldDescription, SourceFieldName, DetailField, Length, Required, OutputFieldName, AllowedChars, OutputFormat) VALUES ('Output UB Box 32b', 'Occurrence Date 2b', 'OCROccurCodes2B',0, 8, 0, 'CLM_HOSP_OCCUR_DTE_CCYYMMDD_2B', '0-9', 'DateFormat:CCYYMMDD')</v>
      </c>
    </row>
    <row r="57" spans="1:13" x14ac:dyDescent="0.35">
      <c r="A57" s="36">
        <v>20056</v>
      </c>
      <c r="B57" s="9" t="s">
        <v>1461</v>
      </c>
      <c r="C57" s="9" t="s">
        <v>222</v>
      </c>
      <c r="D57" s="9" t="s">
        <v>223</v>
      </c>
      <c r="E57" s="9">
        <v>0</v>
      </c>
      <c r="F57" s="12">
        <v>2</v>
      </c>
      <c r="G57" s="9" t="s">
        <v>1377</v>
      </c>
      <c r="H57" s="9" t="s">
        <v>71</v>
      </c>
      <c r="I57" s="9" t="s">
        <v>1377</v>
      </c>
      <c r="J57" s="17" t="s">
        <v>2619</v>
      </c>
      <c r="K57" s="16"/>
      <c r="L57" s="39" t="s">
        <v>2611</v>
      </c>
      <c r="M57" s="4" t="str">
        <f t="shared" si="3"/>
        <v>INSERT INTO TransformationEngine_Field (FieldName, FieldDescription, SourceFieldName, DetailField, Length, Required, OutputFieldName, AllowedChars, OutputFormat) VALUES ('Output UB Box 33a', 'Occurrence Code 3a', 'OCROccurCodes3A',0, 2, 0, 'CLM_HOSP_OCCUR_CODES_3A', 'A-Z,0-9', '')</v>
      </c>
    </row>
    <row r="58" spans="1:13" x14ac:dyDescent="0.35">
      <c r="A58" s="36">
        <v>20057</v>
      </c>
      <c r="B58" s="9" t="s">
        <v>1461</v>
      </c>
      <c r="C58" s="9" t="s">
        <v>224</v>
      </c>
      <c r="D58" s="9" t="s">
        <v>225</v>
      </c>
      <c r="E58" s="9">
        <v>0</v>
      </c>
      <c r="F58" s="12">
        <v>8</v>
      </c>
      <c r="G58" s="9" t="s">
        <v>1377</v>
      </c>
      <c r="H58" s="9" t="s">
        <v>27</v>
      </c>
      <c r="I58" s="9" t="s">
        <v>1377</v>
      </c>
      <c r="J58" s="17" t="s">
        <v>2620</v>
      </c>
      <c r="K58" s="16" t="s">
        <v>2575</v>
      </c>
      <c r="L58" s="39"/>
      <c r="M58" s="4" t="str">
        <f t="shared" si="3"/>
        <v>INSERT INTO TransformationEngine_Field (FieldName, FieldDescription, SourceFieldName, DetailField, Length, Required, OutputFieldName, AllowedChars, OutputFormat) VALUES ('Output UB Box 33a', 'Occurrence Date 3a', 'OCROccurDates3A',0, 8, 0, 'CLM_HOSP_OCCUR_DTE_CCYYMMDD_3A', '0-9', 'DateFormat:CCYYMMDD')</v>
      </c>
    </row>
    <row r="59" spans="1:13" x14ac:dyDescent="0.35">
      <c r="A59" s="36">
        <v>20058</v>
      </c>
      <c r="B59" s="9" t="s">
        <v>1462</v>
      </c>
      <c r="C59" s="9" t="s">
        <v>227</v>
      </c>
      <c r="D59" s="9" t="s">
        <v>228</v>
      </c>
      <c r="E59" s="9">
        <v>0</v>
      </c>
      <c r="F59" s="12">
        <v>2</v>
      </c>
      <c r="G59" s="9" t="s">
        <v>1377</v>
      </c>
      <c r="H59" s="9" t="s">
        <v>71</v>
      </c>
      <c r="I59" s="9" t="s">
        <v>1377</v>
      </c>
      <c r="J59" s="17" t="s">
        <v>2621</v>
      </c>
      <c r="K59" s="16"/>
      <c r="L59" s="39" t="s">
        <v>2611</v>
      </c>
      <c r="M59" s="4" t="str">
        <f t="shared" si="3"/>
        <v>INSERT INTO TransformationEngine_Field (FieldName, FieldDescription, SourceFieldName, DetailField, Length, Required, OutputFieldName, AllowedChars, OutputFormat) VALUES ('Output UB Box 33b', 'Occurrence Code 3b', 'OCROccurCodes3B',0, 2, 0, 'CLM_HOSP_OCCUR_CODES_3B', 'A-Z,0-9', '')</v>
      </c>
    </row>
    <row r="60" spans="1:13" x14ac:dyDescent="0.35">
      <c r="A60" s="36">
        <v>20059</v>
      </c>
      <c r="B60" s="9" t="s">
        <v>1462</v>
      </c>
      <c r="C60" s="9" t="s">
        <v>229</v>
      </c>
      <c r="D60" s="9" t="s">
        <v>228</v>
      </c>
      <c r="E60" s="9">
        <v>0</v>
      </c>
      <c r="F60" s="12">
        <v>8</v>
      </c>
      <c r="G60" s="9" t="s">
        <v>1377</v>
      </c>
      <c r="H60" s="9" t="s">
        <v>27</v>
      </c>
      <c r="I60" s="9" t="s">
        <v>1377</v>
      </c>
      <c r="J60" s="17" t="s">
        <v>2622</v>
      </c>
      <c r="K60" s="16" t="s">
        <v>2575</v>
      </c>
      <c r="L60" s="39"/>
      <c r="M60" s="4" t="str">
        <f t="shared" si="3"/>
        <v>INSERT INTO TransformationEngine_Field (FieldName, FieldDescription, SourceFieldName, DetailField, Length, Required, OutputFieldName, AllowedChars, OutputFormat) VALUES ('Output UB Box 33b', 'Occurrence Date 3b', 'OCROccurCodes3B',0, 8, 0, 'CLM_HOSP_OCCUR_DTE_CCYYMMDD_3B', '0-9', 'DateFormat:CCYYMMDD')</v>
      </c>
    </row>
    <row r="61" spans="1:13" x14ac:dyDescent="0.35">
      <c r="A61" s="36">
        <v>20060</v>
      </c>
      <c r="B61" s="9" t="s">
        <v>1463</v>
      </c>
      <c r="C61" s="9" t="s">
        <v>232</v>
      </c>
      <c r="D61" s="9" t="s">
        <v>233</v>
      </c>
      <c r="E61" s="9">
        <v>0</v>
      </c>
      <c r="F61" s="12">
        <v>2</v>
      </c>
      <c r="G61" s="9" t="s">
        <v>1377</v>
      </c>
      <c r="H61" s="9" t="s">
        <v>71</v>
      </c>
      <c r="I61" s="9" t="s">
        <v>1377</v>
      </c>
      <c r="J61" s="17" t="s">
        <v>2623</v>
      </c>
      <c r="K61" s="16"/>
      <c r="L61" s="39" t="s">
        <v>2611</v>
      </c>
      <c r="M61" s="4" t="str">
        <f t="shared" si="3"/>
        <v>INSERT INTO TransformationEngine_Field (FieldName, FieldDescription, SourceFieldName, DetailField, Length, Required, OutputFieldName, AllowedChars, OutputFormat) VALUES ('Output UB Box 34a', 'Occurrence Code 4a', 'OCROccurCodes4A',0, 2, 0, 'CLM_HOSP_OCCUR_CODES_4A', 'A-Z,0-9', '')</v>
      </c>
    </row>
    <row r="62" spans="1:13" x14ac:dyDescent="0.35">
      <c r="A62" s="36">
        <v>20061</v>
      </c>
      <c r="B62" s="9" t="s">
        <v>1463</v>
      </c>
      <c r="C62" s="9" t="s">
        <v>234</v>
      </c>
      <c r="D62" s="9" t="s">
        <v>235</v>
      </c>
      <c r="E62" s="9">
        <v>0</v>
      </c>
      <c r="F62" s="12">
        <v>8</v>
      </c>
      <c r="G62" s="9" t="s">
        <v>1377</v>
      </c>
      <c r="H62" s="9" t="s">
        <v>27</v>
      </c>
      <c r="I62" s="9" t="s">
        <v>1377</v>
      </c>
      <c r="J62" s="17" t="s">
        <v>2624</v>
      </c>
      <c r="K62" s="16" t="s">
        <v>2575</v>
      </c>
      <c r="L62" s="39"/>
      <c r="M62" s="4" t="str">
        <f t="shared" si="3"/>
        <v>INSERT INTO TransformationEngine_Field (FieldName, FieldDescription, SourceFieldName, DetailField, Length, Required, OutputFieldName, AllowedChars, OutputFormat) VALUES ('Output UB Box 34a', 'Occurrence Date 4a', 'OCROccurDates4A',0, 8, 0, 'CLM_HOSP_OCCUR_DTE_CCYYMMDD_4A', '0-9', 'DateFormat:CCYYMMDD')</v>
      </c>
    </row>
    <row r="63" spans="1:13" x14ac:dyDescent="0.35">
      <c r="A63" s="36">
        <v>20062</v>
      </c>
      <c r="B63" s="9" t="s">
        <v>1464</v>
      </c>
      <c r="C63" s="9" t="s">
        <v>237</v>
      </c>
      <c r="D63" s="9" t="s">
        <v>238</v>
      </c>
      <c r="E63" s="9">
        <v>0</v>
      </c>
      <c r="F63" s="12">
        <v>2</v>
      </c>
      <c r="G63" s="9" t="s">
        <v>1377</v>
      </c>
      <c r="H63" s="9" t="s">
        <v>71</v>
      </c>
      <c r="I63" s="9" t="s">
        <v>1377</v>
      </c>
      <c r="J63" s="17" t="s">
        <v>2625</v>
      </c>
      <c r="K63" s="16"/>
      <c r="L63" s="39" t="s">
        <v>2611</v>
      </c>
      <c r="M63" s="4" t="str">
        <f t="shared" si="3"/>
        <v>INSERT INTO TransformationEngine_Field (FieldName, FieldDescription, SourceFieldName, DetailField, Length, Required, OutputFieldName, AllowedChars, OutputFormat) VALUES ('Output UB Box 34b', 'Occurrence Code 4b', 'OCROccurCodes4B',0, 2, 0, 'CLM_HOSP_OCCUR_CODES_4B', 'A-Z,0-9', '')</v>
      </c>
    </row>
    <row r="64" spans="1:13" x14ac:dyDescent="0.35">
      <c r="A64" s="36">
        <v>20063</v>
      </c>
      <c r="B64" s="9" t="s">
        <v>1464</v>
      </c>
      <c r="C64" s="9" t="s">
        <v>239</v>
      </c>
      <c r="D64" s="9" t="s">
        <v>238</v>
      </c>
      <c r="E64" s="9">
        <v>0</v>
      </c>
      <c r="F64" s="12">
        <v>8</v>
      </c>
      <c r="G64" s="9" t="s">
        <v>1377</v>
      </c>
      <c r="H64" s="9" t="s">
        <v>27</v>
      </c>
      <c r="I64" s="9" t="s">
        <v>1377</v>
      </c>
      <c r="J64" s="17" t="s">
        <v>2626</v>
      </c>
      <c r="K64" s="16" t="s">
        <v>2575</v>
      </c>
      <c r="L64" s="39"/>
      <c r="M64" s="4" t="str">
        <f t="shared" si="3"/>
        <v>INSERT INTO TransformationEngine_Field (FieldName, FieldDescription, SourceFieldName, DetailField, Length, Required, OutputFieldName, AllowedChars, OutputFormat) VALUES ('Output UB Box 34b', 'Occurrence Date 4b', 'OCROccurCodes4B',0, 8, 0, 'CLM_HOSP_OCCUR_DTE_CCYYMMDD_4B', '0-9', 'DateFormat:CCYYMMDD')</v>
      </c>
    </row>
    <row r="65" spans="1:13" ht="43.5" x14ac:dyDescent="0.35">
      <c r="A65" s="36">
        <v>20064</v>
      </c>
      <c r="B65" s="9" t="s">
        <v>1465</v>
      </c>
      <c r="C65" s="9" t="s">
        <v>242</v>
      </c>
      <c r="D65" s="9" t="s">
        <v>243</v>
      </c>
      <c r="E65" s="9">
        <v>0</v>
      </c>
      <c r="F65" s="12">
        <v>2</v>
      </c>
      <c r="G65" s="9" t="s">
        <v>1377</v>
      </c>
      <c r="H65" s="9" t="s">
        <v>2627</v>
      </c>
      <c r="I65" s="10" t="s">
        <v>2628</v>
      </c>
      <c r="J65" s="17" t="s">
        <v>2629</v>
      </c>
      <c r="K65" s="16"/>
      <c r="L65" s="39"/>
      <c r="M65" s="4" t="str">
        <f t="shared" si="3"/>
        <v>INSERT INTO TransformationEngine_Field (FieldName, FieldDescription, SourceFieldName, DetailField, Length, Required, OutputFieldName, AllowedChars, OutputFormat) VALUES ('Output UB Box 35a', 'Occurrence Span Code 1a', 'OCROccurSpanCdsA',0, 2, 0, 'CLM_HOSP_SPAN_CODE_1A', '0-9,M', '')</v>
      </c>
    </row>
    <row r="66" spans="1:13" x14ac:dyDescent="0.35">
      <c r="A66" s="36">
        <v>20065</v>
      </c>
      <c r="B66" s="9" t="s">
        <v>1465</v>
      </c>
      <c r="C66" s="9" t="s">
        <v>244</v>
      </c>
      <c r="D66" s="9" t="s">
        <v>245</v>
      </c>
      <c r="E66" s="9">
        <v>0</v>
      </c>
      <c r="F66" s="12">
        <v>8</v>
      </c>
      <c r="G66" s="9" t="s">
        <v>1377</v>
      </c>
      <c r="H66" s="9" t="s">
        <v>27</v>
      </c>
      <c r="I66" s="9" t="s">
        <v>1377</v>
      </c>
      <c r="J66" s="17" t="s">
        <v>2630</v>
      </c>
      <c r="K66" s="16" t="s">
        <v>2575</v>
      </c>
      <c r="L66" s="39"/>
      <c r="M66" s="4" t="str">
        <f t="shared" si="3"/>
        <v>INSERT INTO TransformationEngine_Field (FieldName, FieldDescription, SourceFieldName, DetailField, Length, Required, OutputFieldName, AllowedChars, OutputFormat) VALUES ('Output UB Box 35a', 'Occurrence Span From 1a', 'OCROccurDateFromA',0, 8, 0, 'CLM_HOSP_SPAN_FROM_CCYYMMDD_1A', '0-9', 'DateFormat:CCYYMMDD')</v>
      </c>
    </row>
    <row r="67" spans="1:13" x14ac:dyDescent="0.35">
      <c r="A67" s="36">
        <v>20066</v>
      </c>
      <c r="B67" s="9" t="s">
        <v>1465</v>
      </c>
      <c r="C67" s="9" t="s">
        <v>246</v>
      </c>
      <c r="D67" s="9" t="s">
        <v>247</v>
      </c>
      <c r="E67" s="9">
        <v>0</v>
      </c>
      <c r="F67" s="12">
        <v>8</v>
      </c>
      <c r="G67" s="9" t="s">
        <v>1377</v>
      </c>
      <c r="H67" s="9" t="s">
        <v>27</v>
      </c>
      <c r="I67" s="9" t="s">
        <v>1377</v>
      </c>
      <c r="J67" s="17" t="s">
        <v>2631</v>
      </c>
      <c r="K67" s="16" t="s">
        <v>2575</v>
      </c>
      <c r="L67" s="39"/>
      <c r="M67" s="4" t="str">
        <f t="shared" si="3"/>
        <v>INSERT INTO TransformationEngine_Field (FieldName, FieldDescription, SourceFieldName, DetailField, Length, Required, OutputFieldName, AllowedChars, OutputFormat) VALUES ('Output UB Box 35a', 'Occurrence Span Through 1a', 'OCROccurDateToA',0, 8, 0, 'CLM_HOSP_SPAN_THRU_CCYYMMDD_1A', '0-9', 'DateFormat:CCYYMMDD')</v>
      </c>
    </row>
    <row r="68" spans="1:13" ht="43.5" x14ac:dyDescent="0.35">
      <c r="A68" s="36">
        <v>20067</v>
      </c>
      <c r="B68" s="9" t="s">
        <v>1469</v>
      </c>
      <c r="C68" s="9" t="s">
        <v>249</v>
      </c>
      <c r="D68" s="9" t="s">
        <v>250</v>
      </c>
      <c r="E68" s="9">
        <v>0</v>
      </c>
      <c r="F68" s="12">
        <v>2</v>
      </c>
      <c r="G68" s="9" t="s">
        <v>1377</v>
      </c>
      <c r="H68" s="9" t="s">
        <v>2627</v>
      </c>
      <c r="I68" s="10" t="s">
        <v>2628</v>
      </c>
      <c r="J68" s="17" t="s">
        <v>2632</v>
      </c>
      <c r="K68" s="16"/>
      <c r="L68" s="39"/>
      <c r="M68" s="4" t="str">
        <f t="shared" si="3"/>
        <v>INSERT INTO TransformationEngine_Field (FieldName, FieldDescription, SourceFieldName, DetailField, Length, Required, OutputFieldName, AllowedChars, OutputFormat) VALUES ('Output UB Box 35b', 'Occurrence Span Code 1b', 'OCROccurSpanCdsB',0, 2, 0, 'CLM_HOSP_SPAN_CODE_1B', '0-9,M', '')</v>
      </c>
    </row>
    <row r="69" spans="1:13" x14ac:dyDescent="0.35">
      <c r="A69" s="36">
        <v>20068</v>
      </c>
      <c r="B69" s="9" t="s">
        <v>1469</v>
      </c>
      <c r="C69" s="9" t="s">
        <v>251</v>
      </c>
      <c r="D69" s="9" t="s">
        <v>252</v>
      </c>
      <c r="E69" s="9">
        <v>0</v>
      </c>
      <c r="F69" s="12">
        <v>8</v>
      </c>
      <c r="G69" s="9" t="s">
        <v>1377</v>
      </c>
      <c r="H69" s="9" t="s">
        <v>27</v>
      </c>
      <c r="I69" s="9" t="s">
        <v>1377</v>
      </c>
      <c r="J69" s="17" t="s">
        <v>2633</v>
      </c>
      <c r="K69" s="16" t="s">
        <v>2575</v>
      </c>
      <c r="L69" s="39"/>
      <c r="M69" s="4" t="str">
        <f t="shared" si="3"/>
        <v>INSERT INTO TransformationEngine_Field (FieldName, FieldDescription, SourceFieldName, DetailField, Length, Required, OutputFieldName, AllowedChars, OutputFormat) VALUES ('Output UB Box 35b', 'Occurrence Span From 1b', 'OCROccurDateFromB',0, 8, 0, 'CLM_HOSP_SPAN_FROM_CCYYMMDD_1B', '0-9', 'DateFormat:CCYYMMDD')</v>
      </c>
    </row>
    <row r="70" spans="1:13" x14ac:dyDescent="0.35">
      <c r="A70" s="36">
        <v>20069</v>
      </c>
      <c r="B70" s="9" t="s">
        <v>1469</v>
      </c>
      <c r="C70" s="9" t="s">
        <v>253</v>
      </c>
      <c r="D70" s="9" t="s">
        <v>254</v>
      </c>
      <c r="E70" s="9">
        <v>0</v>
      </c>
      <c r="F70" s="12">
        <v>8</v>
      </c>
      <c r="G70" s="9" t="s">
        <v>1377</v>
      </c>
      <c r="H70" s="9" t="s">
        <v>27</v>
      </c>
      <c r="I70" s="9" t="s">
        <v>1377</v>
      </c>
      <c r="J70" s="17" t="s">
        <v>2634</v>
      </c>
      <c r="K70" s="16" t="s">
        <v>2575</v>
      </c>
      <c r="L70" s="39"/>
      <c r="M70" s="4" t="str">
        <f t="shared" si="3"/>
        <v>INSERT INTO TransformationEngine_Field (FieldName, FieldDescription, SourceFieldName, DetailField, Length, Required, OutputFieldName, AllowedChars, OutputFormat) VALUES ('Output UB Box 35b', 'Occurrence Span Through 1b', 'OCROccurDateToB',0, 8, 0, 'CLM_HOSP_SPAN_THRU_CCYYMMDD_1B', '0-9', 'DateFormat:CCYYMMDD')</v>
      </c>
    </row>
    <row r="71" spans="1:13" ht="43.5" x14ac:dyDescent="0.35">
      <c r="A71" s="36">
        <v>20070</v>
      </c>
      <c r="B71" s="9" t="s">
        <v>1470</v>
      </c>
      <c r="C71" s="9" t="s">
        <v>256</v>
      </c>
      <c r="D71" s="9" t="s">
        <v>1471</v>
      </c>
      <c r="E71" s="9">
        <v>0</v>
      </c>
      <c r="F71" s="12">
        <v>2</v>
      </c>
      <c r="G71" s="9" t="s">
        <v>1377</v>
      </c>
      <c r="H71" s="9" t="s">
        <v>2627</v>
      </c>
      <c r="I71" s="10" t="s">
        <v>2628</v>
      </c>
      <c r="J71" s="17" t="s">
        <v>2635</v>
      </c>
      <c r="K71" s="16"/>
      <c r="L71" s="39"/>
      <c r="M71" s="4" t="str">
        <f t="shared" si="3"/>
        <v>INSERT INTO TransformationEngine_Field (FieldName, FieldDescription, SourceFieldName, DetailField, Length, Required, OutputFieldName, AllowedChars, OutputFormat) VALUES ('Output UB Box 36a', 'Occurrence Span Code 2a', 'OCROccurSpanCodes2A',0, 2, 0, 'CLM_HOSP_SPAN_CODE_2A', '0-9,M', '')</v>
      </c>
    </row>
    <row r="72" spans="1:13" x14ac:dyDescent="0.35">
      <c r="A72" s="36">
        <v>20071</v>
      </c>
      <c r="B72" s="9" t="s">
        <v>1470</v>
      </c>
      <c r="C72" s="9" t="s">
        <v>258</v>
      </c>
      <c r="D72" s="9" t="s">
        <v>259</v>
      </c>
      <c r="E72" s="9">
        <v>0</v>
      </c>
      <c r="F72" s="12">
        <v>8</v>
      </c>
      <c r="G72" s="9" t="s">
        <v>1377</v>
      </c>
      <c r="H72" s="9" t="s">
        <v>27</v>
      </c>
      <c r="I72" s="9" t="s">
        <v>1377</v>
      </c>
      <c r="J72" s="17" t="s">
        <v>2636</v>
      </c>
      <c r="K72" s="16" t="s">
        <v>2575</v>
      </c>
      <c r="L72" s="39"/>
      <c r="M72" s="4" t="str">
        <f t="shared" si="3"/>
        <v>INSERT INTO TransformationEngine_Field (FieldName, FieldDescription, SourceFieldName, DetailField, Length, Required, OutputFieldName, AllowedChars, OutputFormat) VALUES ('Output UB Box 36a', 'Occurrence Span From 2a', 'OCROccurDateFrom2A',0, 8, 0, 'CLM_HOSP_SPAN_FROM_CCYYMMDD_2A', '0-9', 'DateFormat:CCYYMMDD')</v>
      </c>
    </row>
    <row r="73" spans="1:13" x14ac:dyDescent="0.35">
      <c r="A73" s="36">
        <v>20072</v>
      </c>
      <c r="B73" s="9" t="s">
        <v>1470</v>
      </c>
      <c r="C73" s="9" t="s">
        <v>260</v>
      </c>
      <c r="D73" s="9" t="s">
        <v>261</v>
      </c>
      <c r="E73" s="9">
        <v>0</v>
      </c>
      <c r="F73" s="12">
        <v>8</v>
      </c>
      <c r="G73" s="9" t="s">
        <v>1377</v>
      </c>
      <c r="H73" s="9" t="s">
        <v>27</v>
      </c>
      <c r="I73" s="9" t="s">
        <v>1377</v>
      </c>
      <c r="J73" s="17" t="s">
        <v>2637</v>
      </c>
      <c r="K73" s="16" t="s">
        <v>2575</v>
      </c>
      <c r="L73" s="39"/>
      <c r="M73" s="4" t="str">
        <f t="shared" si="3"/>
        <v>INSERT INTO TransformationEngine_Field (FieldName, FieldDescription, SourceFieldName, DetailField, Length, Required, OutputFieldName, AllowedChars, OutputFormat) VALUES ('Output UB Box 36a', 'Occurrence Span Through 2a', 'OCROccurDateTo2A',0, 8, 0, 'CLM_HOSP_SPAN_THRU_CCYYMMDD_2A', '0-9', 'DateFormat:CCYYMMDD')</v>
      </c>
    </row>
    <row r="74" spans="1:13" ht="43.5" x14ac:dyDescent="0.35">
      <c r="A74" s="36">
        <v>20073</v>
      </c>
      <c r="B74" s="9" t="s">
        <v>1472</v>
      </c>
      <c r="C74" s="9" t="s">
        <v>263</v>
      </c>
      <c r="D74" s="9" t="s">
        <v>1473</v>
      </c>
      <c r="E74" s="9">
        <v>0</v>
      </c>
      <c r="F74" s="12">
        <v>2</v>
      </c>
      <c r="G74" s="9" t="s">
        <v>1377</v>
      </c>
      <c r="H74" s="9" t="s">
        <v>2627</v>
      </c>
      <c r="I74" s="10" t="s">
        <v>2628</v>
      </c>
      <c r="J74" s="17" t="s">
        <v>2638</v>
      </c>
      <c r="K74" s="16"/>
      <c r="L74" s="39"/>
      <c r="M74" s="4" t="str">
        <f t="shared" si="3"/>
        <v>INSERT INTO TransformationEngine_Field (FieldName, FieldDescription, SourceFieldName, DetailField, Length, Required, OutputFieldName, AllowedChars, OutputFormat) VALUES ('Output UB Box 36b', 'Occurrence Span Code 2b', 'OCROccurSpanCodes2B',0, 2, 0, 'CLM_HOSP_SPAN_CODE_2B', '0-9,M', '')</v>
      </c>
    </row>
    <row r="75" spans="1:13" x14ac:dyDescent="0.35">
      <c r="A75" s="36">
        <v>20074</v>
      </c>
      <c r="B75" s="9" t="s">
        <v>1472</v>
      </c>
      <c r="C75" s="9" t="s">
        <v>265</v>
      </c>
      <c r="D75" s="9" t="s">
        <v>266</v>
      </c>
      <c r="E75" s="9">
        <v>0</v>
      </c>
      <c r="F75" s="12">
        <v>8</v>
      </c>
      <c r="G75" s="9" t="s">
        <v>1377</v>
      </c>
      <c r="H75" s="9" t="s">
        <v>27</v>
      </c>
      <c r="I75" s="9"/>
      <c r="J75" s="17" t="s">
        <v>2639</v>
      </c>
      <c r="K75" s="16" t="s">
        <v>2575</v>
      </c>
      <c r="L75" s="39"/>
      <c r="M75" s="4" t="str">
        <f t="shared" si="3"/>
        <v>INSERT INTO TransformationEngine_Field (FieldName, FieldDescription, SourceFieldName, DetailField, Length, Required, OutputFieldName, AllowedChars, OutputFormat) VALUES ('Output UB Box 36b', 'Occurrence Span From 2b', 'OCROccurDateFrom2B',0, 8, 0, 'CLM_HOSP_SPAN_FROM_CCYYMMDD_2B', '0-9', 'DateFormat:CCYYMMDD')</v>
      </c>
    </row>
    <row r="76" spans="1:13" x14ac:dyDescent="0.35">
      <c r="A76" s="36">
        <v>20075</v>
      </c>
      <c r="B76" s="9" t="s">
        <v>1472</v>
      </c>
      <c r="C76" s="9" t="s">
        <v>267</v>
      </c>
      <c r="D76" s="9" t="s">
        <v>268</v>
      </c>
      <c r="E76" s="9">
        <v>0</v>
      </c>
      <c r="F76" s="12">
        <v>8</v>
      </c>
      <c r="G76" s="9" t="s">
        <v>1377</v>
      </c>
      <c r="H76" s="9" t="s">
        <v>27</v>
      </c>
      <c r="I76" s="9"/>
      <c r="J76" s="17" t="s">
        <v>2640</v>
      </c>
      <c r="K76" s="16" t="s">
        <v>2575</v>
      </c>
      <c r="L76" s="39"/>
      <c r="M76" s="4" t="str">
        <f t="shared" si="3"/>
        <v>INSERT INTO TransformationEngine_Field (FieldName, FieldDescription, SourceFieldName, DetailField, Length, Required, OutputFieldName, AllowedChars, OutputFormat) VALUES ('Output UB Box 36b', 'Occurrence Span Through 2b', 'OCROccurDateTo2B',0, 8, 0, 'CLM_HOSP_SPAN_THRU_CCYYMMDD_2B', '0-9', 'DateFormat:CCYYMMDD')</v>
      </c>
    </row>
    <row r="77" spans="1:13" x14ac:dyDescent="0.35">
      <c r="A77" s="36">
        <v>20076</v>
      </c>
      <c r="B77" s="9" t="s">
        <v>1476</v>
      </c>
      <c r="C77" s="9" t="s">
        <v>286</v>
      </c>
      <c r="D77" s="9" t="s">
        <v>287</v>
      </c>
      <c r="E77" s="9">
        <v>0</v>
      </c>
      <c r="F77" s="9">
        <v>30</v>
      </c>
      <c r="G77" s="9" t="s">
        <v>1377</v>
      </c>
      <c r="H77" s="9" t="s">
        <v>31</v>
      </c>
      <c r="I77" s="9"/>
      <c r="J77" s="17" t="s">
        <v>2641</v>
      </c>
      <c r="K77" s="16"/>
      <c r="L77" s="39"/>
      <c r="M77" s="4" t="str">
        <f t="shared" ref="M77:M80" si="4">CONCATENATE("INSERT INTO TransformationEngine_Field (FieldName, FieldDescription, SourceFieldName, DetailField, Length, Required, OutputFieldName, AllowedChars, OutputFormat) VALUES ('", B77, "', '", C77, "', '", D77, "',", E77, ", ", F77, ", 0, '", J77, "', '", H77,"', '", K77, "')")</f>
        <v>INSERT INTO TransformationEngine_Field (FieldName, FieldDescription, SourceFieldName, DetailField, Length, Required, OutputFieldName, AllowedChars, OutputFormat) VALUES ('Output UB Box 38', 'Responsible Party - Street Address', 'ResponsibleParty_Addr_Street',0, 30, 0, 'CLM_SUBS_ADDR_STREET', '0-9,A-Z, ,-,.,/,',&amp;,#', '')</v>
      </c>
    </row>
    <row r="78" spans="1:13" x14ac:dyDescent="0.35">
      <c r="A78" s="36">
        <v>20077</v>
      </c>
      <c r="B78" s="9" t="s">
        <v>1476</v>
      </c>
      <c r="C78" s="9" t="s">
        <v>288</v>
      </c>
      <c r="D78" s="9" t="s">
        <v>289</v>
      </c>
      <c r="E78" s="9">
        <v>0</v>
      </c>
      <c r="F78" s="9">
        <v>20</v>
      </c>
      <c r="G78" s="9" t="s">
        <v>1377</v>
      </c>
      <c r="H78" s="9" t="s">
        <v>61</v>
      </c>
      <c r="I78" s="9"/>
      <c r="J78" s="17" t="s">
        <v>2642</v>
      </c>
      <c r="K78" s="16"/>
      <c r="L78" s="39"/>
      <c r="M78" s="4" t="str">
        <f t="shared" si="4"/>
        <v>INSERT INTO TransformationEngine_Field (FieldName, FieldDescription, SourceFieldName, DetailField, Length, Required, OutputFieldName, AllowedChars, OutputFormat) VALUES ('Output UB Box 38', 'Responsible Party - City', 'ResponsibleParty_Addr_City',0, 20, 0, 'CLM_SUBS_ADDR_CITY', ' ,A-Z', '')</v>
      </c>
    </row>
    <row r="79" spans="1:13" x14ac:dyDescent="0.35">
      <c r="A79" s="36">
        <v>20078</v>
      </c>
      <c r="B79" s="9" t="s">
        <v>1476</v>
      </c>
      <c r="C79" s="9" t="s">
        <v>290</v>
      </c>
      <c r="D79" s="9" t="s">
        <v>291</v>
      </c>
      <c r="E79" s="9">
        <v>0</v>
      </c>
      <c r="F79" s="9">
        <v>2</v>
      </c>
      <c r="G79" s="9" t="s">
        <v>1377</v>
      </c>
      <c r="H79" s="9" t="s">
        <v>61</v>
      </c>
      <c r="I79" s="9"/>
      <c r="J79" s="17" t="s">
        <v>2643</v>
      </c>
      <c r="K79" s="16"/>
      <c r="L79" s="39"/>
      <c r="M79" s="4" t="str">
        <f t="shared" si="4"/>
        <v>INSERT INTO TransformationEngine_Field (FieldName, FieldDescription, SourceFieldName, DetailField, Length, Required, OutputFieldName, AllowedChars, OutputFormat) VALUES ('Output UB Box 38', 'Responsible Party - State', 'ResponsibleParty_Addr_State',0, 2, 0, 'CLM_SUBS_ADDR_STATE', ' ,A-Z', '')</v>
      </c>
    </row>
    <row r="80" spans="1:13" x14ac:dyDescent="0.35">
      <c r="A80" s="36">
        <v>20079</v>
      </c>
      <c r="B80" s="9" t="s">
        <v>1476</v>
      </c>
      <c r="C80" s="9" t="s">
        <v>292</v>
      </c>
      <c r="D80" s="9" t="s">
        <v>293</v>
      </c>
      <c r="E80" s="9">
        <v>0</v>
      </c>
      <c r="F80" s="9">
        <v>9</v>
      </c>
      <c r="G80" s="9" t="s">
        <v>1377</v>
      </c>
      <c r="H80" s="12" t="s">
        <v>27</v>
      </c>
      <c r="I80" s="9"/>
      <c r="J80" s="17" t="s">
        <v>2644</v>
      </c>
      <c r="K80" s="16"/>
      <c r="L80" s="39"/>
      <c r="M80" s="4" t="str">
        <f t="shared" si="4"/>
        <v>INSERT INTO TransformationEngine_Field (FieldName, FieldDescription, SourceFieldName, DetailField, Length, Required, OutputFieldName, AllowedChars, OutputFormat) VALUES ('Output UB Box 38', 'Responsible Party - Zip', 'ResponsibleParty_Addr_Zip',0, 9, 0, 'CLM_SUBS_ADDR_ZIP', '0-9', '')</v>
      </c>
    </row>
    <row r="81" spans="1:13" x14ac:dyDescent="0.35">
      <c r="A81" s="36">
        <v>20080</v>
      </c>
      <c r="B81" s="9" t="s">
        <v>1482</v>
      </c>
      <c r="C81" s="9" t="s">
        <v>297</v>
      </c>
      <c r="D81" s="9" t="s">
        <v>298</v>
      </c>
      <c r="E81" s="9">
        <v>0</v>
      </c>
      <c r="F81" s="9">
        <v>2</v>
      </c>
      <c r="G81" s="9" t="s">
        <v>1377</v>
      </c>
      <c r="H81" s="9" t="s">
        <v>71</v>
      </c>
      <c r="I81" s="9"/>
      <c r="J81" s="17" t="s">
        <v>2645</v>
      </c>
      <c r="K81" s="16"/>
      <c r="L81" s="39" t="s">
        <v>2551</v>
      </c>
      <c r="M81" s="4" t="str">
        <f>CONCATENATE("INSERT INTO TransformationEngine_Field (FieldName, FieldDescription, SourceFieldName, DetailField, Length, Required, OutputFieldName, AllowedChars) VALUES ('", B81, "', '", C81, "', '", D81, "',", E81, ", ", F81, ", 0, '", J81, "', '", H81, "')")</f>
        <v>INSERT INTO TransformationEngine_Field (FieldName, FieldDescription, SourceFieldName, DetailField, Length, Required, OutputFieldName, AllowedChars) VALUES ('Output UB Box 39a', 'Value Codes - Code 1a', 'OCRValueCodes1A',0, 2, 0, 'CLM_HOSP_VALUE_CODES_1a', 'A-Z,0-9')</v>
      </c>
    </row>
    <row r="82" spans="1:13" x14ac:dyDescent="0.35">
      <c r="A82" s="36">
        <v>20081</v>
      </c>
      <c r="B82" s="9" t="s">
        <v>1482</v>
      </c>
      <c r="C82" s="9" t="s">
        <v>299</v>
      </c>
      <c r="D82" s="9" t="s">
        <v>300</v>
      </c>
      <c r="E82" s="9">
        <v>0</v>
      </c>
      <c r="F82" s="9">
        <v>17</v>
      </c>
      <c r="G82" s="9" t="s">
        <v>1377</v>
      </c>
      <c r="H82" s="9" t="s">
        <v>394</v>
      </c>
      <c r="I82" s="9"/>
      <c r="J82" s="17" t="s">
        <v>2646</v>
      </c>
      <c r="K82" s="16"/>
      <c r="L82" s="39"/>
      <c r="M82" s="4" t="str">
        <f t="shared" ref="M82:M124" si="5">CONCATENATE("INSERT INTO TransformationEngine_Field (FieldName, FieldDescription, SourceFieldName, DetailField, Length, Required, OutputFieldName, AllowedChars) VALUES ('", B82, "', '", C82, "', '", D82, "',", E82, ", ", F82, ", 0, '", J82, "', '", H82, "')")</f>
        <v>INSERT INTO TransformationEngine_Field (FieldName, FieldDescription, SourceFieldName, DetailField, Length, Required, OutputFieldName, AllowedChars) VALUES ('Output UB Box 39a', 'Value Codes - Amount 1a', 'OCRValueAmts1A',0, 17, 0, 'CLM_HOSP_VALUE_AMOUNT_1a', '0-9,.')</v>
      </c>
    </row>
    <row r="83" spans="1:13" x14ac:dyDescent="0.35">
      <c r="A83" s="36">
        <v>20082</v>
      </c>
      <c r="B83" s="9" t="s">
        <v>1485</v>
      </c>
      <c r="C83" s="9" t="s">
        <v>302</v>
      </c>
      <c r="D83" s="9" t="s">
        <v>303</v>
      </c>
      <c r="E83" s="9">
        <v>0</v>
      </c>
      <c r="F83" s="9">
        <v>2</v>
      </c>
      <c r="G83" s="9" t="s">
        <v>1377</v>
      </c>
      <c r="H83" s="9" t="s">
        <v>71</v>
      </c>
      <c r="I83" s="9"/>
      <c r="J83" s="17" t="s">
        <v>2647</v>
      </c>
      <c r="K83" s="16"/>
      <c r="L83" s="39" t="s">
        <v>2551</v>
      </c>
      <c r="M83" s="4" t="str">
        <f t="shared" si="5"/>
        <v>INSERT INTO TransformationEngine_Field (FieldName, FieldDescription, SourceFieldName, DetailField, Length, Required, OutputFieldName, AllowedChars) VALUES ('Output UB Box 39b', 'Value Codes - Code 1b', 'OCRValueCodes1B',0, 2, 0, 'CLM_HOSP_VALUE_CODES_1b', 'A-Z,0-9')</v>
      </c>
    </row>
    <row r="84" spans="1:13" x14ac:dyDescent="0.35">
      <c r="A84" s="36">
        <v>20083</v>
      </c>
      <c r="B84" s="9" t="s">
        <v>1485</v>
      </c>
      <c r="C84" s="9" t="s">
        <v>304</v>
      </c>
      <c r="D84" s="9" t="s">
        <v>305</v>
      </c>
      <c r="E84" s="9">
        <v>0</v>
      </c>
      <c r="F84" s="9">
        <v>17</v>
      </c>
      <c r="G84" s="9" t="s">
        <v>1377</v>
      </c>
      <c r="H84" s="9" t="s">
        <v>394</v>
      </c>
      <c r="I84" s="9"/>
      <c r="J84" s="17" t="s">
        <v>2648</v>
      </c>
      <c r="K84" s="16"/>
      <c r="L84" s="39"/>
      <c r="M84" s="4" t="str">
        <f t="shared" si="5"/>
        <v>INSERT INTO TransformationEngine_Field (FieldName, FieldDescription, SourceFieldName, DetailField, Length, Required, OutputFieldName, AllowedChars) VALUES ('Output UB Box 39b', 'Value Codes - Amount 1b', 'OCRValueAmts1B',0, 17, 0, 'CLM_HOSP_VALUE_AMOUNT_1b', '0-9,.')</v>
      </c>
    </row>
    <row r="85" spans="1:13" x14ac:dyDescent="0.35">
      <c r="A85" s="36">
        <v>20084</v>
      </c>
      <c r="B85" s="9" t="s">
        <v>1486</v>
      </c>
      <c r="C85" s="9" t="s">
        <v>307</v>
      </c>
      <c r="D85" s="9" t="s">
        <v>308</v>
      </c>
      <c r="E85" s="9">
        <v>0</v>
      </c>
      <c r="F85" s="9">
        <v>2</v>
      </c>
      <c r="G85" s="9" t="s">
        <v>1377</v>
      </c>
      <c r="H85" s="9" t="s">
        <v>71</v>
      </c>
      <c r="I85" s="9"/>
      <c r="J85" s="17" t="s">
        <v>2649</v>
      </c>
      <c r="K85" s="16"/>
      <c r="L85" s="39" t="s">
        <v>2551</v>
      </c>
      <c r="M85" s="4" t="str">
        <f t="shared" si="5"/>
        <v>INSERT INTO TransformationEngine_Field (FieldName, FieldDescription, SourceFieldName, DetailField, Length, Required, OutputFieldName, AllowedChars) VALUES ('Output UB Box 39c', 'Value Codes - Code 1c', 'OCRValueCodes1C',0, 2, 0, 'CLM_HOSP_VALUE_CODES_1c', 'A-Z,0-9')</v>
      </c>
    </row>
    <row r="86" spans="1:13" x14ac:dyDescent="0.35">
      <c r="A86" s="36">
        <v>20085</v>
      </c>
      <c r="B86" s="9" t="s">
        <v>1486</v>
      </c>
      <c r="C86" s="9" t="s">
        <v>309</v>
      </c>
      <c r="D86" s="9" t="s">
        <v>310</v>
      </c>
      <c r="E86" s="9">
        <v>0</v>
      </c>
      <c r="F86" s="9">
        <v>17</v>
      </c>
      <c r="G86" s="9" t="s">
        <v>1377</v>
      </c>
      <c r="H86" s="9" t="s">
        <v>394</v>
      </c>
      <c r="I86" s="9"/>
      <c r="J86" s="17" t="s">
        <v>2650</v>
      </c>
      <c r="K86" s="16"/>
      <c r="L86" s="39"/>
      <c r="M86" s="4" t="str">
        <f t="shared" si="5"/>
        <v>INSERT INTO TransformationEngine_Field (FieldName, FieldDescription, SourceFieldName, DetailField, Length, Required, OutputFieldName, AllowedChars) VALUES ('Output UB Box 39c', 'Value Codes - Amount 1c', 'OCRValueAmts1C',0, 17, 0, 'CLM_HOSP_VALUE_AMOUNT_1c', '0-9,.')</v>
      </c>
    </row>
    <row r="87" spans="1:13" x14ac:dyDescent="0.35">
      <c r="A87" s="36">
        <v>20086</v>
      </c>
      <c r="B87" s="9" t="s">
        <v>1487</v>
      </c>
      <c r="C87" s="9" t="s">
        <v>312</v>
      </c>
      <c r="D87" s="9" t="s">
        <v>313</v>
      </c>
      <c r="E87" s="9">
        <v>0</v>
      </c>
      <c r="F87" s="9">
        <v>2</v>
      </c>
      <c r="G87" s="9" t="s">
        <v>1377</v>
      </c>
      <c r="H87" s="9" t="s">
        <v>71</v>
      </c>
      <c r="I87" s="9"/>
      <c r="J87" s="17" t="s">
        <v>2651</v>
      </c>
      <c r="K87" s="16"/>
      <c r="L87" s="39" t="s">
        <v>2551</v>
      </c>
      <c r="M87" s="4" t="str">
        <f t="shared" si="5"/>
        <v>INSERT INTO TransformationEngine_Field (FieldName, FieldDescription, SourceFieldName, DetailField, Length, Required, OutputFieldName, AllowedChars) VALUES ('Output UB Box 39d', 'Value Codes - Code 1d', 'OCRValueCodes1D',0, 2, 0, 'CLM_HOSP_VALUE_CODES_1d', 'A-Z,0-9')</v>
      </c>
    </row>
    <row r="88" spans="1:13" x14ac:dyDescent="0.35">
      <c r="A88" s="36">
        <v>20087</v>
      </c>
      <c r="B88" s="9" t="s">
        <v>1487</v>
      </c>
      <c r="C88" s="9" t="s">
        <v>314</v>
      </c>
      <c r="D88" s="9" t="s">
        <v>315</v>
      </c>
      <c r="E88" s="9">
        <v>0</v>
      </c>
      <c r="F88" s="9">
        <v>17</v>
      </c>
      <c r="G88" s="9" t="s">
        <v>1377</v>
      </c>
      <c r="H88" s="9" t="s">
        <v>394</v>
      </c>
      <c r="I88" s="9"/>
      <c r="J88" s="17" t="s">
        <v>2652</v>
      </c>
      <c r="K88" s="16"/>
      <c r="L88" s="39"/>
      <c r="M88" s="4" t="str">
        <f t="shared" si="5"/>
        <v>INSERT INTO TransformationEngine_Field (FieldName, FieldDescription, SourceFieldName, DetailField, Length, Required, OutputFieldName, AllowedChars) VALUES ('Output UB Box 39d', 'Value Codes - Amount 1d', 'OCRValueAmts1D',0, 17, 0, 'CLM_HOSP_VALUE_AMOUNT_1d', '0-9,.')</v>
      </c>
    </row>
    <row r="89" spans="1:13" x14ac:dyDescent="0.35">
      <c r="A89" s="36">
        <v>20088</v>
      </c>
      <c r="B89" s="9" t="s">
        <v>1488</v>
      </c>
      <c r="C89" s="9" t="s">
        <v>317</v>
      </c>
      <c r="D89" s="9" t="s">
        <v>318</v>
      </c>
      <c r="E89" s="9">
        <v>0</v>
      </c>
      <c r="F89" s="9">
        <v>2</v>
      </c>
      <c r="G89" s="9" t="s">
        <v>1377</v>
      </c>
      <c r="H89" s="9" t="s">
        <v>71</v>
      </c>
      <c r="I89" s="9"/>
      <c r="J89" s="17" t="s">
        <v>2653</v>
      </c>
      <c r="K89" s="16"/>
      <c r="L89" s="39" t="s">
        <v>2551</v>
      </c>
      <c r="M89" s="4" t="str">
        <f t="shared" si="5"/>
        <v>INSERT INTO TransformationEngine_Field (FieldName, FieldDescription, SourceFieldName, DetailField, Length, Required, OutputFieldName, AllowedChars) VALUES ('Output UB Box 40a', 'Value Codes - Code 2a', 'OCRValueCodes2A',0, 2, 0, 'CLM_HOSP_VALUE_CODES_2a', 'A-Z,0-9')</v>
      </c>
    </row>
    <row r="90" spans="1:13" x14ac:dyDescent="0.35">
      <c r="A90" s="36">
        <v>20089</v>
      </c>
      <c r="B90" s="9" t="s">
        <v>1488</v>
      </c>
      <c r="C90" s="9" t="s">
        <v>319</v>
      </c>
      <c r="D90" s="9" t="s">
        <v>320</v>
      </c>
      <c r="E90" s="9">
        <v>0</v>
      </c>
      <c r="F90" s="9">
        <v>17</v>
      </c>
      <c r="G90" s="9" t="s">
        <v>1377</v>
      </c>
      <c r="H90" s="9" t="s">
        <v>394</v>
      </c>
      <c r="I90" s="9"/>
      <c r="J90" s="17" t="s">
        <v>2654</v>
      </c>
      <c r="K90" s="16"/>
      <c r="L90" s="39"/>
      <c r="M90" s="4" t="str">
        <f t="shared" si="5"/>
        <v>INSERT INTO TransformationEngine_Field (FieldName, FieldDescription, SourceFieldName, DetailField, Length, Required, OutputFieldName, AllowedChars) VALUES ('Output UB Box 40a', 'Value Codes - Amount 2a', 'OCRValueAmts2A',0, 17, 0, 'CLM_HOSP_VALUE_AMOUNT_2a', '0-9,.')</v>
      </c>
    </row>
    <row r="91" spans="1:13" x14ac:dyDescent="0.35">
      <c r="A91" s="36">
        <v>20090</v>
      </c>
      <c r="B91" s="9" t="s">
        <v>1489</v>
      </c>
      <c r="C91" s="9" t="s">
        <v>322</v>
      </c>
      <c r="D91" s="9" t="s">
        <v>323</v>
      </c>
      <c r="E91" s="9">
        <v>0</v>
      </c>
      <c r="F91" s="9">
        <v>2</v>
      </c>
      <c r="G91" s="9" t="s">
        <v>1377</v>
      </c>
      <c r="H91" s="9" t="s">
        <v>71</v>
      </c>
      <c r="I91" s="9"/>
      <c r="J91" s="17" t="s">
        <v>2655</v>
      </c>
      <c r="K91" s="16"/>
      <c r="L91" s="39" t="s">
        <v>2551</v>
      </c>
      <c r="M91" s="4" t="str">
        <f t="shared" si="5"/>
        <v>INSERT INTO TransformationEngine_Field (FieldName, FieldDescription, SourceFieldName, DetailField, Length, Required, OutputFieldName, AllowedChars) VALUES ('Output UB Box 40b', 'Value Codes - Code 2b', 'OCRValueCodes2B',0, 2, 0, 'CLM_HOSP_VALUE_CODES_2b', 'A-Z,0-9')</v>
      </c>
    </row>
    <row r="92" spans="1:13" x14ac:dyDescent="0.35">
      <c r="A92" s="36">
        <v>20091</v>
      </c>
      <c r="B92" s="9" t="s">
        <v>1489</v>
      </c>
      <c r="C92" s="9" t="s">
        <v>324</v>
      </c>
      <c r="D92" s="9" t="s">
        <v>325</v>
      </c>
      <c r="E92" s="9">
        <v>0</v>
      </c>
      <c r="F92" s="9">
        <v>17</v>
      </c>
      <c r="G92" s="9" t="s">
        <v>1377</v>
      </c>
      <c r="H92" s="9" t="s">
        <v>394</v>
      </c>
      <c r="I92" s="9"/>
      <c r="J92" s="17" t="s">
        <v>2656</v>
      </c>
      <c r="K92" s="16"/>
      <c r="L92" s="39"/>
      <c r="M92" s="4" t="str">
        <f t="shared" si="5"/>
        <v>INSERT INTO TransformationEngine_Field (FieldName, FieldDescription, SourceFieldName, DetailField, Length, Required, OutputFieldName, AllowedChars) VALUES ('Output UB Box 40b', 'Value Codes - Amount 2b', 'OCRValueAmts2B',0, 17, 0, 'CLM_HOSP_VALUE_AMOUNT_2b', '0-9,.')</v>
      </c>
    </row>
    <row r="93" spans="1:13" x14ac:dyDescent="0.35">
      <c r="A93" s="36">
        <v>20092</v>
      </c>
      <c r="B93" s="9" t="s">
        <v>1490</v>
      </c>
      <c r="C93" s="9" t="s">
        <v>327</v>
      </c>
      <c r="D93" s="9" t="s">
        <v>328</v>
      </c>
      <c r="E93" s="9">
        <v>0</v>
      </c>
      <c r="F93" s="9">
        <v>2</v>
      </c>
      <c r="G93" s="9" t="s">
        <v>1377</v>
      </c>
      <c r="H93" s="9" t="s">
        <v>71</v>
      </c>
      <c r="I93" s="9"/>
      <c r="J93" s="17" t="s">
        <v>2657</v>
      </c>
      <c r="K93" s="16"/>
      <c r="L93" s="39" t="s">
        <v>2551</v>
      </c>
      <c r="M93" s="4" t="str">
        <f t="shared" si="5"/>
        <v>INSERT INTO TransformationEngine_Field (FieldName, FieldDescription, SourceFieldName, DetailField, Length, Required, OutputFieldName, AllowedChars) VALUES ('Output UB Box 40c', 'Value Codes - Code 2c', 'OCRValueCodes2C',0, 2, 0, 'CLM_HOSP_VALUE_CODES_2c', 'A-Z,0-9')</v>
      </c>
    </row>
    <row r="94" spans="1:13" x14ac:dyDescent="0.35">
      <c r="A94" s="36">
        <v>20093</v>
      </c>
      <c r="B94" s="9" t="s">
        <v>1490</v>
      </c>
      <c r="C94" s="9" t="s">
        <v>329</v>
      </c>
      <c r="D94" s="9" t="s">
        <v>330</v>
      </c>
      <c r="E94" s="9">
        <v>0</v>
      </c>
      <c r="F94" s="9">
        <v>17</v>
      </c>
      <c r="G94" s="9" t="s">
        <v>1377</v>
      </c>
      <c r="H94" s="9" t="s">
        <v>394</v>
      </c>
      <c r="I94" s="9"/>
      <c r="J94" s="17" t="s">
        <v>2658</v>
      </c>
      <c r="K94" s="16"/>
      <c r="L94" s="39"/>
      <c r="M94" s="4" t="str">
        <f t="shared" si="5"/>
        <v>INSERT INTO TransformationEngine_Field (FieldName, FieldDescription, SourceFieldName, DetailField, Length, Required, OutputFieldName, AllowedChars) VALUES ('Output UB Box 40c', 'Value Codes - Amount 2c', 'OCRValueAmts2C',0, 17, 0, 'CLM_HOSP_VALUE_AMOUNT_2c', '0-9,.')</v>
      </c>
    </row>
    <row r="95" spans="1:13" x14ac:dyDescent="0.35">
      <c r="A95" s="36">
        <v>20094</v>
      </c>
      <c r="B95" s="9" t="s">
        <v>1491</v>
      </c>
      <c r="C95" s="9" t="s">
        <v>332</v>
      </c>
      <c r="D95" s="9" t="s">
        <v>333</v>
      </c>
      <c r="E95" s="9">
        <v>0</v>
      </c>
      <c r="F95" s="9">
        <v>2</v>
      </c>
      <c r="G95" s="9" t="s">
        <v>1377</v>
      </c>
      <c r="H95" s="9" t="s">
        <v>71</v>
      </c>
      <c r="I95" s="9"/>
      <c r="J95" s="17" t="s">
        <v>2659</v>
      </c>
      <c r="K95" s="16"/>
      <c r="L95" s="39" t="s">
        <v>2551</v>
      </c>
      <c r="M95" s="4" t="str">
        <f t="shared" si="5"/>
        <v>INSERT INTO TransformationEngine_Field (FieldName, FieldDescription, SourceFieldName, DetailField, Length, Required, OutputFieldName, AllowedChars) VALUES ('Output UB Box 40d', 'Value Codes - Code 2d', 'OCRValueCodes2D',0, 2, 0, 'CLM_HOSP_VALUE_CODES_2d', 'A-Z,0-9')</v>
      </c>
    </row>
    <row r="96" spans="1:13" x14ac:dyDescent="0.35">
      <c r="A96" s="36">
        <v>20095</v>
      </c>
      <c r="B96" s="9" t="s">
        <v>1491</v>
      </c>
      <c r="C96" s="9" t="s">
        <v>334</v>
      </c>
      <c r="D96" s="9" t="s">
        <v>335</v>
      </c>
      <c r="E96" s="9">
        <v>0</v>
      </c>
      <c r="F96" s="9">
        <v>17</v>
      </c>
      <c r="G96" s="9" t="s">
        <v>1377</v>
      </c>
      <c r="H96" s="9" t="s">
        <v>394</v>
      </c>
      <c r="I96" s="9"/>
      <c r="J96" s="17" t="s">
        <v>2660</v>
      </c>
      <c r="K96" s="16"/>
      <c r="L96" s="39"/>
      <c r="M96" s="4" t="str">
        <f t="shared" si="5"/>
        <v>INSERT INTO TransformationEngine_Field (FieldName, FieldDescription, SourceFieldName, DetailField, Length, Required, OutputFieldName, AllowedChars) VALUES ('Output UB Box 40d', 'Value Codes - Amount 2d', 'OCRValueAmts2D',0, 17, 0, 'CLM_HOSP_VALUE_AMOUNT_2d', '0-9,.')</v>
      </c>
    </row>
    <row r="97" spans="1:13" x14ac:dyDescent="0.35">
      <c r="A97" s="36">
        <v>20096</v>
      </c>
      <c r="B97" s="9" t="s">
        <v>1492</v>
      </c>
      <c r="C97" s="9" t="s">
        <v>337</v>
      </c>
      <c r="D97" s="9" t="s">
        <v>338</v>
      </c>
      <c r="E97" s="9">
        <v>0</v>
      </c>
      <c r="F97" s="9">
        <v>2</v>
      </c>
      <c r="G97" s="9" t="s">
        <v>1377</v>
      </c>
      <c r="H97" s="9" t="s">
        <v>71</v>
      </c>
      <c r="I97" s="9"/>
      <c r="J97" s="17" t="s">
        <v>2661</v>
      </c>
      <c r="K97" s="16"/>
      <c r="L97" s="39" t="s">
        <v>2551</v>
      </c>
      <c r="M97" s="4" t="str">
        <f t="shared" si="5"/>
        <v>INSERT INTO TransformationEngine_Field (FieldName, FieldDescription, SourceFieldName, DetailField, Length, Required, OutputFieldName, AllowedChars) VALUES ('Output UB Box 41a', 'Value Codes - Code 3a', 'OCRValueCodes3A',0, 2, 0, 'CLM_HOSP_VALUE_CODES_3a', 'A-Z,0-9')</v>
      </c>
    </row>
    <row r="98" spans="1:13" x14ac:dyDescent="0.35">
      <c r="A98" s="36">
        <v>20097</v>
      </c>
      <c r="B98" s="9" t="s">
        <v>1492</v>
      </c>
      <c r="C98" s="9" t="s">
        <v>339</v>
      </c>
      <c r="D98" s="9" t="s">
        <v>340</v>
      </c>
      <c r="E98" s="9">
        <v>0</v>
      </c>
      <c r="F98" s="9">
        <v>17</v>
      </c>
      <c r="G98" s="9" t="s">
        <v>1377</v>
      </c>
      <c r="H98" s="9" t="s">
        <v>394</v>
      </c>
      <c r="I98" s="9"/>
      <c r="J98" s="17" t="s">
        <v>2662</v>
      </c>
      <c r="K98" s="16"/>
      <c r="L98" s="39"/>
      <c r="M98" s="4" t="str">
        <f t="shared" si="5"/>
        <v>INSERT INTO TransformationEngine_Field (FieldName, FieldDescription, SourceFieldName, DetailField, Length, Required, OutputFieldName, AllowedChars) VALUES ('Output UB Box 41a', 'Value Codes - Amount 3a', 'OCRValueAmts3A',0, 17, 0, 'CLM_HOSP_VALUE_AMOUNT_3a', '0-9,.')</v>
      </c>
    </row>
    <row r="99" spans="1:13" x14ac:dyDescent="0.35">
      <c r="A99" s="36">
        <v>20098</v>
      </c>
      <c r="B99" s="9" t="s">
        <v>1493</v>
      </c>
      <c r="C99" s="9" t="s">
        <v>342</v>
      </c>
      <c r="D99" s="9" t="s">
        <v>343</v>
      </c>
      <c r="E99" s="9">
        <v>0</v>
      </c>
      <c r="F99" s="9">
        <v>2</v>
      </c>
      <c r="G99" s="9" t="s">
        <v>1377</v>
      </c>
      <c r="H99" s="9" t="s">
        <v>71</v>
      </c>
      <c r="I99" s="9"/>
      <c r="J99" s="17" t="s">
        <v>2663</v>
      </c>
      <c r="K99" s="16"/>
      <c r="L99" s="39" t="s">
        <v>2551</v>
      </c>
      <c r="M99" s="4" t="str">
        <f t="shared" si="5"/>
        <v>INSERT INTO TransformationEngine_Field (FieldName, FieldDescription, SourceFieldName, DetailField, Length, Required, OutputFieldName, AllowedChars) VALUES ('Output UB Box 41b', 'Value Codes - Code 3b', 'OCRValueCodes3B',0, 2, 0, 'CLM_HOSP_VALUE_CODES_3b', 'A-Z,0-9')</v>
      </c>
    </row>
    <row r="100" spans="1:13" x14ac:dyDescent="0.35">
      <c r="A100" s="36">
        <v>20099</v>
      </c>
      <c r="B100" s="9" t="s">
        <v>1493</v>
      </c>
      <c r="C100" s="9" t="s">
        <v>344</v>
      </c>
      <c r="D100" s="9" t="s">
        <v>345</v>
      </c>
      <c r="E100" s="9">
        <v>0</v>
      </c>
      <c r="F100" s="9">
        <v>17</v>
      </c>
      <c r="G100" s="9" t="s">
        <v>1377</v>
      </c>
      <c r="H100" s="9" t="s">
        <v>394</v>
      </c>
      <c r="I100" s="9"/>
      <c r="J100" s="17" t="s">
        <v>2664</v>
      </c>
      <c r="K100" s="16"/>
      <c r="L100" s="39"/>
      <c r="M100" s="4" t="str">
        <f t="shared" si="5"/>
        <v>INSERT INTO TransformationEngine_Field (FieldName, FieldDescription, SourceFieldName, DetailField, Length, Required, OutputFieldName, AllowedChars) VALUES ('Output UB Box 41b', 'Value Codes - Amount 3b', 'OCRValueAmts3B',0, 17, 0, 'CLM_HOSP_VALUE_AMOUNT_3b', '0-9,.')</v>
      </c>
    </row>
    <row r="101" spans="1:13" x14ac:dyDescent="0.35">
      <c r="A101" s="36">
        <v>20100</v>
      </c>
      <c r="B101" s="9" t="s">
        <v>1494</v>
      </c>
      <c r="C101" s="9" t="s">
        <v>347</v>
      </c>
      <c r="D101" s="9" t="s">
        <v>348</v>
      </c>
      <c r="E101" s="9">
        <v>0</v>
      </c>
      <c r="F101" s="9">
        <v>2</v>
      </c>
      <c r="G101" s="9" t="s">
        <v>1377</v>
      </c>
      <c r="H101" s="9" t="s">
        <v>71</v>
      </c>
      <c r="I101" s="9"/>
      <c r="J101" s="17" t="s">
        <v>2665</v>
      </c>
      <c r="K101" s="16"/>
      <c r="L101" s="39" t="s">
        <v>2551</v>
      </c>
      <c r="M101" s="4" t="str">
        <f t="shared" si="5"/>
        <v>INSERT INTO TransformationEngine_Field (FieldName, FieldDescription, SourceFieldName, DetailField, Length, Required, OutputFieldName, AllowedChars) VALUES ('Output UB Box 41c', 'Value Codes - Code 3c', 'OCRValueCodes3C',0, 2, 0, 'CLM_HOSP_VALUE_CODES_3c', 'A-Z,0-9')</v>
      </c>
    </row>
    <row r="102" spans="1:13" x14ac:dyDescent="0.35">
      <c r="A102" s="36">
        <v>20101</v>
      </c>
      <c r="B102" s="9" t="s">
        <v>1494</v>
      </c>
      <c r="C102" s="9" t="s">
        <v>349</v>
      </c>
      <c r="D102" s="9" t="s">
        <v>350</v>
      </c>
      <c r="E102" s="9">
        <v>0</v>
      </c>
      <c r="F102" s="9">
        <v>17</v>
      </c>
      <c r="G102" s="9" t="s">
        <v>1377</v>
      </c>
      <c r="H102" s="9" t="s">
        <v>394</v>
      </c>
      <c r="I102" s="9"/>
      <c r="J102" s="17" t="s">
        <v>2666</v>
      </c>
      <c r="K102" s="16"/>
      <c r="L102" s="39"/>
      <c r="M102" s="4" t="str">
        <f t="shared" si="5"/>
        <v>INSERT INTO TransformationEngine_Field (FieldName, FieldDescription, SourceFieldName, DetailField, Length, Required, OutputFieldName, AllowedChars) VALUES ('Output UB Box 41c', 'Value Codes - Amount 3c', 'OCRValueAmts3C',0, 17, 0, 'CLM_HOSP_VALUE_AMOUNT_3c', '0-9,.')</v>
      </c>
    </row>
    <row r="103" spans="1:13" x14ac:dyDescent="0.35">
      <c r="A103" s="36">
        <v>20102</v>
      </c>
      <c r="B103" s="9" t="s">
        <v>1495</v>
      </c>
      <c r="C103" s="9" t="s">
        <v>352</v>
      </c>
      <c r="D103" s="9" t="s">
        <v>353</v>
      </c>
      <c r="E103" s="9">
        <v>0</v>
      </c>
      <c r="F103" s="9">
        <v>2</v>
      </c>
      <c r="G103" s="9" t="s">
        <v>1377</v>
      </c>
      <c r="H103" s="9" t="s">
        <v>71</v>
      </c>
      <c r="I103" s="9"/>
      <c r="J103" s="17" t="s">
        <v>2667</v>
      </c>
      <c r="K103" s="16"/>
      <c r="L103" s="39" t="s">
        <v>2551</v>
      </c>
      <c r="M103" s="4" t="str">
        <f t="shared" si="5"/>
        <v>INSERT INTO TransformationEngine_Field (FieldName, FieldDescription, SourceFieldName, DetailField, Length, Required, OutputFieldName, AllowedChars) VALUES ('Output UB Box 41d', 'Value Codes - Code 3d', 'OCRValueCodes3D',0, 2, 0, 'CLM_HOSP_VALUE_CODES_3d', 'A-Z,0-9')</v>
      </c>
    </row>
    <row r="104" spans="1:13" x14ac:dyDescent="0.35">
      <c r="A104" s="36">
        <v>20103</v>
      </c>
      <c r="B104" s="9" t="s">
        <v>1495</v>
      </c>
      <c r="C104" s="9" t="s">
        <v>354</v>
      </c>
      <c r="D104" s="9" t="s">
        <v>355</v>
      </c>
      <c r="E104" s="9">
        <v>0</v>
      </c>
      <c r="F104" s="9">
        <v>17</v>
      </c>
      <c r="G104" s="9" t="s">
        <v>1377</v>
      </c>
      <c r="H104" s="9" t="s">
        <v>394</v>
      </c>
      <c r="I104" s="9"/>
      <c r="J104" s="17" t="s">
        <v>2668</v>
      </c>
      <c r="K104" s="16"/>
      <c r="L104" s="39"/>
      <c r="M104" s="4" t="str">
        <f t="shared" si="5"/>
        <v>INSERT INTO TransformationEngine_Field (FieldName, FieldDescription, SourceFieldName, DetailField, Length, Required, OutputFieldName, AllowedChars) VALUES ('Output UB Box 41d', 'Value Codes - Amount 3d', 'OCRValueAmts3D',0, 17, 0, 'CLM_HOSP_VALUE_AMOUNT_3d', '0-9,.')</v>
      </c>
    </row>
    <row r="105" spans="1:13" ht="4.4000000000000004" customHeight="1" x14ac:dyDescent="0.35">
      <c r="A105" s="40"/>
      <c r="B105" s="41"/>
      <c r="C105" s="41"/>
      <c r="D105" s="41"/>
      <c r="E105" s="41"/>
      <c r="F105" s="41"/>
      <c r="G105" s="41"/>
      <c r="H105" s="41"/>
      <c r="I105" s="41"/>
      <c r="J105" s="42"/>
      <c r="K105" s="43"/>
      <c r="L105" s="44"/>
      <c r="M105" s="45"/>
    </row>
    <row r="106" spans="1:13" x14ac:dyDescent="0.35">
      <c r="A106" s="36">
        <v>21001</v>
      </c>
      <c r="B106" s="9" t="s">
        <v>1496</v>
      </c>
      <c r="C106" s="9" t="s">
        <v>357</v>
      </c>
      <c r="D106" s="9" t="s">
        <v>358</v>
      </c>
      <c r="E106" s="9">
        <v>1</v>
      </c>
      <c r="F106" s="9">
        <v>3</v>
      </c>
      <c r="G106" s="9" t="s">
        <v>1377</v>
      </c>
      <c r="H106" s="9" t="s">
        <v>27</v>
      </c>
      <c r="I106" s="9"/>
      <c r="J106" s="17" t="s">
        <v>2669</v>
      </c>
      <c r="K106" s="16"/>
      <c r="L106" s="39"/>
      <c r="M106" s="4" t="str">
        <f t="shared" si="5"/>
        <v>INSERT INTO TransformationEngine_Field (FieldName, FieldDescription, SourceFieldName, DetailField, Length, Required, OutputFieldName, AllowedChars) VALUES ('Output UB Box 42', 'Revenue Code', 'OCRRevCodes',1, 3, 0, 'DTL_HOSP_REVENUE_CODE_3 BYTE', '0-9')</v>
      </c>
    </row>
    <row r="107" spans="1:13" x14ac:dyDescent="0.35">
      <c r="A107" s="36">
        <v>21002</v>
      </c>
      <c r="B107" s="9" t="s">
        <v>1496</v>
      </c>
      <c r="C107" s="9" t="s">
        <v>357</v>
      </c>
      <c r="D107" s="9" t="s">
        <v>358</v>
      </c>
      <c r="E107" s="9">
        <v>1</v>
      </c>
      <c r="F107" s="9">
        <v>4</v>
      </c>
      <c r="G107" s="9" t="s">
        <v>1377</v>
      </c>
      <c r="H107" s="9" t="s">
        <v>27</v>
      </c>
      <c r="I107" s="9"/>
      <c r="J107" s="17" t="s">
        <v>2670</v>
      </c>
      <c r="K107" s="16"/>
      <c r="L107" s="39"/>
      <c r="M107" s="4" t="str">
        <f t="shared" si="5"/>
        <v>INSERT INTO TransformationEngine_Field (FieldName, FieldDescription, SourceFieldName, DetailField, Length, Required, OutputFieldName, AllowedChars) VALUES ('Output UB Box 42', 'Revenue Code', 'OCRRevCodes',1, 4, 0, 'DTL_HOSP_REVENUE_CODE_4 BYTE', '0-9')</v>
      </c>
    </row>
    <row r="108" spans="1:13" x14ac:dyDescent="0.35">
      <c r="A108" s="36">
        <v>21003</v>
      </c>
      <c r="B108" s="10" t="s">
        <v>1498</v>
      </c>
      <c r="C108" s="9" t="s">
        <v>366</v>
      </c>
      <c r="D108" s="9" t="s">
        <v>367</v>
      </c>
      <c r="E108" s="9">
        <v>1</v>
      </c>
      <c r="F108" s="9">
        <v>14</v>
      </c>
      <c r="G108" s="9" t="s">
        <v>1377</v>
      </c>
      <c r="H108" s="9" t="s">
        <v>27</v>
      </c>
      <c r="I108" s="10"/>
      <c r="J108" s="17" t="s">
        <v>2671</v>
      </c>
      <c r="K108" s="16"/>
      <c r="L108" s="99"/>
      <c r="M108" s="59"/>
    </row>
    <row r="109" spans="1:13" ht="43.5" x14ac:dyDescent="0.35">
      <c r="A109" s="36">
        <v>21004</v>
      </c>
      <c r="B109" s="10" t="s">
        <v>1498</v>
      </c>
      <c r="C109" s="9" t="s">
        <v>368</v>
      </c>
      <c r="D109" s="9" t="s">
        <v>369</v>
      </c>
      <c r="E109" s="9">
        <v>1</v>
      </c>
      <c r="F109" s="9">
        <v>2</v>
      </c>
      <c r="G109" s="9" t="s">
        <v>1377</v>
      </c>
      <c r="H109" s="9" t="s">
        <v>2672</v>
      </c>
      <c r="I109" s="10" t="s">
        <v>2673</v>
      </c>
      <c r="J109" s="17" t="s">
        <v>2674</v>
      </c>
      <c r="K109" s="16"/>
      <c r="L109" s="99"/>
      <c r="M109" s="59"/>
    </row>
    <row r="110" spans="1:13" x14ac:dyDescent="0.35">
      <c r="A110" s="36">
        <v>21005</v>
      </c>
      <c r="B110" s="10" t="s">
        <v>1498</v>
      </c>
      <c r="C110" s="9" t="s">
        <v>371</v>
      </c>
      <c r="D110" s="9" t="s">
        <v>372</v>
      </c>
      <c r="E110" s="9">
        <v>1</v>
      </c>
      <c r="F110" s="9">
        <v>4</v>
      </c>
      <c r="G110" s="9" t="s">
        <v>1377</v>
      </c>
      <c r="H110" s="9" t="s">
        <v>27</v>
      </c>
      <c r="I110" s="10"/>
      <c r="J110" s="17" t="s">
        <v>2675</v>
      </c>
      <c r="K110" s="16"/>
      <c r="L110" s="99"/>
      <c r="M110" s="59"/>
    </row>
    <row r="111" spans="1:13" x14ac:dyDescent="0.35">
      <c r="A111" s="36">
        <v>21006</v>
      </c>
      <c r="B111" s="9" t="s">
        <v>1500</v>
      </c>
      <c r="C111" s="9" t="s">
        <v>375</v>
      </c>
      <c r="D111" s="9" t="s">
        <v>376</v>
      </c>
      <c r="E111" s="9">
        <v>1</v>
      </c>
      <c r="F111" s="9">
        <v>5</v>
      </c>
      <c r="G111" s="9" t="s">
        <v>1377</v>
      </c>
      <c r="H111" s="9" t="s">
        <v>71</v>
      </c>
      <c r="I111" s="9"/>
      <c r="J111" s="17" t="s">
        <v>2676</v>
      </c>
      <c r="K111" s="16"/>
      <c r="L111" s="39"/>
      <c r="M111" s="4" t="str">
        <f t="shared" si="5"/>
        <v>INSERT INTO TransformationEngine_Field (FieldName, FieldDescription, SourceFieldName, DetailField, Length, Required, OutputFieldName, AllowedChars) VALUES ('Output UB Box 44', 'HCPCS/Rate/HIPPS Code', 'OCRProcCodes',1, 5, 0, 'DTL_HOSP_PROCEDURE_CODE', 'A-Z,0-9')</v>
      </c>
    </row>
    <row r="112" spans="1:13" x14ac:dyDescent="0.35">
      <c r="A112" s="36">
        <v>21007</v>
      </c>
      <c r="B112" s="9" t="s">
        <v>1500</v>
      </c>
      <c r="C112" s="9" t="s">
        <v>375</v>
      </c>
      <c r="D112" s="9" t="s">
        <v>376</v>
      </c>
      <c r="E112" s="9">
        <v>1</v>
      </c>
      <c r="F112" s="9">
        <v>2</v>
      </c>
      <c r="G112" s="9" t="s">
        <v>1377</v>
      </c>
      <c r="H112" s="9" t="s">
        <v>71</v>
      </c>
      <c r="I112" s="9"/>
      <c r="J112" s="17" t="s">
        <v>2677</v>
      </c>
      <c r="K112" s="16"/>
      <c r="L112" s="39"/>
      <c r="M112" s="4" t="str">
        <f t="shared" si="5"/>
        <v>INSERT INTO TransformationEngine_Field (FieldName, FieldDescription, SourceFieldName, DetailField, Length, Required, OutputFieldName, AllowedChars) VALUES ('Output UB Box 44', 'HCPCS/Rate/HIPPS Code', 'OCRProcCodes',1, 2, 0, 'DTL_HOSP_PROC_MODIFIER_1', 'A-Z,0-9')</v>
      </c>
    </row>
    <row r="113" spans="1:13" x14ac:dyDescent="0.35">
      <c r="A113" s="36">
        <v>21008</v>
      </c>
      <c r="B113" s="9" t="s">
        <v>1500</v>
      </c>
      <c r="C113" s="9" t="s">
        <v>375</v>
      </c>
      <c r="D113" s="9" t="s">
        <v>376</v>
      </c>
      <c r="E113" s="9">
        <v>1</v>
      </c>
      <c r="F113" s="9">
        <v>2</v>
      </c>
      <c r="G113" s="9" t="s">
        <v>1377</v>
      </c>
      <c r="H113" s="9" t="s">
        <v>71</v>
      </c>
      <c r="I113" s="9"/>
      <c r="J113" s="17" t="s">
        <v>2678</v>
      </c>
      <c r="K113" s="16"/>
      <c r="L113" s="39"/>
      <c r="M113" s="4" t="str">
        <f t="shared" si="5"/>
        <v>INSERT INTO TransformationEngine_Field (FieldName, FieldDescription, SourceFieldName, DetailField, Length, Required, OutputFieldName, AllowedChars) VALUES ('Output UB Box 44', 'HCPCS/Rate/HIPPS Code', 'OCRProcCodes',1, 2, 0, 'DTL_HOSP_PROC_MODIFIER_2', 'A-Z,0-9')</v>
      </c>
    </row>
    <row r="114" spans="1:13" x14ac:dyDescent="0.35">
      <c r="A114" s="36">
        <v>21009</v>
      </c>
      <c r="B114" s="9" t="s">
        <v>1500</v>
      </c>
      <c r="C114" s="9" t="s">
        <v>375</v>
      </c>
      <c r="D114" s="9" t="s">
        <v>376</v>
      </c>
      <c r="E114" s="9">
        <v>1</v>
      </c>
      <c r="F114" s="9">
        <v>2</v>
      </c>
      <c r="G114" s="9" t="s">
        <v>1377</v>
      </c>
      <c r="H114" s="9" t="s">
        <v>71</v>
      </c>
      <c r="I114" s="9"/>
      <c r="J114" s="17" t="s">
        <v>2679</v>
      </c>
      <c r="K114" s="16"/>
      <c r="L114" s="39"/>
      <c r="M114" s="4" t="str">
        <f t="shared" si="5"/>
        <v>INSERT INTO TransformationEngine_Field (FieldName, FieldDescription, SourceFieldName, DetailField, Length, Required, OutputFieldName, AllowedChars) VALUES ('Output UB Box 44', 'HCPCS/Rate/HIPPS Code', 'OCRProcCodes',1, 2, 0, 'DTL_HOSP_PROC_MODIFIER_3', 'A-Z,0-9')</v>
      </c>
    </row>
    <row r="115" spans="1:13" x14ac:dyDescent="0.35">
      <c r="A115" s="36">
        <v>21010</v>
      </c>
      <c r="B115" s="9" t="s">
        <v>1500</v>
      </c>
      <c r="C115" s="9" t="s">
        <v>375</v>
      </c>
      <c r="D115" s="9" t="s">
        <v>376</v>
      </c>
      <c r="E115" s="9">
        <v>1</v>
      </c>
      <c r="F115" s="9">
        <v>2</v>
      </c>
      <c r="G115" s="9" t="s">
        <v>1377</v>
      </c>
      <c r="H115" s="9" t="s">
        <v>71</v>
      </c>
      <c r="I115" s="9"/>
      <c r="J115" s="17" t="s">
        <v>2680</v>
      </c>
      <c r="K115" s="16"/>
      <c r="L115" s="39"/>
      <c r="M115" s="4" t="str">
        <f t="shared" si="5"/>
        <v>INSERT INTO TransformationEngine_Field (FieldName, FieldDescription, SourceFieldName, DetailField, Length, Required, OutputFieldName, AllowedChars) VALUES ('Output UB Box 44', 'HCPCS/Rate/HIPPS Code', 'OCRProcCodes',1, 2, 0, 'DTL_HOSP_PROC_MODIFIER_4', 'A-Z,0-9')</v>
      </c>
    </row>
    <row r="116" spans="1:13" x14ac:dyDescent="0.35">
      <c r="A116" s="36">
        <v>21011</v>
      </c>
      <c r="B116" s="9" t="s">
        <v>1502</v>
      </c>
      <c r="C116" s="9" t="s">
        <v>389</v>
      </c>
      <c r="D116" s="9" t="s">
        <v>390</v>
      </c>
      <c r="E116" s="9">
        <v>1</v>
      </c>
      <c r="F116" s="12">
        <v>8</v>
      </c>
      <c r="G116" s="9" t="s">
        <v>1377</v>
      </c>
      <c r="H116" s="9" t="s">
        <v>27</v>
      </c>
      <c r="I116" s="9"/>
      <c r="J116" s="17" t="s">
        <v>2681</v>
      </c>
      <c r="K116" s="16" t="s">
        <v>2575</v>
      </c>
      <c r="L116" s="39"/>
      <c r="M116" s="4" t="str">
        <f t="shared" si="5"/>
        <v>INSERT INTO TransformationEngine_Field (FieldName, FieldDescription, SourceFieldName, DetailField, Length, Required, OutputFieldName, AllowedChars) VALUES ('Output UB Box 45', 'Service Date', 'OCRServiceDates',1, 8, 0, 'DTL_HOSP_PROCEDURE_DATE', '0-9')</v>
      </c>
    </row>
    <row r="117" spans="1:13" x14ac:dyDescent="0.35">
      <c r="A117" s="36">
        <v>21012</v>
      </c>
      <c r="B117" s="9" t="s">
        <v>1504</v>
      </c>
      <c r="C117" s="9" t="s">
        <v>392</v>
      </c>
      <c r="D117" s="9" t="s">
        <v>393</v>
      </c>
      <c r="E117" s="9">
        <v>1</v>
      </c>
      <c r="F117" s="9">
        <v>17</v>
      </c>
      <c r="G117" s="9" t="s">
        <v>1377</v>
      </c>
      <c r="H117" s="9" t="s">
        <v>27</v>
      </c>
      <c r="I117" s="9"/>
      <c r="J117" s="17" t="s">
        <v>2682</v>
      </c>
      <c r="K117" s="16"/>
      <c r="L117" s="39"/>
      <c r="M117" s="4" t="str">
        <f t="shared" si="5"/>
        <v>INSERT INTO TransformationEngine_Field (FieldName, FieldDescription, SourceFieldName, DetailField, Length, Required, OutputFieldName, AllowedChars) VALUES ('Output UB Box 46', 'Service Units', 'OCRServiceUnits',1, 17, 0, 'DTL_HOSP_NUM_OF_SERVICES', '0-9')</v>
      </c>
    </row>
    <row r="118" spans="1:13" x14ac:dyDescent="0.35">
      <c r="A118" s="36">
        <v>21013</v>
      </c>
      <c r="B118" s="9" t="s">
        <v>1504</v>
      </c>
      <c r="C118" s="9" t="s">
        <v>392</v>
      </c>
      <c r="D118" s="9" t="s">
        <v>393</v>
      </c>
      <c r="E118" s="9">
        <v>1</v>
      </c>
      <c r="F118" s="9">
        <v>4</v>
      </c>
      <c r="G118" s="9" t="s">
        <v>1377</v>
      </c>
      <c r="H118" s="9" t="s">
        <v>27</v>
      </c>
      <c r="I118" s="9"/>
      <c r="J118" s="17" t="s">
        <v>2675</v>
      </c>
      <c r="K118" s="16"/>
      <c r="L118" s="39"/>
      <c r="M118" s="4" t="str">
        <f t="shared" si="5"/>
        <v>INSERT INTO TransformationEngine_Field (FieldName, FieldDescription, SourceFieldName, DetailField, Length, Required, OutputFieldName, AllowedChars) VALUES ('Output UB Box 46', 'Service Units', 'OCRServiceUnits',1, 4, 0, 'DTL_HOSP_NDC_UNITS', '0-9')</v>
      </c>
    </row>
    <row r="119" spans="1:13" x14ac:dyDescent="0.35">
      <c r="A119" s="36">
        <v>21014</v>
      </c>
      <c r="B119" s="9" t="s">
        <v>1506</v>
      </c>
      <c r="C119" s="9" t="s">
        <v>396</v>
      </c>
      <c r="D119" s="9" t="s">
        <v>397</v>
      </c>
      <c r="E119" s="9">
        <v>1</v>
      </c>
      <c r="F119" s="12">
        <v>17</v>
      </c>
      <c r="G119" s="9" t="s">
        <v>1377</v>
      </c>
      <c r="H119" s="9" t="s">
        <v>27</v>
      </c>
      <c r="I119" s="9"/>
      <c r="J119" s="17" t="s">
        <v>2683</v>
      </c>
      <c r="K119" s="16" t="s">
        <v>2684</v>
      </c>
      <c r="L119" s="39"/>
      <c r="M119" s="4" t="str">
        <f t="shared" si="5"/>
        <v>INSERT INTO TransformationEngine_Field (FieldName, FieldDescription, SourceFieldName, DetailField, Length, Required, OutputFieldName, AllowedChars) VALUES ('Output UB Box 47', 'Total Charges', 'OCRDetailCharges',1, 17, 0, 'DTL_HOSP_SUBMITTED_AMOUNT', '0-9')</v>
      </c>
    </row>
    <row r="120" spans="1:13" x14ac:dyDescent="0.35">
      <c r="A120" s="49">
        <v>21018</v>
      </c>
      <c r="B120" s="50" t="s">
        <v>1506</v>
      </c>
      <c r="C120" s="50" t="s">
        <v>396</v>
      </c>
      <c r="D120" s="50" t="s">
        <v>397</v>
      </c>
      <c r="E120" s="50">
        <v>1</v>
      </c>
      <c r="F120" s="223">
        <v>17</v>
      </c>
      <c r="G120" s="50" t="s">
        <v>1377</v>
      </c>
      <c r="H120" s="50" t="s">
        <v>27</v>
      </c>
      <c r="I120" s="50"/>
      <c r="J120" s="224" t="s">
        <v>2683</v>
      </c>
      <c r="K120" s="52"/>
      <c r="L120" s="53"/>
      <c r="M120" s="4" t="str">
        <f t="shared" si="5"/>
        <v>INSERT INTO TransformationEngine_Field (FieldName, FieldDescription, SourceFieldName, DetailField, Length, Required, OutputFieldName, AllowedChars) VALUES ('Output UB Box 47', 'Total Charges', 'OCRDetailCharges',1, 17, 0, 'DTL_HOSP_SUBMITTED_AMOUNT', '0-9')</v>
      </c>
    </row>
    <row r="121" spans="1:13" x14ac:dyDescent="0.35">
      <c r="A121" s="36">
        <v>21015</v>
      </c>
      <c r="B121" s="9" t="s">
        <v>1508</v>
      </c>
      <c r="C121" s="9" t="s">
        <v>400</v>
      </c>
      <c r="D121" s="9" t="s">
        <v>401</v>
      </c>
      <c r="E121" s="9">
        <v>1</v>
      </c>
      <c r="F121" s="12">
        <v>15</v>
      </c>
      <c r="G121" s="9" t="s">
        <v>1377</v>
      </c>
      <c r="H121" s="9" t="s">
        <v>27</v>
      </c>
      <c r="I121" s="9"/>
      <c r="J121" s="17" t="s">
        <v>2685</v>
      </c>
      <c r="K121" s="16"/>
      <c r="L121" s="39"/>
      <c r="M121" s="4" t="str">
        <f t="shared" si="5"/>
        <v>INSERT INTO TransformationEngine_Field (FieldName, FieldDescription, SourceFieldName, DetailField, Length, Required, OutputFieldName, AllowedChars) VALUES ('Output UB Box 48', 'Non-Covered Charges', 'OCRNonCvdChgs',1, 15, 0, 'DTL_HOSP_NON_COVERED_CHARGES', '0-9')</v>
      </c>
    </row>
    <row r="122" spans="1:13" x14ac:dyDescent="0.35">
      <c r="A122" s="36">
        <v>21016</v>
      </c>
      <c r="B122" s="9" t="s">
        <v>1508</v>
      </c>
      <c r="C122" s="100" t="s">
        <v>2686</v>
      </c>
      <c r="D122" s="11" t="s">
        <v>198</v>
      </c>
      <c r="E122" s="9">
        <v>1</v>
      </c>
      <c r="F122" s="12">
        <v>17</v>
      </c>
      <c r="G122" s="9" t="s">
        <v>1377</v>
      </c>
      <c r="H122" s="9" t="s">
        <v>27</v>
      </c>
      <c r="I122" s="9"/>
      <c r="J122" s="17" t="s">
        <v>2687</v>
      </c>
      <c r="K122" s="16"/>
      <c r="L122" s="39"/>
      <c r="M122" s="4" t="str">
        <f t="shared" si="5"/>
        <v>INSERT INTO TransformationEngine_Field (FieldName, FieldDescription, SourceFieldName, DetailField, Length, Required, OutputFieldName, AllowedChars) VALUES ('Output UB Box 48', 'DETAIL LINE MEDICAID PAID AMOUNT', '???',1, 17, 0, 'DTL_HOSP_MEDICAID_PAID_AMOUNT', '0-9')</v>
      </c>
    </row>
    <row r="123" spans="1:13" x14ac:dyDescent="0.35">
      <c r="A123" s="36"/>
      <c r="B123" s="9" t="s">
        <v>1510</v>
      </c>
      <c r="C123" s="11" t="s">
        <v>198</v>
      </c>
      <c r="D123" s="9" t="s">
        <v>403</v>
      </c>
      <c r="E123" s="9">
        <v>1</v>
      </c>
      <c r="F123" s="12">
        <v>9</v>
      </c>
      <c r="G123" s="9" t="s">
        <v>1377</v>
      </c>
      <c r="H123" s="9" t="s">
        <v>27</v>
      </c>
      <c r="I123" s="9"/>
      <c r="J123" s="17"/>
      <c r="K123" s="16"/>
      <c r="L123" s="39"/>
    </row>
    <row r="124" spans="1:13" x14ac:dyDescent="0.35">
      <c r="A124" s="36">
        <v>21017</v>
      </c>
      <c r="B124" s="9" t="s">
        <v>1510</v>
      </c>
      <c r="C124" s="100" t="s">
        <v>2688</v>
      </c>
      <c r="D124" s="11" t="s">
        <v>198</v>
      </c>
      <c r="E124" s="9">
        <v>1</v>
      </c>
      <c r="F124" s="12">
        <v>17</v>
      </c>
      <c r="G124" s="9" t="s">
        <v>1377</v>
      </c>
      <c r="H124" s="9" t="s">
        <v>27</v>
      </c>
      <c r="I124" s="9"/>
      <c r="J124" s="17" t="s">
        <v>2689</v>
      </c>
      <c r="K124" s="16"/>
      <c r="L124" s="39"/>
      <c r="M124" s="4" t="str">
        <f t="shared" si="5"/>
        <v>INSERT INTO TransformationEngine_Field (FieldName, FieldDescription, SourceFieldName, DetailField, Length, Required, OutputFieldName, AllowedChars) VALUES ('Output UB Box 49', 'TOTAL CLAIM MEDICAID PAID AMOUNT', '???',1, 17, 0, 'CLM_MEDICAID_PAID_AMOUNT', '0-9')</v>
      </c>
    </row>
    <row r="125" spans="1:13" ht="4.4000000000000004" customHeight="1" x14ac:dyDescent="0.35">
      <c r="A125" s="40"/>
      <c r="B125" s="41"/>
      <c r="C125" s="41"/>
      <c r="D125" s="41"/>
      <c r="E125" s="41"/>
      <c r="F125" s="41"/>
      <c r="G125" s="41"/>
      <c r="H125" s="41"/>
      <c r="I125" s="41"/>
      <c r="J125" s="42"/>
      <c r="K125" s="43"/>
      <c r="L125" s="44"/>
      <c r="M125" s="45"/>
    </row>
    <row r="126" spans="1:13" x14ac:dyDescent="0.35">
      <c r="A126" s="36"/>
      <c r="B126" s="9" t="s">
        <v>2690</v>
      </c>
      <c r="C126" s="11" t="s">
        <v>405</v>
      </c>
      <c r="D126" s="9" t="s">
        <v>406</v>
      </c>
      <c r="E126" s="11">
        <v>0</v>
      </c>
      <c r="F126" s="11">
        <v>4</v>
      </c>
      <c r="G126" s="11" t="s">
        <v>1377</v>
      </c>
      <c r="H126" s="105" t="s">
        <v>27</v>
      </c>
      <c r="I126" s="105" t="s">
        <v>1377</v>
      </c>
      <c r="J126" s="106"/>
      <c r="K126" s="34"/>
      <c r="L126" s="39"/>
    </row>
    <row r="127" spans="1:13" x14ac:dyDescent="0.35">
      <c r="A127" s="36"/>
      <c r="B127" s="9" t="s">
        <v>2690</v>
      </c>
      <c r="C127" s="11" t="s">
        <v>407</v>
      </c>
      <c r="D127" s="9" t="s">
        <v>408</v>
      </c>
      <c r="E127" s="11">
        <v>0</v>
      </c>
      <c r="F127" s="11">
        <v>2</v>
      </c>
      <c r="G127" s="104" t="s">
        <v>1377</v>
      </c>
      <c r="H127" s="79" t="s">
        <v>27</v>
      </c>
      <c r="I127" s="79" t="s">
        <v>1377</v>
      </c>
      <c r="J127" s="31"/>
      <c r="K127" s="34"/>
      <c r="L127" s="39"/>
    </row>
    <row r="128" spans="1:13" x14ac:dyDescent="0.35">
      <c r="A128" s="36"/>
      <c r="B128" s="9" t="s">
        <v>2690</v>
      </c>
      <c r="C128" s="11" t="s">
        <v>409</v>
      </c>
      <c r="D128" s="9" t="s">
        <v>410</v>
      </c>
      <c r="E128" s="11">
        <v>0</v>
      </c>
      <c r="F128" s="11">
        <v>2</v>
      </c>
      <c r="G128" s="104" t="s">
        <v>1377</v>
      </c>
      <c r="H128" s="79" t="s">
        <v>27</v>
      </c>
      <c r="I128" s="79" t="s">
        <v>1377</v>
      </c>
      <c r="J128" s="31"/>
      <c r="K128" s="34"/>
      <c r="L128" s="39"/>
    </row>
    <row r="129" spans="1:13" x14ac:dyDescent="0.35">
      <c r="A129" s="36"/>
      <c r="B129" s="9" t="s">
        <v>2690</v>
      </c>
      <c r="C129" s="11" t="s">
        <v>411</v>
      </c>
      <c r="D129" s="9" t="s">
        <v>412</v>
      </c>
      <c r="E129" s="11">
        <v>0</v>
      </c>
      <c r="F129" s="11">
        <v>10</v>
      </c>
      <c r="G129" s="104" t="s">
        <v>1377</v>
      </c>
      <c r="H129" s="79" t="s">
        <v>27</v>
      </c>
      <c r="I129" s="79" t="s">
        <v>1377</v>
      </c>
      <c r="J129" s="59"/>
      <c r="K129" s="16" t="s">
        <v>2575</v>
      </c>
      <c r="L129" s="39"/>
    </row>
    <row r="130" spans="1:13" ht="29" x14ac:dyDescent="0.35">
      <c r="A130" s="36">
        <v>20295</v>
      </c>
      <c r="B130" s="9" t="s">
        <v>2690</v>
      </c>
      <c r="C130" s="9" t="s">
        <v>396</v>
      </c>
      <c r="D130" s="9" t="s">
        <v>413</v>
      </c>
      <c r="E130" s="9">
        <v>0</v>
      </c>
      <c r="F130" s="9">
        <v>17</v>
      </c>
      <c r="G130" s="18" t="s">
        <v>1377</v>
      </c>
      <c r="H130" s="59" t="s">
        <v>27</v>
      </c>
      <c r="I130" s="59" t="s">
        <v>1377</v>
      </c>
      <c r="J130" s="59" t="s">
        <v>2691</v>
      </c>
      <c r="K130" s="61" t="s">
        <v>2692</v>
      </c>
      <c r="L130" s="39"/>
      <c r="M130" s="4" t="e">
        <f>CONCATENATE("INSERT INTO TransformationEngine_Field (FieldName, FieldDescription, SourceFieldName, DetailField, Length, Required, OutputFieldName, AllowedChars) VALUES ('", B130, "', '", C130, "', '", D130, "',", E130, ", ", F130, ", 0, '",#REF!, "', '", H130, "')")</f>
        <v>#REF!</v>
      </c>
    </row>
    <row r="131" spans="1:13" x14ac:dyDescent="0.35">
      <c r="A131" s="38">
        <v>20296</v>
      </c>
      <c r="B131" s="4" t="s">
        <v>2690</v>
      </c>
      <c r="C131" s="4" t="s">
        <v>396</v>
      </c>
      <c r="D131" s="4" t="s">
        <v>413</v>
      </c>
      <c r="E131" s="4">
        <v>0</v>
      </c>
      <c r="F131" s="4">
        <v>17</v>
      </c>
      <c r="H131" s="59" t="s">
        <v>2693</v>
      </c>
      <c r="I131" s="59"/>
      <c r="J131" s="59" t="s">
        <v>2694</v>
      </c>
    </row>
    <row r="132" spans="1:13" x14ac:dyDescent="0.35">
      <c r="A132" s="36"/>
      <c r="B132" s="9" t="s">
        <v>2690</v>
      </c>
      <c r="C132" s="11" t="s">
        <v>414</v>
      </c>
      <c r="D132" s="9" t="s">
        <v>415</v>
      </c>
      <c r="E132" s="11">
        <v>0</v>
      </c>
      <c r="F132" s="11">
        <v>17</v>
      </c>
      <c r="G132" s="104" t="s">
        <v>1377</v>
      </c>
      <c r="H132" s="79" t="s">
        <v>27</v>
      </c>
      <c r="I132" s="79" t="s">
        <v>1377</v>
      </c>
      <c r="J132" s="31"/>
      <c r="K132" s="34"/>
      <c r="L132" s="39"/>
    </row>
    <row r="133" spans="1:13" x14ac:dyDescent="0.35">
      <c r="A133" s="36"/>
      <c r="B133" s="9" t="s">
        <v>2690</v>
      </c>
      <c r="C133" s="11" t="s">
        <v>2695</v>
      </c>
      <c r="D133" s="11" t="s">
        <v>416</v>
      </c>
      <c r="E133" s="11">
        <v>0</v>
      </c>
      <c r="F133" s="11">
        <v>13</v>
      </c>
      <c r="G133" s="104" t="s">
        <v>1377</v>
      </c>
      <c r="H133" s="79" t="s">
        <v>27</v>
      </c>
      <c r="I133" s="79" t="s">
        <v>1377</v>
      </c>
      <c r="J133" s="31"/>
      <c r="K133" s="34"/>
      <c r="L133" s="39"/>
    </row>
    <row r="134" spans="1:13" x14ac:dyDescent="0.35">
      <c r="A134" s="36">
        <v>20104</v>
      </c>
      <c r="B134" s="9" t="s">
        <v>1511</v>
      </c>
      <c r="C134" s="9" t="s">
        <v>418</v>
      </c>
      <c r="D134" s="9" t="s">
        <v>419</v>
      </c>
      <c r="E134" s="9">
        <v>0</v>
      </c>
      <c r="F134" s="9">
        <v>25</v>
      </c>
      <c r="G134" s="18" t="s">
        <v>1377</v>
      </c>
      <c r="H134" s="59" t="s">
        <v>61</v>
      </c>
      <c r="I134" s="59" t="s">
        <v>1377</v>
      </c>
      <c r="J134" s="98" t="s">
        <v>2696</v>
      </c>
      <c r="K134" s="16"/>
      <c r="L134" s="39"/>
      <c r="M134" s="4" t="str">
        <f t="shared" ref="M134:M169" si="6">CONCATENATE("INSERT INTO TransformationEngine_Field (FieldName, FieldDescription, SourceFieldName, DetailField, Length, Required, OutputFieldName, AllowedChars) VALUES ('", B134, "', '", C134, "', '", D134, "',", E134, ", ", F134, ", 0, '", J134, "', '", H134, "')")</f>
        <v>INSERT INTO TransformationEngine_Field (FieldName, FieldDescription, SourceFieldName, DetailField, Length, Required, OutputFieldName, AllowedChars) VALUES ('Output UB Box 50A', 'Payer Name A', 'OCRPayersA',0, 25, 0, 'CLM_INS_PLAN_NAME_A', ' ,A-Z')</v>
      </c>
    </row>
    <row r="135" spans="1:13" x14ac:dyDescent="0.35">
      <c r="A135" s="36">
        <v>20105</v>
      </c>
      <c r="B135" s="9" t="s">
        <v>1511</v>
      </c>
      <c r="C135" s="9" t="s">
        <v>418</v>
      </c>
      <c r="D135" s="9" t="s">
        <v>419</v>
      </c>
      <c r="E135" s="9">
        <v>0</v>
      </c>
      <c r="F135" s="9">
        <v>17</v>
      </c>
      <c r="G135" s="18" t="s">
        <v>1377</v>
      </c>
      <c r="H135" s="59" t="s">
        <v>61</v>
      </c>
      <c r="I135" s="59" t="s">
        <v>1377</v>
      </c>
      <c r="J135" s="98" t="s">
        <v>2697</v>
      </c>
      <c r="K135" s="16"/>
      <c r="L135" s="39"/>
      <c r="M135" s="4" t="str">
        <f t="shared" si="6"/>
        <v>INSERT INTO TransformationEngine_Field (FieldName, FieldDescription, SourceFieldName, DetailField, Length, Required, OutputFieldName, AllowedChars) VALUES ('Output UB Box 50A', 'Payer Name A', 'OCRPayersA',0, 17, 0, 'CLM_COB_OTHER_PLAN_NAME_A', ' ,A-Z')</v>
      </c>
    </row>
    <row r="136" spans="1:13" x14ac:dyDescent="0.35">
      <c r="A136" s="36">
        <v>20106</v>
      </c>
      <c r="B136" s="9" t="s">
        <v>1511</v>
      </c>
      <c r="C136" s="9" t="s">
        <v>418</v>
      </c>
      <c r="D136" s="9" t="s">
        <v>419</v>
      </c>
      <c r="E136" s="9">
        <v>0</v>
      </c>
      <c r="F136" s="9">
        <v>1</v>
      </c>
      <c r="G136" s="18" t="s">
        <v>1377</v>
      </c>
      <c r="H136" s="59" t="s">
        <v>61</v>
      </c>
      <c r="I136" s="59" t="s">
        <v>1377</v>
      </c>
      <c r="J136" s="98" t="s">
        <v>2698</v>
      </c>
      <c r="K136" s="16"/>
      <c r="L136" s="39"/>
      <c r="M136" s="4" t="str">
        <f t="shared" si="6"/>
        <v>INSERT INTO TransformationEngine_Field (FieldName, FieldDescription, SourceFieldName, DetailField, Length, Required, OutputFieldName, AllowedChars) VALUES ('Output UB Box 50A', 'Payer Name A', 'OCRPayersA',0, 1, 0, 'CLM_COB_OTHER_INS_IND_A', ' ,A-Z')</v>
      </c>
    </row>
    <row r="137" spans="1:13" x14ac:dyDescent="0.35">
      <c r="A137" s="36">
        <v>20107</v>
      </c>
      <c r="B137" s="9" t="s">
        <v>1513</v>
      </c>
      <c r="C137" s="9" t="s">
        <v>422</v>
      </c>
      <c r="D137" s="9" t="s">
        <v>423</v>
      </c>
      <c r="E137" s="9">
        <v>0</v>
      </c>
      <c r="F137" s="9">
        <v>25</v>
      </c>
      <c r="G137" s="18" t="s">
        <v>1377</v>
      </c>
      <c r="H137" s="59" t="s">
        <v>61</v>
      </c>
      <c r="I137" s="59" t="s">
        <v>1377</v>
      </c>
      <c r="J137" s="98" t="s">
        <v>2699</v>
      </c>
      <c r="K137" s="16"/>
      <c r="L137" s="39"/>
      <c r="M137" s="4" t="str">
        <f t="shared" si="6"/>
        <v>INSERT INTO TransformationEngine_Field (FieldName, FieldDescription, SourceFieldName, DetailField, Length, Required, OutputFieldName, AllowedChars) VALUES ('Output UB Box 50B', 'Payer Name B', 'OCRPayersB',0, 25, 0, 'CLM_INS_PLAN_NAME_B', ' ,A-Z')</v>
      </c>
    </row>
    <row r="138" spans="1:13" x14ac:dyDescent="0.35">
      <c r="A138" s="36">
        <v>20108</v>
      </c>
      <c r="B138" s="9" t="s">
        <v>1513</v>
      </c>
      <c r="C138" s="9" t="s">
        <v>422</v>
      </c>
      <c r="D138" s="9" t="s">
        <v>423</v>
      </c>
      <c r="E138" s="9">
        <v>0</v>
      </c>
      <c r="F138" s="9">
        <v>17</v>
      </c>
      <c r="G138" s="18" t="s">
        <v>1377</v>
      </c>
      <c r="H138" s="59" t="s">
        <v>61</v>
      </c>
      <c r="I138" s="59" t="s">
        <v>1377</v>
      </c>
      <c r="J138" s="98" t="s">
        <v>2700</v>
      </c>
      <c r="K138" s="16"/>
      <c r="L138" s="39"/>
      <c r="M138" s="4" t="str">
        <f t="shared" si="6"/>
        <v>INSERT INTO TransformationEngine_Field (FieldName, FieldDescription, SourceFieldName, DetailField, Length, Required, OutputFieldName, AllowedChars) VALUES ('Output UB Box 50B', 'Payer Name B', 'OCRPayersB',0, 17, 0, 'CLM_COB_OTHER_PLAN_NAME_B', ' ,A-Z')</v>
      </c>
    </row>
    <row r="139" spans="1:13" x14ac:dyDescent="0.35">
      <c r="A139" s="36">
        <v>20109</v>
      </c>
      <c r="B139" s="9" t="s">
        <v>1513</v>
      </c>
      <c r="C139" s="9" t="s">
        <v>422</v>
      </c>
      <c r="D139" s="9" t="s">
        <v>423</v>
      </c>
      <c r="E139" s="9">
        <v>0</v>
      </c>
      <c r="F139" s="9">
        <v>1</v>
      </c>
      <c r="G139" s="18" t="s">
        <v>1377</v>
      </c>
      <c r="H139" s="59" t="s">
        <v>61</v>
      </c>
      <c r="I139" s="59" t="s">
        <v>1377</v>
      </c>
      <c r="J139" s="98" t="s">
        <v>2701</v>
      </c>
      <c r="K139" s="16"/>
      <c r="L139" s="39"/>
      <c r="M139" s="4" t="str">
        <f t="shared" si="6"/>
        <v>INSERT INTO TransformationEngine_Field (FieldName, FieldDescription, SourceFieldName, DetailField, Length, Required, OutputFieldName, AllowedChars) VALUES ('Output UB Box 50B', 'Payer Name B', 'OCRPayersB',0, 1, 0, 'CLM_COB_OTHER_INS_IND_B', ' ,A-Z')</v>
      </c>
    </row>
    <row r="140" spans="1:13" x14ac:dyDescent="0.35">
      <c r="A140" s="36">
        <v>20110</v>
      </c>
      <c r="B140" s="9" t="s">
        <v>1514</v>
      </c>
      <c r="C140" s="9" t="s">
        <v>425</v>
      </c>
      <c r="D140" s="9" t="s">
        <v>426</v>
      </c>
      <c r="E140" s="9">
        <v>0</v>
      </c>
      <c r="F140" s="9">
        <v>25</v>
      </c>
      <c r="G140" s="18" t="s">
        <v>1377</v>
      </c>
      <c r="H140" s="59" t="s">
        <v>61</v>
      </c>
      <c r="I140" s="59" t="s">
        <v>1377</v>
      </c>
      <c r="J140" s="98" t="s">
        <v>2702</v>
      </c>
      <c r="K140" s="16"/>
      <c r="L140" s="39"/>
      <c r="M140" s="4" t="str">
        <f t="shared" si="6"/>
        <v>INSERT INTO TransformationEngine_Field (FieldName, FieldDescription, SourceFieldName, DetailField, Length, Required, OutputFieldName, AllowedChars) VALUES ('Output UB Box 50C', 'Payer Name C', 'OCRPayersC',0, 25, 0, 'CLM_INS_PLAN_NAME_C', ' ,A-Z')</v>
      </c>
    </row>
    <row r="141" spans="1:13" x14ac:dyDescent="0.35">
      <c r="A141" s="36">
        <v>20111</v>
      </c>
      <c r="B141" s="9" t="s">
        <v>1514</v>
      </c>
      <c r="C141" s="9" t="s">
        <v>425</v>
      </c>
      <c r="D141" s="9" t="s">
        <v>426</v>
      </c>
      <c r="E141" s="9">
        <v>0</v>
      </c>
      <c r="F141" s="9">
        <v>17</v>
      </c>
      <c r="G141" s="9" t="s">
        <v>1377</v>
      </c>
      <c r="H141" s="107" t="s">
        <v>61</v>
      </c>
      <c r="I141" s="107" t="s">
        <v>1377</v>
      </c>
      <c r="J141" s="108" t="s">
        <v>2703</v>
      </c>
      <c r="K141" s="16"/>
      <c r="L141" s="39"/>
      <c r="M141" s="4" t="str">
        <f t="shared" si="6"/>
        <v>INSERT INTO TransformationEngine_Field (FieldName, FieldDescription, SourceFieldName, DetailField, Length, Required, OutputFieldName, AllowedChars) VALUES ('Output UB Box 50C', 'Payer Name C', 'OCRPayersC',0, 17, 0, 'CLM_COB_OTHER_PLAN_NAME_C', ' ,A-Z')</v>
      </c>
    </row>
    <row r="142" spans="1:13" x14ac:dyDescent="0.35">
      <c r="A142" s="109">
        <v>20112</v>
      </c>
      <c r="B142" s="110" t="s">
        <v>1514</v>
      </c>
      <c r="C142" s="110" t="s">
        <v>425</v>
      </c>
      <c r="D142" s="110" t="s">
        <v>426</v>
      </c>
      <c r="E142" s="110">
        <v>0</v>
      </c>
      <c r="F142" s="110">
        <v>1</v>
      </c>
      <c r="G142" s="110" t="s">
        <v>1377</v>
      </c>
      <c r="H142" s="110" t="s">
        <v>61</v>
      </c>
      <c r="I142" s="110" t="s">
        <v>1377</v>
      </c>
      <c r="J142" s="111" t="s">
        <v>2704</v>
      </c>
      <c r="K142" s="112"/>
      <c r="L142" s="113"/>
      <c r="M142" s="4" t="str">
        <f t="shared" si="6"/>
        <v>INSERT INTO TransformationEngine_Field (FieldName, FieldDescription, SourceFieldName, DetailField, Length, Required, OutputFieldName, AllowedChars) VALUES ('Output UB Box 50C', 'Payer Name C', 'OCRPayersC',0, 1, 0, 'CLM_COB_OTHER_INS_IND_C', ' ,A-Z')</v>
      </c>
    </row>
    <row r="143" spans="1:13" x14ac:dyDescent="0.35">
      <c r="A143" s="117">
        <v>20298</v>
      </c>
      <c r="B143" s="59" t="s">
        <v>2705</v>
      </c>
      <c r="C143" s="59" t="s">
        <v>2706</v>
      </c>
      <c r="D143" s="59" t="s">
        <v>429</v>
      </c>
      <c r="E143" s="59">
        <v>0</v>
      </c>
      <c r="F143" s="59">
        <v>25</v>
      </c>
      <c r="G143" s="59"/>
      <c r="H143" s="59" t="s">
        <v>2707</v>
      </c>
      <c r="I143" s="59"/>
      <c r="J143" s="59" t="s">
        <v>2708</v>
      </c>
      <c r="K143" s="59"/>
      <c r="L143" s="61"/>
    </row>
    <row r="144" spans="1:13" x14ac:dyDescent="0.35">
      <c r="A144" s="117">
        <v>20299</v>
      </c>
      <c r="B144" s="59" t="s">
        <v>2705</v>
      </c>
      <c r="C144" s="59" t="s">
        <v>2709</v>
      </c>
      <c r="D144" s="59" t="s">
        <v>431</v>
      </c>
      <c r="E144" s="59">
        <v>0</v>
      </c>
      <c r="F144" s="59">
        <v>17</v>
      </c>
      <c r="G144" s="59"/>
      <c r="H144" s="59" t="s">
        <v>2707</v>
      </c>
      <c r="I144" s="59"/>
      <c r="J144" s="59" t="s">
        <v>2710</v>
      </c>
      <c r="K144" s="59"/>
      <c r="L144" s="61"/>
    </row>
    <row r="145" spans="1:13" x14ac:dyDescent="0.35">
      <c r="A145" s="114">
        <v>20113</v>
      </c>
      <c r="B145" s="107" t="s">
        <v>1515</v>
      </c>
      <c r="C145" s="107" t="s">
        <v>433</v>
      </c>
      <c r="D145" s="107" t="s">
        <v>434</v>
      </c>
      <c r="E145" s="107">
        <v>0</v>
      </c>
      <c r="F145" s="107">
        <v>17</v>
      </c>
      <c r="G145" s="107" t="s">
        <v>1377</v>
      </c>
      <c r="H145" s="107" t="s">
        <v>71</v>
      </c>
      <c r="I145" s="107" t="s">
        <v>1377</v>
      </c>
      <c r="J145" s="108" t="s">
        <v>2711</v>
      </c>
      <c r="K145" s="115"/>
      <c r="L145" s="116"/>
      <c r="M145" s="4" t="str">
        <f t="shared" si="6"/>
        <v>INSERT INTO TransformationEngine_Field (FieldName, FieldDescription, SourceFieldName, DetailField, Length, Required, OutputFieldName, AllowedChars) VALUES ('Output UB Box 51A', 'Health Plan ID A', 'OCRProviderNosA',0, 17, 0, 'CLM_SERV_PROV_UPIN_A', 'A-Z,0-9')</v>
      </c>
    </row>
    <row r="146" spans="1:13" x14ac:dyDescent="0.35">
      <c r="A146" s="36">
        <v>20114</v>
      </c>
      <c r="B146" s="9" t="s">
        <v>1517</v>
      </c>
      <c r="C146" s="9" t="s">
        <v>436</v>
      </c>
      <c r="D146" s="9" t="s">
        <v>434</v>
      </c>
      <c r="E146" s="9">
        <v>0</v>
      </c>
      <c r="F146" s="9">
        <v>17</v>
      </c>
      <c r="G146" s="9" t="s">
        <v>1377</v>
      </c>
      <c r="H146" s="9" t="s">
        <v>71</v>
      </c>
      <c r="I146" s="9" t="s">
        <v>1377</v>
      </c>
      <c r="J146" s="98" t="s">
        <v>2712</v>
      </c>
      <c r="K146" s="16"/>
      <c r="L146" s="39"/>
      <c r="M146" s="4" t="str">
        <f t="shared" si="6"/>
        <v>INSERT INTO TransformationEngine_Field (FieldName, FieldDescription, SourceFieldName, DetailField, Length, Required, OutputFieldName, AllowedChars) VALUES ('Output UB Box 51B', 'Health Plan ID B', 'OCRProviderNosA',0, 17, 0, 'CLM_SERV_PROV_UPIN_B', 'A-Z,0-9')</v>
      </c>
    </row>
    <row r="147" spans="1:13" x14ac:dyDescent="0.35">
      <c r="A147" s="109">
        <v>20115</v>
      </c>
      <c r="B147" s="110" t="s">
        <v>1518</v>
      </c>
      <c r="C147" s="110" t="s">
        <v>436</v>
      </c>
      <c r="D147" s="110" t="s">
        <v>434</v>
      </c>
      <c r="E147" s="110">
        <v>0</v>
      </c>
      <c r="F147" s="110">
        <v>17</v>
      </c>
      <c r="G147" s="110" t="s">
        <v>1377</v>
      </c>
      <c r="H147" s="110" t="s">
        <v>71</v>
      </c>
      <c r="I147" s="110" t="s">
        <v>1377</v>
      </c>
      <c r="J147" s="111" t="s">
        <v>2713</v>
      </c>
      <c r="K147" s="112"/>
      <c r="L147" s="113"/>
      <c r="M147" s="4" t="str">
        <f t="shared" si="6"/>
        <v>INSERT INTO TransformationEngine_Field (FieldName, FieldDescription, SourceFieldName, DetailField, Length, Required, OutputFieldName, AllowedChars) VALUES ('Output UB Box 51C', 'Health Plan ID B', 'OCRProviderNosA',0, 17, 0, 'CLM_SERV_PROV_UPIN_C', 'A-Z,0-9')</v>
      </c>
    </row>
    <row r="148" spans="1:13" x14ac:dyDescent="0.35">
      <c r="A148" s="117">
        <v>20300</v>
      </c>
      <c r="B148" s="59" t="s">
        <v>2714</v>
      </c>
      <c r="C148" s="59" t="s">
        <v>2715</v>
      </c>
      <c r="D148" s="59"/>
      <c r="E148" s="59">
        <v>0</v>
      </c>
      <c r="F148" s="59">
        <v>17</v>
      </c>
      <c r="G148" s="59"/>
      <c r="H148" s="59" t="s">
        <v>2707</v>
      </c>
      <c r="I148" s="59"/>
      <c r="J148" s="59" t="s">
        <v>2716</v>
      </c>
      <c r="K148" s="59"/>
      <c r="L148" s="61"/>
    </row>
    <row r="149" spans="1:13" x14ac:dyDescent="0.35">
      <c r="A149" s="114">
        <v>20116</v>
      </c>
      <c r="B149" s="107" t="s">
        <v>1519</v>
      </c>
      <c r="C149" s="107" t="s">
        <v>442</v>
      </c>
      <c r="D149" s="107" t="s">
        <v>443</v>
      </c>
      <c r="E149" s="107">
        <v>0</v>
      </c>
      <c r="F149" s="107">
        <v>1</v>
      </c>
      <c r="G149" s="107" t="s">
        <v>1377</v>
      </c>
      <c r="H149" s="107" t="s">
        <v>1520</v>
      </c>
      <c r="I149" s="107" t="s">
        <v>1520</v>
      </c>
      <c r="J149" s="108" t="s">
        <v>2717</v>
      </c>
      <c r="K149" s="115"/>
      <c r="L149" s="116"/>
      <c r="M149" s="4" t="str">
        <f t="shared" si="6"/>
        <v>INSERT INTO TransformationEngine_Field (FieldName, FieldDescription, SourceFieldName, DetailField, Length, Required, OutputFieldName, AllowedChars) VALUES ('Output UB Box 52A', 'Release Info A', 'OCRRelInfoIndsA',0, 1, 0, 'CLM_RELEASE_OF_INFO_IND_A', 'Y, ,N')</v>
      </c>
    </row>
    <row r="150" spans="1:13" x14ac:dyDescent="0.35">
      <c r="A150" s="36">
        <v>20117</v>
      </c>
      <c r="B150" s="9" t="s">
        <v>1522</v>
      </c>
      <c r="C150" s="9" t="s">
        <v>445</v>
      </c>
      <c r="D150" s="9" t="s">
        <v>446</v>
      </c>
      <c r="E150" s="9">
        <v>0</v>
      </c>
      <c r="F150" s="9">
        <v>1</v>
      </c>
      <c r="G150" s="9" t="s">
        <v>1377</v>
      </c>
      <c r="H150" s="9" t="s">
        <v>1520</v>
      </c>
      <c r="I150" s="9" t="s">
        <v>1520</v>
      </c>
      <c r="J150" s="98" t="s">
        <v>2718</v>
      </c>
      <c r="K150" s="16"/>
      <c r="L150" s="39"/>
      <c r="M150" s="4" t="str">
        <f t="shared" si="6"/>
        <v>INSERT INTO TransformationEngine_Field (FieldName, FieldDescription, SourceFieldName, DetailField, Length, Required, OutputFieldName, AllowedChars) VALUES ('Output UB Box 52B', 'Release Info B', 'OCRRelInfoIndsB',0, 1, 0, 'CLM_RELEASE_OF_INFO_IND_B', 'Y, ,N')</v>
      </c>
    </row>
    <row r="151" spans="1:13" x14ac:dyDescent="0.35">
      <c r="A151" s="36">
        <v>20118</v>
      </c>
      <c r="B151" s="9" t="s">
        <v>1523</v>
      </c>
      <c r="C151" s="9" t="s">
        <v>448</v>
      </c>
      <c r="D151" s="9" t="s">
        <v>449</v>
      </c>
      <c r="E151" s="9">
        <v>0</v>
      </c>
      <c r="F151" s="9">
        <v>1</v>
      </c>
      <c r="G151" s="9" t="s">
        <v>1377</v>
      </c>
      <c r="H151" s="9" t="s">
        <v>1520</v>
      </c>
      <c r="I151" s="9" t="s">
        <v>1520</v>
      </c>
      <c r="J151" s="98" t="s">
        <v>2719</v>
      </c>
      <c r="K151" s="16"/>
      <c r="L151" s="39"/>
      <c r="M151" s="4" t="str">
        <f t="shared" si="6"/>
        <v>INSERT INTO TransformationEngine_Field (FieldName, FieldDescription, SourceFieldName, DetailField, Length, Required, OutputFieldName, AllowedChars) VALUES ('Output UB Box 52C', 'Release Info C', 'OCRRelInfoIndsC',0, 1, 0, 'CLM_RELEASE_OF_INFO_IND_C', 'Y, ,N')</v>
      </c>
    </row>
    <row r="152" spans="1:13" x14ac:dyDescent="0.35">
      <c r="A152" s="117">
        <v>20301</v>
      </c>
      <c r="B152" s="59" t="s">
        <v>2720</v>
      </c>
      <c r="C152" s="59" t="s">
        <v>2721</v>
      </c>
      <c r="D152" s="59"/>
      <c r="E152" s="59">
        <v>0</v>
      </c>
      <c r="F152" s="59">
        <v>1</v>
      </c>
      <c r="G152" s="59" t="s">
        <v>611</v>
      </c>
      <c r="H152" s="59" t="s">
        <v>1520</v>
      </c>
      <c r="I152" s="59" t="s">
        <v>1520</v>
      </c>
      <c r="J152" s="59" t="s">
        <v>2722</v>
      </c>
      <c r="K152" s="59"/>
      <c r="L152" s="61"/>
    </row>
    <row r="153" spans="1:13" x14ac:dyDescent="0.35">
      <c r="A153" s="36">
        <v>20119</v>
      </c>
      <c r="B153" s="9" t="s">
        <v>1524</v>
      </c>
      <c r="C153" s="9" t="s">
        <v>451</v>
      </c>
      <c r="D153" s="9" t="s">
        <v>452</v>
      </c>
      <c r="E153" s="9">
        <v>0</v>
      </c>
      <c r="F153" s="9">
        <v>1</v>
      </c>
      <c r="G153" s="9" t="s">
        <v>1377</v>
      </c>
      <c r="H153" s="9" t="s">
        <v>2723</v>
      </c>
      <c r="I153" s="9" t="s">
        <v>2723</v>
      </c>
      <c r="J153" s="98" t="s">
        <v>2724</v>
      </c>
      <c r="K153" s="16"/>
      <c r="L153" s="39"/>
      <c r="M153" s="4" t="str">
        <f t="shared" si="6"/>
        <v>INSERT INTO TransformationEngine_Field (FieldName, FieldDescription, SourceFieldName, DetailField, Length, Required, OutputFieldName, AllowedChars) VALUES ('Output UB Box 53A', 'Assignment of Benefits A', 'OCRBenAssignIndsA',0, 1, 0, 'CLM_PROVIDER_ASSIGNMENT_CODE_A', 'A')</v>
      </c>
    </row>
    <row r="154" spans="1:13" x14ac:dyDescent="0.35">
      <c r="A154" s="36">
        <v>20120</v>
      </c>
      <c r="B154" s="9" t="s">
        <v>1526</v>
      </c>
      <c r="C154" s="9" t="s">
        <v>454</v>
      </c>
      <c r="D154" s="9" t="s">
        <v>455</v>
      </c>
      <c r="E154" s="9">
        <v>0</v>
      </c>
      <c r="F154" s="9">
        <v>1</v>
      </c>
      <c r="G154" s="9" t="s">
        <v>1377</v>
      </c>
      <c r="H154" s="9" t="s">
        <v>2723</v>
      </c>
      <c r="I154" s="9" t="s">
        <v>2723</v>
      </c>
      <c r="J154" s="98" t="s">
        <v>2725</v>
      </c>
      <c r="K154" s="16"/>
      <c r="L154" s="39"/>
      <c r="M154" s="4" t="str">
        <f t="shared" si="6"/>
        <v>INSERT INTO TransformationEngine_Field (FieldName, FieldDescription, SourceFieldName, DetailField, Length, Required, OutputFieldName, AllowedChars) VALUES ('Output UB Box 53B', 'Assignment of Benefits B', 'OCRBenAssignIndsB',0, 1, 0, 'CLM_PROVIDER_ASSIGNMENT_CODE_B', 'A')</v>
      </c>
    </row>
    <row r="155" spans="1:13" x14ac:dyDescent="0.35">
      <c r="A155" s="36">
        <v>20121</v>
      </c>
      <c r="B155" s="9" t="s">
        <v>1527</v>
      </c>
      <c r="C155" s="9" t="s">
        <v>457</v>
      </c>
      <c r="D155" s="9" t="s">
        <v>458</v>
      </c>
      <c r="E155" s="9">
        <v>0</v>
      </c>
      <c r="F155" s="9">
        <v>1</v>
      </c>
      <c r="G155" s="9" t="s">
        <v>1377</v>
      </c>
      <c r="H155" s="9" t="s">
        <v>2723</v>
      </c>
      <c r="I155" s="9" t="s">
        <v>2723</v>
      </c>
      <c r="J155" s="98" t="s">
        <v>2726</v>
      </c>
      <c r="K155" s="16"/>
      <c r="L155" s="39"/>
      <c r="M155" s="4" t="str">
        <f t="shared" si="6"/>
        <v>INSERT INTO TransformationEngine_Field (FieldName, FieldDescription, SourceFieldName, DetailField, Length, Required, OutputFieldName, AllowedChars) VALUES ('Output UB Box 53C', 'Assignment of Benefits C', 'OCRBenAssignIndsC',0, 1, 0, 'CLM_PROVIDER_ASSIGNMENT_CODE_C', 'A')</v>
      </c>
    </row>
    <row r="156" spans="1:13" x14ac:dyDescent="0.35">
      <c r="A156" s="117">
        <v>20302</v>
      </c>
      <c r="B156" s="59" t="s">
        <v>2727</v>
      </c>
      <c r="C156" s="59" t="s">
        <v>2728</v>
      </c>
      <c r="D156" s="59"/>
      <c r="E156" s="59">
        <v>0</v>
      </c>
      <c r="F156" s="59">
        <v>1</v>
      </c>
      <c r="G156" s="59" t="s">
        <v>2723</v>
      </c>
      <c r="H156" s="59" t="s">
        <v>2729</v>
      </c>
      <c r="I156" s="59" t="s">
        <v>2729</v>
      </c>
      <c r="J156" s="59" t="s">
        <v>2730</v>
      </c>
      <c r="K156" s="59"/>
      <c r="L156" s="61"/>
    </row>
    <row r="157" spans="1:13" x14ac:dyDescent="0.35">
      <c r="A157" s="36">
        <v>20122</v>
      </c>
      <c r="B157" s="9" t="s">
        <v>1528</v>
      </c>
      <c r="C157" s="9" t="s">
        <v>460</v>
      </c>
      <c r="D157" s="9" t="s">
        <v>461</v>
      </c>
      <c r="E157" s="9">
        <v>0</v>
      </c>
      <c r="F157" s="12">
        <v>17</v>
      </c>
      <c r="G157" s="9" t="s">
        <v>1377</v>
      </c>
      <c r="H157" s="9" t="s">
        <v>27</v>
      </c>
      <c r="I157" s="9" t="s">
        <v>1377</v>
      </c>
      <c r="J157" s="98" t="s">
        <v>2731</v>
      </c>
      <c r="K157" s="16"/>
      <c r="L157" s="39"/>
      <c r="M157" s="4" t="str">
        <f t="shared" si="6"/>
        <v>INSERT INTO TransformationEngine_Field (FieldName, FieldDescription, SourceFieldName, DetailField, Length, Required, OutputFieldName, AllowedChars) VALUES ('Output UB Box 54A', 'Prior Payments A', 'OCRPriorPaymentsA',0, 17, 0, 'CLM_COB_OTHER_INSURED_AMT_A', '0-9')</v>
      </c>
    </row>
    <row r="158" spans="1:13" x14ac:dyDescent="0.35">
      <c r="A158" s="36">
        <v>20123</v>
      </c>
      <c r="B158" s="9" t="s">
        <v>1530</v>
      </c>
      <c r="C158" s="9" t="s">
        <v>463</v>
      </c>
      <c r="D158" s="9" t="s">
        <v>464</v>
      </c>
      <c r="E158" s="9">
        <v>0</v>
      </c>
      <c r="F158" s="12">
        <v>17</v>
      </c>
      <c r="G158" s="9" t="s">
        <v>1377</v>
      </c>
      <c r="H158" s="9" t="s">
        <v>27</v>
      </c>
      <c r="I158" s="9" t="s">
        <v>1377</v>
      </c>
      <c r="J158" s="98" t="s">
        <v>2732</v>
      </c>
      <c r="K158" s="16"/>
      <c r="L158" s="39"/>
      <c r="M158" s="4" t="str">
        <f t="shared" si="6"/>
        <v>INSERT INTO TransformationEngine_Field (FieldName, FieldDescription, SourceFieldName, DetailField, Length, Required, OutputFieldName, AllowedChars) VALUES ('Output UB Box 54B', 'Prior Payments B', 'OCRPriorPaymentsB',0, 17, 0, 'CLM_COB_OTHER_INSURED_AMT_B', '0-9')</v>
      </c>
    </row>
    <row r="159" spans="1:13" x14ac:dyDescent="0.35">
      <c r="A159" s="36">
        <v>20124</v>
      </c>
      <c r="B159" s="9" t="s">
        <v>1531</v>
      </c>
      <c r="C159" s="9" t="s">
        <v>466</v>
      </c>
      <c r="D159" s="9" t="s">
        <v>467</v>
      </c>
      <c r="E159" s="9">
        <v>0</v>
      </c>
      <c r="F159" s="12">
        <v>17</v>
      </c>
      <c r="G159" s="9" t="s">
        <v>1377</v>
      </c>
      <c r="H159" s="9" t="s">
        <v>27</v>
      </c>
      <c r="I159" s="9" t="s">
        <v>1377</v>
      </c>
      <c r="J159" s="98" t="s">
        <v>2733</v>
      </c>
      <c r="K159" s="16"/>
      <c r="L159" s="39"/>
      <c r="M159" s="4" t="str">
        <f t="shared" si="6"/>
        <v>INSERT INTO TransformationEngine_Field (FieldName, FieldDescription, SourceFieldName, DetailField, Length, Required, OutputFieldName, AllowedChars) VALUES ('Output UB Box 54C', 'Prior Payments C', 'OCRPriorPaymentsC',0, 17, 0, 'CLM_COB_OTHER_INSURED_AMT_C', '0-9')</v>
      </c>
    </row>
    <row r="160" spans="1:13" x14ac:dyDescent="0.35">
      <c r="A160" s="117">
        <v>20303</v>
      </c>
      <c r="B160" s="59" t="s">
        <v>2734</v>
      </c>
      <c r="C160" s="59" t="s">
        <v>2735</v>
      </c>
      <c r="D160" s="59"/>
      <c r="E160" s="59">
        <v>0</v>
      </c>
      <c r="F160" s="59">
        <v>17</v>
      </c>
      <c r="G160" s="59">
        <v>0</v>
      </c>
      <c r="H160" s="59" t="s">
        <v>2693</v>
      </c>
      <c r="I160" s="59"/>
      <c r="J160" s="59" t="s">
        <v>2736</v>
      </c>
      <c r="K160" s="59"/>
      <c r="L160" s="61"/>
    </row>
    <row r="161" spans="1:13" x14ac:dyDescent="0.35">
      <c r="A161" s="36">
        <v>20125</v>
      </c>
      <c r="B161" s="9" t="s">
        <v>1532</v>
      </c>
      <c r="C161" s="9" t="s">
        <v>469</v>
      </c>
      <c r="D161" s="9" t="s">
        <v>470</v>
      </c>
      <c r="E161" s="9">
        <v>0</v>
      </c>
      <c r="F161" s="12">
        <v>17</v>
      </c>
      <c r="G161" s="9" t="s">
        <v>1377</v>
      </c>
      <c r="H161" s="9" t="s">
        <v>27</v>
      </c>
      <c r="I161" s="9" t="s">
        <v>1377</v>
      </c>
      <c r="J161" s="98" t="s">
        <v>2737</v>
      </c>
      <c r="K161" s="16"/>
      <c r="L161" s="39"/>
      <c r="M161" s="4" t="str">
        <f t="shared" si="6"/>
        <v>INSERT INTO TransformationEngine_Field (FieldName, FieldDescription, SourceFieldName, DetailField, Length, Required, OutputFieldName, AllowedChars) VALUES ('Output UB Box 55A', 'Estimated Amounts Due A', 'OCREstAmtsDueA',0, 17, 0, 'CLM_HOSP_EST_AMT_DUE_A', '0-9')</v>
      </c>
    </row>
    <row r="162" spans="1:13" x14ac:dyDescent="0.35">
      <c r="A162" s="36">
        <v>20126</v>
      </c>
      <c r="B162" s="9" t="s">
        <v>1532</v>
      </c>
      <c r="C162" s="9" t="s">
        <v>469</v>
      </c>
      <c r="D162" s="9" t="s">
        <v>470</v>
      </c>
      <c r="E162" s="9">
        <v>0</v>
      </c>
      <c r="F162" s="12">
        <v>17</v>
      </c>
      <c r="G162" s="9" t="s">
        <v>1377</v>
      </c>
      <c r="H162" s="9" t="s">
        <v>27</v>
      </c>
      <c r="I162" s="9" t="s">
        <v>1377</v>
      </c>
      <c r="J162" s="98" t="s">
        <v>2738</v>
      </c>
      <c r="K162" s="16"/>
      <c r="L162" s="39"/>
      <c r="M162" s="4" t="str">
        <f t="shared" si="6"/>
        <v>INSERT INTO TransformationEngine_Field (FieldName, FieldDescription, SourceFieldName, DetailField, Length, Required, OutputFieldName, AllowedChars) VALUES ('Output UB Box 55A', 'Estimated Amounts Due A', 'OCREstAmtsDueA',0, 17, 0, 'CLM_HOSP_MDCR_PART_A_DED_A', '0-9')</v>
      </c>
    </row>
    <row r="163" spans="1:13" x14ac:dyDescent="0.35">
      <c r="A163" s="36">
        <v>20127</v>
      </c>
      <c r="B163" s="9" t="s">
        <v>1534</v>
      </c>
      <c r="C163" s="9" t="s">
        <v>472</v>
      </c>
      <c r="D163" s="9" t="s">
        <v>473</v>
      </c>
      <c r="E163" s="9">
        <v>0</v>
      </c>
      <c r="F163" s="12">
        <v>17</v>
      </c>
      <c r="G163" s="9" t="s">
        <v>1377</v>
      </c>
      <c r="H163" s="9" t="s">
        <v>27</v>
      </c>
      <c r="I163" s="9" t="s">
        <v>1377</v>
      </c>
      <c r="J163" s="98" t="s">
        <v>2739</v>
      </c>
      <c r="K163" s="16"/>
      <c r="L163" s="39"/>
      <c r="M163" s="4" t="str">
        <f t="shared" si="6"/>
        <v>INSERT INTO TransformationEngine_Field (FieldName, FieldDescription, SourceFieldName, DetailField, Length, Required, OutputFieldName, AllowedChars) VALUES ('Output UB Box 55B', 'Estimated Amounts Due B', 'OCREstAmtsDueB',0, 17, 0, 'CLM_HOSP_EST_AMT_DUE_B', '0-9')</v>
      </c>
    </row>
    <row r="164" spans="1:13" x14ac:dyDescent="0.35">
      <c r="A164" s="36">
        <v>20128</v>
      </c>
      <c r="B164" s="9" t="s">
        <v>1534</v>
      </c>
      <c r="C164" s="9" t="s">
        <v>472</v>
      </c>
      <c r="D164" s="9" t="s">
        <v>473</v>
      </c>
      <c r="E164" s="9">
        <v>0</v>
      </c>
      <c r="F164" s="12">
        <v>17</v>
      </c>
      <c r="G164" s="9" t="s">
        <v>1377</v>
      </c>
      <c r="H164" s="9" t="s">
        <v>27</v>
      </c>
      <c r="I164" s="9" t="s">
        <v>1377</v>
      </c>
      <c r="J164" s="98" t="s">
        <v>2740</v>
      </c>
      <c r="K164" s="16"/>
      <c r="L164" s="39"/>
      <c r="M164" s="4" t="str">
        <f t="shared" si="6"/>
        <v>INSERT INTO TransformationEngine_Field (FieldName, FieldDescription, SourceFieldName, DetailField, Length, Required, OutputFieldName, AllowedChars) VALUES ('Output UB Box 55B', 'Estimated Amounts Due B', 'OCREstAmtsDueB',0, 17, 0, 'CLM_HOSP_MDCR_PART_A_DED_B', '0-9')</v>
      </c>
    </row>
    <row r="165" spans="1:13" x14ac:dyDescent="0.35">
      <c r="A165" s="36">
        <v>20129</v>
      </c>
      <c r="B165" s="9" t="s">
        <v>1535</v>
      </c>
      <c r="C165" s="9" t="s">
        <v>475</v>
      </c>
      <c r="D165" s="9" t="s">
        <v>476</v>
      </c>
      <c r="E165" s="9">
        <v>0</v>
      </c>
      <c r="F165" s="12">
        <v>17</v>
      </c>
      <c r="G165" s="9" t="s">
        <v>1377</v>
      </c>
      <c r="H165" s="9" t="s">
        <v>27</v>
      </c>
      <c r="I165" s="9" t="s">
        <v>1377</v>
      </c>
      <c r="J165" s="98" t="s">
        <v>2741</v>
      </c>
      <c r="K165" s="16"/>
      <c r="L165" s="39"/>
      <c r="M165" s="4" t="str">
        <f t="shared" si="6"/>
        <v>INSERT INTO TransformationEngine_Field (FieldName, FieldDescription, SourceFieldName, DetailField, Length, Required, OutputFieldName, AllowedChars) VALUES ('Output UB Box 55C', 'Estimated Amounts Due C', 'OCREstAmtsDueC',0, 17, 0, 'CLM_HOSP_EST_AMT_DUE_C', '0-9')</v>
      </c>
    </row>
    <row r="166" spans="1:13" x14ac:dyDescent="0.35">
      <c r="A166" s="36">
        <v>20130</v>
      </c>
      <c r="B166" s="9" t="s">
        <v>1535</v>
      </c>
      <c r="C166" s="9" t="s">
        <v>475</v>
      </c>
      <c r="D166" s="9" t="s">
        <v>476</v>
      </c>
      <c r="E166" s="9">
        <v>0</v>
      </c>
      <c r="F166" s="12">
        <v>17</v>
      </c>
      <c r="G166" s="9" t="s">
        <v>1377</v>
      </c>
      <c r="H166" s="9" t="s">
        <v>27</v>
      </c>
      <c r="I166" s="9" t="s">
        <v>1377</v>
      </c>
      <c r="J166" s="98" t="s">
        <v>2742</v>
      </c>
      <c r="K166" s="16"/>
      <c r="L166" s="39"/>
      <c r="M166" s="4" t="str">
        <f t="shared" si="6"/>
        <v>INSERT INTO TransformationEngine_Field (FieldName, FieldDescription, SourceFieldName, DetailField, Length, Required, OutputFieldName, AllowedChars) VALUES ('Output UB Box 55C', 'Estimated Amounts Due C', 'OCREstAmtsDueC',0, 17, 0, 'CLM_HOSP_MDCR_PART_A_DED_C', '0-9')</v>
      </c>
    </row>
    <row r="167" spans="1:13" x14ac:dyDescent="0.35">
      <c r="A167" s="117">
        <v>20304</v>
      </c>
      <c r="B167" s="59" t="s">
        <v>2743</v>
      </c>
      <c r="C167" s="59" t="s">
        <v>2744</v>
      </c>
      <c r="D167" s="59"/>
      <c r="E167" s="59">
        <v>0</v>
      </c>
      <c r="F167" s="59">
        <v>17</v>
      </c>
      <c r="G167" s="59"/>
      <c r="H167" s="59" t="s">
        <v>27</v>
      </c>
      <c r="I167" s="59"/>
      <c r="J167" s="59" t="s">
        <v>2745</v>
      </c>
      <c r="K167" s="59"/>
      <c r="L167" s="61"/>
    </row>
    <row r="168" spans="1:13" x14ac:dyDescent="0.35">
      <c r="A168" s="117">
        <v>20305</v>
      </c>
      <c r="B168" s="59" t="s">
        <v>2743</v>
      </c>
      <c r="C168" s="59" t="s">
        <v>2746</v>
      </c>
      <c r="D168" s="59"/>
      <c r="E168" s="59">
        <v>0</v>
      </c>
      <c r="F168" s="59">
        <v>17</v>
      </c>
      <c r="G168" s="59"/>
      <c r="H168" s="59" t="s">
        <v>27</v>
      </c>
      <c r="I168" s="59"/>
      <c r="J168" s="59" t="s">
        <v>2747</v>
      </c>
      <c r="K168" s="59"/>
      <c r="L168" s="61"/>
    </row>
    <row r="169" spans="1:13" x14ac:dyDescent="0.35">
      <c r="A169" s="109">
        <v>20131</v>
      </c>
      <c r="B169" s="110" t="s">
        <v>1536</v>
      </c>
      <c r="C169" s="110" t="s">
        <v>478</v>
      </c>
      <c r="D169" s="110" t="s">
        <v>479</v>
      </c>
      <c r="E169" s="110">
        <v>0</v>
      </c>
      <c r="F169" s="118">
        <v>17</v>
      </c>
      <c r="G169" s="110" t="s">
        <v>1377</v>
      </c>
      <c r="H169" s="110" t="s">
        <v>2748</v>
      </c>
      <c r="I169" s="110" t="s">
        <v>1377</v>
      </c>
      <c r="J169" s="111" t="s">
        <v>2749</v>
      </c>
      <c r="K169" s="112"/>
      <c r="L169" s="113"/>
      <c r="M169" s="4" t="str">
        <f t="shared" si="6"/>
        <v>INSERT INTO TransformationEngine_Field (FieldName, FieldDescription, SourceFieldName, DetailField, Length, Required, OutputFieldName, AllowedChars) VALUES ('Output UB Box 56', 'NPI', 'OCRNPI',0, 17, 0, 'CLM_BILL_PROV_NATIONAL_ID', ' ,0-9')</v>
      </c>
    </row>
    <row r="170" spans="1:13" x14ac:dyDescent="0.35">
      <c r="A170" s="119">
        <v>20132</v>
      </c>
      <c r="B170" s="59" t="s">
        <v>1542</v>
      </c>
      <c r="C170" s="59" t="s">
        <v>490</v>
      </c>
      <c r="D170" s="59" t="s">
        <v>491</v>
      </c>
      <c r="E170" s="59">
        <v>0</v>
      </c>
      <c r="F170" s="59">
        <v>20</v>
      </c>
      <c r="G170" s="59" t="s">
        <v>1377</v>
      </c>
      <c r="H170" s="59" t="s">
        <v>2750</v>
      </c>
      <c r="I170" s="59" t="s">
        <v>1377</v>
      </c>
      <c r="J170" s="98" t="s">
        <v>2751</v>
      </c>
      <c r="K170" s="59"/>
      <c r="L170" s="61"/>
      <c r="M170" s="4" t="str">
        <f t="shared" ref="M170:M200" si="7">CONCATENATE("INSERT INTO TransformationEngine_Field (FieldName, FieldDescription, SourceFieldName, DetailField, Length, Required, OutputFieldName, AllowedChars) VALUES ('", B170, "', '", C170, "', '", D170, "',", E170, ", ", F170, ", 0, '", J170, "', '", H170, "')")</f>
        <v>INSERT INTO TransformationEngine_Field (FieldName, FieldDescription, SourceFieldName, DetailField, Length, Required, OutputFieldName, AllowedChars) VALUES ('Output UB Box 58A', 'Insured Name A', 'OCRInsNamesA',0, 20, 0, 'CLM_SUBS_NAME_LAST_A', 'A-Z, ,',-,/,')</v>
      </c>
    </row>
    <row r="171" spans="1:13" x14ac:dyDescent="0.35">
      <c r="A171" s="119">
        <v>20133</v>
      </c>
      <c r="B171" s="59" t="s">
        <v>1542</v>
      </c>
      <c r="C171" s="59" t="s">
        <v>490</v>
      </c>
      <c r="D171" s="59" t="s">
        <v>491</v>
      </c>
      <c r="E171" s="59">
        <v>0</v>
      </c>
      <c r="F171" s="59">
        <v>12</v>
      </c>
      <c r="G171" s="59" t="s">
        <v>1377</v>
      </c>
      <c r="H171" s="59" t="s">
        <v>61</v>
      </c>
      <c r="I171" s="59" t="s">
        <v>1377</v>
      </c>
      <c r="J171" s="98" t="s">
        <v>2752</v>
      </c>
      <c r="K171" s="59"/>
      <c r="L171" s="61"/>
      <c r="M171" s="4" t="str">
        <f t="shared" si="7"/>
        <v>INSERT INTO TransformationEngine_Field (FieldName, FieldDescription, SourceFieldName, DetailField, Length, Required, OutputFieldName, AllowedChars) VALUES ('Output UB Box 58A', 'Insured Name A', 'OCRInsNamesA',0, 12, 0, 'CLM_SUBS_NAME_FIRST_A', ' ,A-Z')</v>
      </c>
    </row>
    <row r="172" spans="1:13" x14ac:dyDescent="0.35">
      <c r="A172" s="119">
        <v>20134</v>
      </c>
      <c r="B172" s="59" t="s">
        <v>1544</v>
      </c>
      <c r="C172" s="59" t="s">
        <v>495</v>
      </c>
      <c r="D172" s="59" t="s">
        <v>496</v>
      </c>
      <c r="E172" s="59">
        <v>0</v>
      </c>
      <c r="F172" s="59">
        <v>20</v>
      </c>
      <c r="G172" s="59" t="s">
        <v>1377</v>
      </c>
      <c r="H172" s="59" t="s">
        <v>2750</v>
      </c>
      <c r="I172" s="59" t="s">
        <v>1377</v>
      </c>
      <c r="J172" s="98" t="s">
        <v>2753</v>
      </c>
      <c r="K172" s="59"/>
      <c r="L172" s="61"/>
      <c r="M172" s="4" t="str">
        <f t="shared" si="7"/>
        <v>INSERT INTO TransformationEngine_Field (FieldName, FieldDescription, SourceFieldName, DetailField, Length, Required, OutputFieldName, AllowedChars) VALUES ('Output UB Box 58B', 'Insured Name B', 'OCRInsNamesB',0, 20, 0, 'CLM_SUBS_NAME_LAST_B', 'A-Z, ,',-,/,')</v>
      </c>
    </row>
    <row r="173" spans="1:13" x14ac:dyDescent="0.35">
      <c r="A173" s="119">
        <v>20135</v>
      </c>
      <c r="B173" s="59" t="s">
        <v>1544</v>
      </c>
      <c r="C173" s="59" t="s">
        <v>495</v>
      </c>
      <c r="D173" s="59" t="s">
        <v>496</v>
      </c>
      <c r="E173" s="59">
        <v>0</v>
      </c>
      <c r="F173" s="59">
        <v>12</v>
      </c>
      <c r="G173" s="59" t="s">
        <v>1377</v>
      </c>
      <c r="H173" s="59" t="s">
        <v>61</v>
      </c>
      <c r="I173" s="59" t="s">
        <v>1377</v>
      </c>
      <c r="J173" s="98" t="s">
        <v>2754</v>
      </c>
      <c r="K173" s="59"/>
      <c r="L173" s="61"/>
      <c r="M173" s="4" t="str">
        <f t="shared" si="7"/>
        <v>INSERT INTO TransformationEngine_Field (FieldName, FieldDescription, SourceFieldName, DetailField, Length, Required, OutputFieldName, AllowedChars) VALUES ('Output UB Box 58B', 'Insured Name B', 'OCRInsNamesB',0, 12, 0, 'CLM_SUBS_NAME_FIRST_B', ' ,A-Z')</v>
      </c>
    </row>
    <row r="174" spans="1:13" x14ac:dyDescent="0.35">
      <c r="A174" s="119">
        <v>20136</v>
      </c>
      <c r="B174" s="59" t="s">
        <v>1545</v>
      </c>
      <c r="C174" s="59" t="s">
        <v>499</v>
      </c>
      <c r="D174" s="59" t="s">
        <v>500</v>
      </c>
      <c r="E174" s="59">
        <v>0</v>
      </c>
      <c r="F174" s="59">
        <v>20</v>
      </c>
      <c r="G174" s="59" t="s">
        <v>1377</v>
      </c>
      <c r="H174" s="59" t="s">
        <v>2750</v>
      </c>
      <c r="I174" s="59" t="s">
        <v>1377</v>
      </c>
      <c r="J174" s="98" t="s">
        <v>2755</v>
      </c>
      <c r="K174" s="59"/>
      <c r="L174" s="61"/>
      <c r="M174" s="4" t="str">
        <f t="shared" si="7"/>
        <v>INSERT INTO TransformationEngine_Field (FieldName, FieldDescription, SourceFieldName, DetailField, Length, Required, OutputFieldName, AllowedChars) VALUES ('Output UB Box 58C', 'Insured Name C', 'OCRInsNamesC',0, 20, 0, 'CLM_SUBS_NAME_LAST_C', 'A-Z, ,',-,/,')</v>
      </c>
    </row>
    <row r="175" spans="1:13" x14ac:dyDescent="0.35">
      <c r="A175" s="119">
        <v>20137</v>
      </c>
      <c r="B175" s="59" t="s">
        <v>1545</v>
      </c>
      <c r="C175" s="59" t="s">
        <v>499</v>
      </c>
      <c r="D175" s="59" t="s">
        <v>500</v>
      </c>
      <c r="E175" s="59">
        <v>0</v>
      </c>
      <c r="F175" s="59">
        <v>12</v>
      </c>
      <c r="G175" s="59" t="s">
        <v>1377</v>
      </c>
      <c r="H175" s="59" t="s">
        <v>61</v>
      </c>
      <c r="I175" s="59" t="s">
        <v>1377</v>
      </c>
      <c r="J175" s="98" t="s">
        <v>2756</v>
      </c>
      <c r="K175" s="59"/>
      <c r="L175" s="61"/>
      <c r="M175" s="4" t="str">
        <f t="shared" si="7"/>
        <v>INSERT INTO TransformationEngine_Field (FieldName, FieldDescription, SourceFieldName, DetailField, Length, Required, OutputFieldName, AllowedChars) VALUES ('Output UB Box 58C', 'Insured Name C', 'OCRInsNamesC',0, 12, 0, 'CLM_SUBS_NAME_FIRST_C', ' ,A-Z')</v>
      </c>
    </row>
    <row r="176" spans="1:13" x14ac:dyDescent="0.35">
      <c r="A176" s="117">
        <v>20306</v>
      </c>
      <c r="B176" s="59" t="s">
        <v>2757</v>
      </c>
      <c r="C176" s="59" t="s">
        <v>2758</v>
      </c>
      <c r="D176" s="59" t="s">
        <v>1377</v>
      </c>
      <c r="E176" s="59">
        <v>0</v>
      </c>
      <c r="F176" s="59">
        <v>17</v>
      </c>
      <c r="G176" s="59"/>
      <c r="H176" s="59" t="s">
        <v>2750</v>
      </c>
      <c r="I176" s="59"/>
      <c r="J176" s="59" t="s">
        <v>2759</v>
      </c>
      <c r="K176" s="59"/>
      <c r="L176" s="61"/>
    </row>
    <row r="177" spans="1:13" x14ac:dyDescent="0.35">
      <c r="A177" s="117">
        <v>20307</v>
      </c>
      <c r="B177" s="59" t="s">
        <v>2757</v>
      </c>
      <c r="C177" s="59" t="s">
        <v>2760</v>
      </c>
      <c r="D177" s="59" t="s">
        <v>1377</v>
      </c>
      <c r="E177" s="59">
        <v>0</v>
      </c>
      <c r="F177" s="59">
        <v>17</v>
      </c>
      <c r="G177" s="59"/>
      <c r="H177" s="59" t="s">
        <v>2750</v>
      </c>
      <c r="I177" s="59"/>
      <c r="J177" s="59" t="s">
        <v>2761</v>
      </c>
      <c r="K177" s="59"/>
      <c r="L177" s="61"/>
    </row>
    <row r="178" spans="1:13" x14ac:dyDescent="0.35">
      <c r="A178" s="119">
        <v>20138</v>
      </c>
      <c r="B178" s="59" t="s">
        <v>1546</v>
      </c>
      <c r="C178" s="59" t="s">
        <v>539</v>
      </c>
      <c r="D178" s="59" t="s">
        <v>540</v>
      </c>
      <c r="E178" s="59">
        <v>0</v>
      </c>
      <c r="F178" s="59">
        <v>2</v>
      </c>
      <c r="G178" s="59" t="s">
        <v>1377</v>
      </c>
      <c r="H178" s="59" t="s">
        <v>2762</v>
      </c>
      <c r="I178" s="60">
        <v>18</v>
      </c>
      <c r="J178" s="98" t="s">
        <v>2763</v>
      </c>
      <c r="K178" s="59"/>
      <c r="L178" s="61"/>
      <c r="M178" s="4" t="str">
        <f t="shared" si="7"/>
        <v>INSERT INTO TransformationEngine_Field (FieldName, FieldDescription, SourceFieldName, DetailField, Length, Required, OutputFieldName, AllowedChars) VALUES ('Output UB Box 59A', 'Patient Relationship A', 'OCRPatRelsA',0, 2, 0, 'CLM_PAT_RELATION_A', '1,8')</v>
      </c>
    </row>
    <row r="179" spans="1:13" x14ac:dyDescent="0.35">
      <c r="A179" s="119">
        <v>20139</v>
      </c>
      <c r="B179" s="59" t="s">
        <v>1548</v>
      </c>
      <c r="C179" s="59" t="s">
        <v>542</v>
      </c>
      <c r="D179" s="59" t="s">
        <v>543</v>
      </c>
      <c r="E179" s="59">
        <v>0</v>
      </c>
      <c r="F179" s="59">
        <v>2</v>
      </c>
      <c r="G179" s="59" t="s">
        <v>1377</v>
      </c>
      <c r="H179" s="59" t="s">
        <v>2762</v>
      </c>
      <c r="I179" s="60">
        <v>18</v>
      </c>
      <c r="J179" s="98" t="s">
        <v>2764</v>
      </c>
      <c r="K179" s="59"/>
      <c r="L179" s="61"/>
      <c r="M179" s="4" t="str">
        <f t="shared" si="7"/>
        <v>INSERT INTO TransformationEngine_Field (FieldName, FieldDescription, SourceFieldName, DetailField, Length, Required, OutputFieldName, AllowedChars) VALUES ('Output UB Box 59B', 'Patient Relationship B', 'OCRPatRelsB',0, 2, 0, 'CLM_PAT_RELATION_B', '1,8')</v>
      </c>
    </row>
    <row r="180" spans="1:13" x14ac:dyDescent="0.35">
      <c r="A180" s="119">
        <v>20140</v>
      </c>
      <c r="B180" s="59" t="s">
        <v>1549</v>
      </c>
      <c r="C180" s="59" t="s">
        <v>545</v>
      </c>
      <c r="D180" s="59" t="s">
        <v>546</v>
      </c>
      <c r="E180" s="59">
        <v>0</v>
      </c>
      <c r="F180" s="59">
        <v>2</v>
      </c>
      <c r="G180" s="59" t="s">
        <v>1377</v>
      </c>
      <c r="H180" s="59" t="s">
        <v>2762</v>
      </c>
      <c r="I180" s="60">
        <v>18</v>
      </c>
      <c r="J180" s="98" t="s">
        <v>2765</v>
      </c>
      <c r="K180" s="59"/>
      <c r="L180" s="61"/>
      <c r="M180" s="4" t="str">
        <f t="shared" si="7"/>
        <v>INSERT INTO TransformationEngine_Field (FieldName, FieldDescription, SourceFieldName, DetailField, Length, Required, OutputFieldName, AllowedChars) VALUES ('Output UB Box 59C', 'Patient Relationship C', 'OCRPatRelsC',0, 2, 0, 'CLM_PAT_RELATION_C', '1,8')</v>
      </c>
    </row>
    <row r="181" spans="1:13" x14ac:dyDescent="0.35">
      <c r="A181" s="117">
        <v>20308</v>
      </c>
      <c r="B181" s="59" t="s">
        <v>2766</v>
      </c>
      <c r="C181" s="59" t="s">
        <v>2767</v>
      </c>
      <c r="D181" s="59" t="s">
        <v>1377</v>
      </c>
      <c r="E181" s="59">
        <v>0</v>
      </c>
      <c r="F181" s="59">
        <v>2</v>
      </c>
      <c r="G181" s="59"/>
      <c r="H181" s="59" t="s">
        <v>2762</v>
      </c>
      <c r="I181" s="59">
        <v>18</v>
      </c>
      <c r="J181" s="59" t="s">
        <v>2768</v>
      </c>
      <c r="K181" s="59"/>
      <c r="L181" s="61"/>
    </row>
    <row r="182" spans="1:13" x14ac:dyDescent="0.35">
      <c r="A182" s="119">
        <v>20141</v>
      </c>
      <c r="B182" s="59" t="s">
        <v>1550</v>
      </c>
      <c r="C182" s="59" t="s">
        <v>548</v>
      </c>
      <c r="D182" s="59" t="s">
        <v>549</v>
      </c>
      <c r="E182" s="59">
        <v>0</v>
      </c>
      <c r="F182" s="59">
        <v>20</v>
      </c>
      <c r="G182" s="59" t="s">
        <v>1377</v>
      </c>
      <c r="H182" s="59" t="s">
        <v>71</v>
      </c>
      <c r="I182" s="59" t="s">
        <v>1377</v>
      </c>
      <c r="J182" s="98" t="s">
        <v>2769</v>
      </c>
      <c r="K182" s="59"/>
      <c r="L182" s="61"/>
      <c r="M182" s="4" t="str">
        <f t="shared" si="7"/>
        <v>INSERT INTO TransformationEngine_Field (FieldName, FieldDescription, SourceFieldName, DetailField, Length, Required, OutputFieldName, AllowedChars) VALUES ('Output UB Box 60A', 'Insured Unique ID A', 'OCRInsIDsA',0, 20, 0, 'CLM_SUBS_ID_A', 'A-Z,0-9')</v>
      </c>
    </row>
    <row r="183" spans="1:13" x14ac:dyDescent="0.35">
      <c r="A183" s="114">
        <v>20142</v>
      </c>
      <c r="B183" s="107" t="s">
        <v>1552</v>
      </c>
      <c r="C183" s="107" t="s">
        <v>551</v>
      </c>
      <c r="D183" s="107" t="s">
        <v>552</v>
      </c>
      <c r="E183" s="107">
        <v>0</v>
      </c>
      <c r="F183" s="107">
        <v>20</v>
      </c>
      <c r="G183" s="107" t="s">
        <v>1377</v>
      </c>
      <c r="H183" s="107" t="s">
        <v>71</v>
      </c>
      <c r="I183" s="107" t="s">
        <v>1377</v>
      </c>
      <c r="J183" s="108" t="s">
        <v>2770</v>
      </c>
      <c r="K183" s="115"/>
      <c r="L183" s="116"/>
      <c r="M183" s="4" t="str">
        <f t="shared" si="7"/>
        <v>INSERT INTO TransformationEngine_Field (FieldName, FieldDescription, SourceFieldName, DetailField, Length, Required, OutputFieldName, AllowedChars) VALUES ('Output UB Box 60B', 'Insured Unique ID B', 'OCRInsIDsB',0, 20, 0, 'CLM_SUBS_ID_B', 'A-Z,0-9')</v>
      </c>
    </row>
    <row r="184" spans="1:13" x14ac:dyDescent="0.35">
      <c r="A184" s="36">
        <v>20143</v>
      </c>
      <c r="B184" s="9" t="s">
        <v>2771</v>
      </c>
      <c r="C184" s="9" t="s">
        <v>554</v>
      </c>
      <c r="D184" s="9" t="s">
        <v>555</v>
      </c>
      <c r="E184" s="9">
        <v>0</v>
      </c>
      <c r="F184" s="9">
        <v>20</v>
      </c>
      <c r="G184" s="9" t="s">
        <v>1377</v>
      </c>
      <c r="H184" s="9" t="s">
        <v>71</v>
      </c>
      <c r="I184" s="9" t="s">
        <v>1377</v>
      </c>
      <c r="J184" s="98" t="s">
        <v>2772</v>
      </c>
      <c r="K184" s="16"/>
      <c r="L184" s="39"/>
      <c r="M184" s="4" t="str">
        <f t="shared" si="7"/>
        <v>INSERT INTO TransformationEngine_Field (FieldName, FieldDescription, SourceFieldName, DetailField, Length, Required, OutputFieldName, AllowedChars) VALUES ('Output UB Box 60C', 'Insured Unique ID C', 'OCRInsIDsC',0, 20, 0, 'CLM_SUBS_ID_C', 'A-Z,0-9')</v>
      </c>
    </row>
    <row r="185" spans="1:13" x14ac:dyDescent="0.35">
      <c r="A185" s="117">
        <v>20309</v>
      </c>
      <c r="B185" s="59" t="s">
        <v>2773</v>
      </c>
      <c r="C185" s="59" t="s">
        <v>2774</v>
      </c>
      <c r="D185" s="59" t="s">
        <v>1377</v>
      </c>
      <c r="E185" s="59">
        <v>0</v>
      </c>
      <c r="F185" s="59">
        <v>20</v>
      </c>
      <c r="G185" s="59"/>
      <c r="H185" s="59" t="s">
        <v>71</v>
      </c>
      <c r="I185" s="59"/>
      <c r="J185" s="59" t="s">
        <v>2775</v>
      </c>
      <c r="K185" s="59" t="s">
        <v>2776</v>
      </c>
      <c r="L185" s="61"/>
    </row>
    <row r="186" spans="1:13" x14ac:dyDescent="0.35">
      <c r="A186" s="36">
        <v>20144</v>
      </c>
      <c r="B186" s="9" t="s">
        <v>1554</v>
      </c>
      <c r="C186" s="9" t="s">
        <v>562</v>
      </c>
      <c r="D186" s="9" t="s">
        <v>563</v>
      </c>
      <c r="E186" s="9">
        <v>0</v>
      </c>
      <c r="F186" s="9">
        <v>33</v>
      </c>
      <c r="G186" s="9" t="s">
        <v>1377</v>
      </c>
      <c r="H186" s="9" t="s">
        <v>71</v>
      </c>
      <c r="I186" s="9" t="s">
        <v>1377</v>
      </c>
      <c r="J186" s="98" t="s">
        <v>2777</v>
      </c>
      <c r="K186" s="16"/>
      <c r="L186" s="39"/>
      <c r="M186" s="4" t="str">
        <f t="shared" si="7"/>
        <v>INSERT INTO TransformationEngine_Field (FieldName, FieldDescription, SourceFieldName, DetailField, Length, Required, OutputFieldName, AllowedChars) VALUES ('Output UB Box 61A', 'Group Name A', 'OCRGroupsA',0, 33, 0, 'CLM_COB_OTHER_EMPLOYER_NAME_A', 'A-Z,0-9')</v>
      </c>
    </row>
    <row r="187" spans="1:13" x14ac:dyDescent="0.35">
      <c r="A187" s="36">
        <v>20145</v>
      </c>
      <c r="B187" s="9" t="s">
        <v>1556</v>
      </c>
      <c r="C187" s="9" t="s">
        <v>566</v>
      </c>
      <c r="D187" s="9" t="s">
        <v>567</v>
      </c>
      <c r="E187" s="9">
        <v>0</v>
      </c>
      <c r="F187" s="9">
        <v>33</v>
      </c>
      <c r="G187" s="9" t="s">
        <v>1377</v>
      </c>
      <c r="H187" s="9" t="s">
        <v>71</v>
      </c>
      <c r="I187" s="9" t="s">
        <v>1377</v>
      </c>
      <c r="J187" s="98" t="s">
        <v>2778</v>
      </c>
      <c r="K187" s="16"/>
      <c r="L187" s="39"/>
      <c r="M187" s="4" t="str">
        <f t="shared" si="7"/>
        <v>INSERT INTO TransformationEngine_Field (FieldName, FieldDescription, SourceFieldName, DetailField, Length, Required, OutputFieldName, AllowedChars) VALUES ('Output UB Box 61B', 'Group Name B', 'OCRGroupsB',0, 33, 0, 'CLM_COB_OTHER_EMPLOYER_NAME_B', 'A-Z,0-9')</v>
      </c>
    </row>
    <row r="188" spans="1:13" x14ac:dyDescent="0.35">
      <c r="A188" s="36">
        <v>20146</v>
      </c>
      <c r="B188" s="9" t="s">
        <v>1557</v>
      </c>
      <c r="C188" s="9" t="s">
        <v>569</v>
      </c>
      <c r="D188" s="9" t="s">
        <v>570</v>
      </c>
      <c r="E188" s="9">
        <v>0</v>
      </c>
      <c r="F188" s="9">
        <v>33</v>
      </c>
      <c r="G188" s="9" t="s">
        <v>1377</v>
      </c>
      <c r="H188" s="9" t="s">
        <v>71</v>
      </c>
      <c r="I188" s="9" t="s">
        <v>1377</v>
      </c>
      <c r="J188" s="98" t="s">
        <v>2779</v>
      </c>
      <c r="K188" s="16"/>
      <c r="L188" s="39"/>
      <c r="M188" s="4" t="str">
        <f t="shared" si="7"/>
        <v>INSERT INTO TransformationEngine_Field (FieldName, FieldDescription, SourceFieldName, DetailField, Length, Required, OutputFieldName, AllowedChars) VALUES ('Output UB Box 61C', 'Group Name C', 'OCRGroupsC',0, 33, 0, 'CLM_COB_OTHER_EMPLOYER_NAME_C', 'A-Z,0-9')</v>
      </c>
    </row>
    <row r="189" spans="1:13" x14ac:dyDescent="0.35">
      <c r="A189" s="117">
        <v>20310</v>
      </c>
      <c r="B189" s="59" t="s">
        <v>2780</v>
      </c>
      <c r="C189" s="59" t="s">
        <v>2781</v>
      </c>
      <c r="D189" s="59" t="s">
        <v>1377</v>
      </c>
      <c r="E189" s="59">
        <v>0</v>
      </c>
      <c r="F189" s="59">
        <v>33</v>
      </c>
      <c r="G189" s="59"/>
      <c r="H189" s="59" t="s">
        <v>71</v>
      </c>
      <c r="I189" s="59"/>
      <c r="J189" s="59" t="s">
        <v>2782</v>
      </c>
      <c r="K189" s="59"/>
      <c r="L189" s="61"/>
    </row>
    <row r="190" spans="1:13" x14ac:dyDescent="0.35">
      <c r="A190" s="36">
        <v>20147</v>
      </c>
      <c r="B190" s="9" t="s">
        <v>1558</v>
      </c>
      <c r="C190" s="9" t="s">
        <v>572</v>
      </c>
      <c r="D190" s="9" t="s">
        <v>573</v>
      </c>
      <c r="E190" s="9">
        <v>0</v>
      </c>
      <c r="F190" s="9">
        <v>20</v>
      </c>
      <c r="G190" s="9" t="s">
        <v>1377</v>
      </c>
      <c r="H190" s="9" t="s">
        <v>71</v>
      </c>
      <c r="I190" s="9" t="s">
        <v>1377</v>
      </c>
      <c r="J190" s="98" t="s">
        <v>2783</v>
      </c>
      <c r="K190" s="16"/>
      <c r="L190" s="39"/>
      <c r="M190" s="4" t="str">
        <f t="shared" si="7"/>
        <v>INSERT INTO TransformationEngine_Field (FieldName, FieldDescription, SourceFieldName, DetailField, Length, Required, OutputFieldName, AllowedChars) VALUES ('Output UB Box 62A', 'Insurance Group No A', 'OCRGroupNosA',0, 20, 0, 'CLM_INS_SUBMITTED_GROUP_A', 'A-Z,0-9')</v>
      </c>
    </row>
    <row r="191" spans="1:13" x14ac:dyDescent="0.35">
      <c r="A191" s="36">
        <v>20148</v>
      </c>
      <c r="B191" s="9" t="s">
        <v>1560</v>
      </c>
      <c r="C191" s="9" t="s">
        <v>575</v>
      </c>
      <c r="D191" s="9" t="s">
        <v>576</v>
      </c>
      <c r="E191" s="9">
        <v>0</v>
      </c>
      <c r="F191" s="9">
        <v>20</v>
      </c>
      <c r="G191" s="9" t="s">
        <v>1377</v>
      </c>
      <c r="H191" s="9" t="s">
        <v>71</v>
      </c>
      <c r="I191" s="9" t="s">
        <v>1377</v>
      </c>
      <c r="J191" s="98" t="s">
        <v>2784</v>
      </c>
      <c r="K191" s="16"/>
      <c r="L191" s="39"/>
      <c r="M191" s="4" t="str">
        <f t="shared" si="7"/>
        <v>INSERT INTO TransformationEngine_Field (FieldName, FieldDescription, SourceFieldName, DetailField, Length, Required, OutputFieldName, AllowedChars) VALUES ('Output UB Box 62B', 'Insurance Group No B', 'OCRGroupNosB',0, 20, 0, 'CLM_INS_SUBMITTED_GROUP_B', 'A-Z,0-9')</v>
      </c>
    </row>
    <row r="192" spans="1:13" x14ac:dyDescent="0.35">
      <c r="A192" s="36">
        <v>20149</v>
      </c>
      <c r="B192" s="9" t="s">
        <v>1561</v>
      </c>
      <c r="C192" s="9" t="s">
        <v>578</v>
      </c>
      <c r="D192" s="9" t="s">
        <v>579</v>
      </c>
      <c r="E192" s="9">
        <v>0</v>
      </c>
      <c r="F192" s="9">
        <v>20</v>
      </c>
      <c r="G192" s="9" t="s">
        <v>1377</v>
      </c>
      <c r="H192" s="9" t="s">
        <v>71</v>
      </c>
      <c r="I192" s="9" t="s">
        <v>1377</v>
      </c>
      <c r="J192" s="98" t="s">
        <v>2785</v>
      </c>
      <c r="K192" s="16"/>
      <c r="L192" s="39"/>
      <c r="M192" s="4" t="str">
        <f t="shared" si="7"/>
        <v>INSERT INTO TransformationEngine_Field (FieldName, FieldDescription, SourceFieldName, DetailField, Length, Required, OutputFieldName, AllowedChars) VALUES ('Output UB Box 62C', 'Insurance Group No C', 'OCRGroupNosC',0, 20, 0, 'CLM_INS_SUBMITTED_GROUP_C', 'A-Z,0-9')</v>
      </c>
    </row>
    <row r="193" spans="1:13" x14ac:dyDescent="0.35">
      <c r="A193" s="117">
        <v>20311</v>
      </c>
      <c r="B193" s="59" t="s">
        <v>2786</v>
      </c>
      <c r="C193" s="59" t="s">
        <v>2787</v>
      </c>
      <c r="D193" s="59" t="s">
        <v>1377</v>
      </c>
      <c r="E193" s="59">
        <v>0</v>
      </c>
      <c r="F193" s="59">
        <v>20</v>
      </c>
      <c r="G193" s="59"/>
      <c r="H193" s="59" t="s">
        <v>71</v>
      </c>
      <c r="I193" s="59"/>
      <c r="J193" s="59" t="s">
        <v>2788</v>
      </c>
      <c r="K193" s="59"/>
      <c r="L193" s="61"/>
    </row>
    <row r="194" spans="1:13" x14ac:dyDescent="0.35">
      <c r="A194" s="36">
        <v>20150</v>
      </c>
      <c r="B194" s="9" t="s">
        <v>1562</v>
      </c>
      <c r="C194" s="9" t="s">
        <v>581</v>
      </c>
      <c r="D194" s="9" t="s">
        <v>582</v>
      </c>
      <c r="E194" s="9">
        <v>0</v>
      </c>
      <c r="F194" s="9">
        <v>23</v>
      </c>
      <c r="G194" s="9" t="s">
        <v>1377</v>
      </c>
      <c r="H194" s="9" t="s">
        <v>71</v>
      </c>
      <c r="I194" s="9" t="s">
        <v>1377</v>
      </c>
      <c r="J194" s="98" t="s">
        <v>2789</v>
      </c>
      <c r="K194" s="16"/>
      <c r="L194" s="39"/>
      <c r="M194" s="4" t="str">
        <f t="shared" si="7"/>
        <v>INSERT INTO TransformationEngine_Field (FieldName, FieldDescription, SourceFieldName, DetailField, Length, Required, OutputFieldName, AllowedChars) VALUES ('Output UB Box 63A', 'Treatment Authorization Codes A', 'OCRTreatAuthCdsA',0, 23, 0, 'CLM_AUTHORIZATION_NUMBER_A', 'A-Z,0-9')</v>
      </c>
    </row>
    <row r="195" spans="1:13" x14ac:dyDescent="0.35">
      <c r="A195" s="36">
        <v>20151</v>
      </c>
      <c r="B195" s="9" t="s">
        <v>1564</v>
      </c>
      <c r="C195" s="9" t="s">
        <v>584</v>
      </c>
      <c r="D195" s="9" t="s">
        <v>585</v>
      </c>
      <c r="E195" s="9">
        <v>0</v>
      </c>
      <c r="F195" s="9">
        <v>23</v>
      </c>
      <c r="G195" s="9" t="s">
        <v>1377</v>
      </c>
      <c r="H195" s="9" t="s">
        <v>71</v>
      </c>
      <c r="I195" s="9" t="s">
        <v>1377</v>
      </c>
      <c r="J195" s="98" t="s">
        <v>2790</v>
      </c>
      <c r="K195" s="16"/>
      <c r="L195" s="39"/>
      <c r="M195" s="4" t="str">
        <f t="shared" si="7"/>
        <v>INSERT INTO TransformationEngine_Field (FieldName, FieldDescription, SourceFieldName, DetailField, Length, Required, OutputFieldName, AllowedChars) VALUES ('Output UB Box 63B', 'Treatment Authorization Codes B', 'OCRTreatAuthCdsB',0, 23, 0, 'CLM_AUTHORIZATION_NUMBER_B', 'A-Z,0-9')</v>
      </c>
    </row>
    <row r="196" spans="1:13" x14ac:dyDescent="0.35">
      <c r="A196" s="36">
        <v>20152</v>
      </c>
      <c r="B196" s="9" t="s">
        <v>1565</v>
      </c>
      <c r="C196" s="9" t="s">
        <v>587</v>
      </c>
      <c r="D196" s="9" t="s">
        <v>588</v>
      </c>
      <c r="E196" s="9">
        <v>0</v>
      </c>
      <c r="F196" s="9">
        <v>23</v>
      </c>
      <c r="G196" s="9" t="s">
        <v>1377</v>
      </c>
      <c r="H196" s="9" t="s">
        <v>71</v>
      </c>
      <c r="I196" s="9" t="s">
        <v>1377</v>
      </c>
      <c r="J196" s="98" t="s">
        <v>2791</v>
      </c>
      <c r="K196" s="16"/>
      <c r="L196" s="39"/>
      <c r="M196" s="4" t="str">
        <f t="shared" si="7"/>
        <v>INSERT INTO TransformationEngine_Field (FieldName, FieldDescription, SourceFieldName, DetailField, Length, Required, OutputFieldName, AllowedChars) VALUES ('Output UB Box 63C', 'Treatment Authorization Codes C', 'OCRTreatAuthCdsC',0, 23, 0, 'CLM_AUTHORIZATION_NUMBER_C', 'A-Z,0-9')</v>
      </c>
    </row>
    <row r="197" spans="1:13" x14ac:dyDescent="0.35">
      <c r="A197" s="117">
        <v>20313</v>
      </c>
      <c r="B197" s="59" t="s">
        <v>2792</v>
      </c>
      <c r="C197" s="59" t="s">
        <v>2793</v>
      </c>
      <c r="D197" s="59" t="s">
        <v>1377</v>
      </c>
      <c r="E197" s="59">
        <v>0</v>
      </c>
      <c r="F197" s="59">
        <v>20</v>
      </c>
      <c r="G197" s="59"/>
      <c r="H197" s="59" t="s">
        <v>71</v>
      </c>
      <c r="I197" s="59"/>
      <c r="J197" s="59" t="s">
        <v>2794</v>
      </c>
      <c r="K197" s="59"/>
      <c r="L197" s="61"/>
    </row>
    <row r="198" spans="1:13" x14ac:dyDescent="0.35">
      <c r="A198" s="36">
        <v>20153</v>
      </c>
      <c r="B198" s="9" t="s">
        <v>1566</v>
      </c>
      <c r="C198" s="9" t="s">
        <v>1567</v>
      </c>
      <c r="D198" s="9" t="s">
        <v>591</v>
      </c>
      <c r="E198" s="9">
        <v>0</v>
      </c>
      <c r="F198" s="9">
        <v>20</v>
      </c>
      <c r="G198" s="9" t="s">
        <v>1377</v>
      </c>
      <c r="H198" s="9" t="s">
        <v>71</v>
      </c>
      <c r="I198" s="9" t="s">
        <v>1377</v>
      </c>
      <c r="J198" s="98" t="s">
        <v>2795</v>
      </c>
      <c r="K198" s="16"/>
      <c r="L198" s="39"/>
      <c r="M198" s="4" t="str">
        <f t="shared" si="7"/>
        <v>INSERT INTO TransformationEngine_Field (FieldName, FieldDescription, SourceFieldName, DetailField, Length, Required, OutputFieldName, AllowedChars) VALUES ('Output UB Box 64A', 'Claim Payer Control Number A', 'OCRDocCtlNumA',0, 20, 0, 'CLM_PAYER_CONTROL_NO_A', 'A-Z,0-9')</v>
      </c>
    </row>
    <row r="199" spans="1:13" x14ac:dyDescent="0.35">
      <c r="A199" s="36">
        <v>20154</v>
      </c>
      <c r="B199" s="9" t="s">
        <v>1569</v>
      </c>
      <c r="C199" s="9" t="s">
        <v>1570</v>
      </c>
      <c r="D199" s="9" t="s">
        <v>594</v>
      </c>
      <c r="E199" s="9">
        <v>0</v>
      </c>
      <c r="F199" s="9">
        <v>20</v>
      </c>
      <c r="G199" s="9" t="s">
        <v>1377</v>
      </c>
      <c r="H199" s="9" t="s">
        <v>71</v>
      </c>
      <c r="I199" s="9" t="s">
        <v>1377</v>
      </c>
      <c r="J199" s="98" t="s">
        <v>2796</v>
      </c>
      <c r="K199" s="16"/>
      <c r="L199" s="39"/>
      <c r="M199" s="4" t="str">
        <f t="shared" si="7"/>
        <v>INSERT INTO TransformationEngine_Field (FieldName, FieldDescription, SourceFieldName, DetailField, Length, Required, OutputFieldName, AllowedChars) VALUES ('Output UB Box 64B', 'Claim Payer Control Number B', 'OCRDocCtlNumB',0, 20, 0, 'CLM_PAYER_CONTROL_NO_B', 'A-Z,0-9')</v>
      </c>
    </row>
    <row r="200" spans="1:13" x14ac:dyDescent="0.35">
      <c r="A200" s="36">
        <v>20155</v>
      </c>
      <c r="B200" s="9" t="s">
        <v>1571</v>
      </c>
      <c r="C200" s="9" t="s">
        <v>1572</v>
      </c>
      <c r="D200" s="9" t="s">
        <v>597</v>
      </c>
      <c r="E200" s="9">
        <v>0</v>
      </c>
      <c r="F200" s="9">
        <v>20</v>
      </c>
      <c r="G200" s="9" t="s">
        <v>1377</v>
      </c>
      <c r="H200" s="9" t="s">
        <v>71</v>
      </c>
      <c r="I200" s="9" t="s">
        <v>1377</v>
      </c>
      <c r="J200" s="98" t="s">
        <v>2797</v>
      </c>
      <c r="K200" s="16"/>
      <c r="L200" s="39"/>
      <c r="M200" s="4" t="str">
        <f t="shared" si="7"/>
        <v>INSERT INTO TransformationEngine_Field (FieldName, FieldDescription, SourceFieldName, DetailField, Length, Required, OutputFieldName, AllowedChars) VALUES ('Output UB Box 64C', 'Claim Payer Control Number C', 'OCRDocCtlNumC',0, 20, 0, 'CLM_PAYER_CONTROL_NO_C', 'A-Z,0-9')</v>
      </c>
    </row>
    <row r="201" spans="1:13" x14ac:dyDescent="0.35">
      <c r="A201" s="117">
        <v>20312</v>
      </c>
      <c r="B201" s="59" t="s">
        <v>2798</v>
      </c>
      <c r="C201" s="59" t="s">
        <v>2799</v>
      </c>
      <c r="D201" s="59" t="s">
        <v>1377</v>
      </c>
      <c r="E201" s="59">
        <v>0</v>
      </c>
      <c r="F201" s="59">
        <v>20</v>
      </c>
      <c r="G201" s="59"/>
      <c r="H201" s="59" t="s">
        <v>71</v>
      </c>
      <c r="I201" s="59"/>
      <c r="J201" s="59" t="s">
        <v>2800</v>
      </c>
      <c r="K201" s="59"/>
      <c r="L201" s="61"/>
    </row>
    <row r="202" spans="1:13" x14ac:dyDescent="0.35">
      <c r="A202" s="49"/>
      <c r="B202" s="50" t="s">
        <v>1573</v>
      </c>
      <c r="C202" s="50" t="s">
        <v>599</v>
      </c>
      <c r="D202" s="50" t="s">
        <v>600</v>
      </c>
      <c r="E202" s="50">
        <v>0</v>
      </c>
      <c r="F202" s="50">
        <v>33</v>
      </c>
      <c r="G202" s="50" t="s">
        <v>1377</v>
      </c>
      <c r="H202" s="50" t="s">
        <v>71</v>
      </c>
      <c r="I202" s="50" t="s">
        <v>1377</v>
      </c>
      <c r="J202" s="51" t="s">
        <v>198</v>
      </c>
      <c r="K202" s="52"/>
      <c r="L202" s="53"/>
    </row>
    <row r="203" spans="1:13" x14ac:dyDescent="0.35">
      <c r="A203" s="49"/>
      <c r="B203" s="50" t="s">
        <v>1575</v>
      </c>
      <c r="C203" s="50" t="s">
        <v>603</v>
      </c>
      <c r="D203" s="50" t="s">
        <v>604</v>
      </c>
      <c r="E203" s="50">
        <v>0</v>
      </c>
      <c r="F203" s="50">
        <v>33</v>
      </c>
      <c r="G203" s="50" t="s">
        <v>1377</v>
      </c>
      <c r="H203" s="50" t="s">
        <v>71</v>
      </c>
      <c r="I203" s="50" t="s">
        <v>1377</v>
      </c>
      <c r="J203" s="51" t="s">
        <v>198</v>
      </c>
      <c r="K203" s="52"/>
      <c r="L203" s="53"/>
    </row>
    <row r="204" spans="1:13" x14ac:dyDescent="0.35">
      <c r="A204" s="49"/>
      <c r="B204" s="50" t="s">
        <v>1576</v>
      </c>
      <c r="C204" s="50" t="s">
        <v>606</v>
      </c>
      <c r="D204" s="50" t="s">
        <v>607</v>
      </c>
      <c r="E204" s="50">
        <v>0</v>
      </c>
      <c r="F204" s="50">
        <v>33</v>
      </c>
      <c r="G204" s="50" t="s">
        <v>1377</v>
      </c>
      <c r="H204" s="50" t="s">
        <v>71</v>
      </c>
      <c r="I204" s="50" t="s">
        <v>1377</v>
      </c>
      <c r="J204" s="51" t="s">
        <v>198</v>
      </c>
      <c r="K204" s="52"/>
      <c r="L204" s="53"/>
    </row>
    <row r="205" spans="1:13" x14ac:dyDescent="0.35">
      <c r="A205" s="36">
        <v>20156</v>
      </c>
      <c r="B205" s="9" t="s">
        <v>1577</v>
      </c>
      <c r="C205" s="9" t="s">
        <v>609</v>
      </c>
      <c r="D205" s="9" t="s">
        <v>610</v>
      </c>
      <c r="E205" s="9">
        <v>0</v>
      </c>
      <c r="F205" s="9">
        <v>1</v>
      </c>
      <c r="G205" s="9" t="s">
        <v>1377</v>
      </c>
      <c r="H205" s="9" t="s">
        <v>612</v>
      </c>
      <c r="I205" s="9" t="s">
        <v>612</v>
      </c>
      <c r="J205" s="98" t="s">
        <v>2801</v>
      </c>
      <c r="K205" s="16"/>
      <c r="L205" s="39"/>
      <c r="M205" s="4" t="str">
        <f>CONCATENATE("INSERT INTO TransformationEngine_Field (FieldName, FieldDescription, SourceFieldName, DetailField, Length, Required, OutputFieldName, AllowedChars, AllowedValues) VALUES ('", B205, "', '", C205, "', '", D205, "',", E205, ", ", F205, ", 0, '", J205, "', '", H205, "', '", I205, "')")</f>
        <v>INSERT INTO TransformationEngine_Field (FieldName, FieldDescription, SourceFieldName, DetailField, Length, Required, OutputFieldName, AllowedChars, AllowedValues) VALUES ('Output UB Box 66', 'DX', 'OCRDXsignifier',0, 1, 0, 'CLM_HOSP_PROC_CODING_METHOD', '0,N', '0,N')</v>
      </c>
    </row>
    <row r="206" spans="1:13" x14ac:dyDescent="0.35">
      <c r="A206" s="36">
        <v>20157</v>
      </c>
      <c r="B206" s="9" t="s">
        <v>1579</v>
      </c>
      <c r="C206" s="9" t="s">
        <v>614</v>
      </c>
      <c r="D206" s="9" t="s">
        <v>615</v>
      </c>
      <c r="E206" s="9">
        <v>0</v>
      </c>
      <c r="F206" s="9">
        <v>7</v>
      </c>
      <c r="G206" s="9" t="s">
        <v>1377</v>
      </c>
      <c r="H206" s="9" t="s">
        <v>71</v>
      </c>
      <c r="I206" s="9"/>
      <c r="J206" s="98" t="s">
        <v>2802</v>
      </c>
      <c r="K206" s="16"/>
      <c r="L206" s="39"/>
      <c r="M206" s="4" t="str">
        <f t="shared" ref="M206:M259" si="8">CONCATENATE("INSERT INTO TransformationEngine_Field (FieldName, FieldDescription, SourceFieldName, DetailField, Length, Required, OutputFieldName, AllowedChars, AllowedValues) VALUES ('", B206, "', '", C206, "', '", D206, "',", E206, ", ", F206, ", 0, '", J206, "', '", H206, "', '", I206, "')")</f>
        <v>INSERT INTO TransformationEngine_Field (FieldName, FieldDescription, SourceFieldName, DetailField, Length, Required, OutputFieldName, AllowedChars, AllowedValues) VALUES ('Output UB Box 67', 'Principal Diag Code', 'OCRPrinDiagCode',0, 7, 0, 'CLM_DIAGNOSIS_CODE_1', 'A-Z,0-9', '')</v>
      </c>
    </row>
    <row r="207" spans="1:13" x14ac:dyDescent="0.35">
      <c r="A207" s="36">
        <v>20158</v>
      </c>
      <c r="B207" s="9" t="s">
        <v>1579</v>
      </c>
      <c r="C207" s="9" t="s">
        <v>2803</v>
      </c>
      <c r="D207" s="9" t="s">
        <v>615</v>
      </c>
      <c r="E207" s="9">
        <v>0</v>
      </c>
      <c r="F207" s="9">
        <v>1</v>
      </c>
      <c r="G207" s="9" t="s">
        <v>1377</v>
      </c>
      <c r="H207" s="9" t="s">
        <v>612</v>
      </c>
      <c r="I207" s="9" t="s">
        <v>612</v>
      </c>
      <c r="J207" s="98" t="s">
        <v>2804</v>
      </c>
      <c r="K207" s="16"/>
      <c r="L207" s="39"/>
      <c r="M207" s="4" t="str">
        <f t="shared" si="8"/>
        <v>INSERT INTO TransformationEngine_Field (FieldName, FieldDescription, SourceFieldName, DetailField, Length, Required, OutputFieldName, AllowedChars, AllowedValues) VALUES ('Output UB Box 67', 'Principal Diag Code Indicator', 'OCRPrinDiagCode',0, 1, 0, 'CLM_CODE_TYPE_IND_CODE_1', '0,N', '0,N')</v>
      </c>
    </row>
    <row r="208" spans="1:13" x14ac:dyDescent="0.35">
      <c r="A208" s="36">
        <v>20159</v>
      </c>
      <c r="B208" s="9" t="s">
        <v>1579</v>
      </c>
      <c r="C208" s="9" t="s">
        <v>616</v>
      </c>
      <c r="D208" s="9" t="s">
        <v>617</v>
      </c>
      <c r="E208" s="9">
        <v>0</v>
      </c>
      <c r="F208" s="9">
        <v>1</v>
      </c>
      <c r="G208" s="9" t="s">
        <v>1377</v>
      </c>
      <c r="H208" s="361" t="s">
        <v>2805</v>
      </c>
      <c r="I208" s="361" t="s">
        <v>2805</v>
      </c>
      <c r="J208" s="98" t="s">
        <v>2806</v>
      </c>
      <c r="K208" s="16"/>
      <c r="L208" s="39"/>
      <c r="M208" s="4" t="str">
        <f t="shared" si="8"/>
        <v>INSERT INTO TransformationEngine_Field (FieldName, FieldDescription, SourceFieldName, DetailField, Length, Required, OutputFieldName, AllowedChars, AllowedValues) VALUES ('Output UB Box 67', 'Principal Diag Code POA', 'OCRPrinDiagPOA',0, 1, 0, 'CLM_POA_IND_CODE_1', 'Y,N,U,W, ,', 'Y,N,U,W, ,')</v>
      </c>
    </row>
    <row r="209" spans="1:13" x14ac:dyDescent="0.35">
      <c r="A209" s="36">
        <v>20160</v>
      </c>
      <c r="B209" s="9" t="s">
        <v>1582</v>
      </c>
      <c r="C209" s="9" t="s">
        <v>620</v>
      </c>
      <c r="D209" s="9" t="s">
        <v>621</v>
      </c>
      <c r="E209" s="9">
        <v>0</v>
      </c>
      <c r="F209" s="9">
        <v>7</v>
      </c>
      <c r="G209" s="9" t="s">
        <v>1377</v>
      </c>
      <c r="H209" s="9" t="s">
        <v>71</v>
      </c>
      <c r="I209" s="9"/>
      <c r="J209" s="98" t="s">
        <v>2807</v>
      </c>
      <c r="K209" s="16"/>
      <c r="L209" s="39"/>
      <c r="M209" s="4" t="str">
        <f t="shared" si="8"/>
        <v>INSERT INTO TransformationEngine_Field (FieldName, FieldDescription, SourceFieldName, DetailField, Length, Required, OutputFieldName, AllowedChars, AllowedValues) VALUES ('Output UB Box 67 A', 'Other DX Codes A', 'OCROthDiagCode1',0, 7, 0, 'CLM_DIAGNOSIS_CODE_2', 'A-Z,0-9', '')</v>
      </c>
    </row>
    <row r="210" spans="1:13" x14ac:dyDescent="0.35">
      <c r="A210" s="36">
        <v>20161</v>
      </c>
      <c r="B210" s="9" t="s">
        <v>1582</v>
      </c>
      <c r="C210" s="9" t="s">
        <v>2808</v>
      </c>
      <c r="D210" s="9" t="s">
        <v>621</v>
      </c>
      <c r="E210" s="9">
        <v>0</v>
      </c>
      <c r="F210" s="9">
        <v>1</v>
      </c>
      <c r="G210" s="9" t="s">
        <v>1377</v>
      </c>
      <c r="H210" s="9" t="s">
        <v>612</v>
      </c>
      <c r="I210" s="9" t="s">
        <v>612</v>
      </c>
      <c r="J210" s="98" t="s">
        <v>2809</v>
      </c>
      <c r="K210" s="16"/>
      <c r="L210" s="39"/>
      <c r="M210" s="4" t="str">
        <f t="shared" si="8"/>
        <v>INSERT INTO TransformationEngine_Field (FieldName, FieldDescription, SourceFieldName, DetailField, Length, Required, OutputFieldName, AllowedChars, AllowedValues) VALUES ('Output UB Box 67 A', 'Other DX Codes A Indicator', 'OCROthDiagCode1',0, 1, 0, 'CLM_CODE_TYPE_IND_CODE_2', '0,N', '0,N')</v>
      </c>
    </row>
    <row r="211" spans="1:13" x14ac:dyDescent="0.35">
      <c r="A211" s="36">
        <v>20162</v>
      </c>
      <c r="B211" s="9" t="s">
        <v>1582</v>
      </c>
      <c r="C211" s="9" t="s">
        <v>622</v>
      </c>
      <c r="D211" s="9" t="s">
        <v>623</v>
      </c>
      <c r="E211" s="9">
        <v>0</v>
      </c>
      <c r="F211" s="9">
        <v>1</v>
      </c>
      <c r="G211" s="9" t="s">
        <v>1377</v>
      </c>
      <c r="H211" s="361" t="s">
        <v>2805</v>
      </c>
      <c r="I211" s="361" t="s">
        <v>2805</v>
      </c>
      <c r="J211" s="98" t="s">
        <v>2810</v>
      </c>
      <c r="K211" s="16"/>
      <c r="L211" s="39"/>
      <c r="M211" s="4" t="str">
        <f t="shared" si="8"/>
        <v>INSERT INTO TransformationEngine_Field (FieldName, FieldDescription, SourceFieldName, DetailField, Length, Required, OutputFieldName, AllowedChars, AllowedValues) VALUES ('Output UB Box 67 A', 'Other DX Codes POA A', 'OCROthDiagPOA1',0, 1, 0, 'CLM_POA_IND_CODE_2', 'Y,N,U,W, ,', 'Y,N,U,W, ,')</v>
      </c>
    </row>
    <row r="212" spans="1:13" x14ac:dyDescent="0.35">
      <c r="A212" s="36">
        <v>20163</v>
      </c>
      <c r="B212" s="9" t="s">
        <v>1585</v>
      </c>
      <c r="C212" s="9" t="s">
        <v>625</v>
      </c>
      <c r="D212" s="9" t="s">
        <v>626</v>
      </c>
      <c r="E212" s="9">
        <v>0</v>
      </c>
      <c r="F212" s="9">
        <v>7</v>
      </c>
      <c r="G212" s="9" t="s">
        <v>1377</v>
      </c>
      <c r="H212" s="9" t="s">
        <v>71</v>
      </c>
      <c r="I212" s="9"/>
      <c r="J212" s="98" t="s">
        <v>2811</v>
      </c>
      <c r="K212" s="16"/>
      <c r="L212" s="39"/>
      <c r="M212" s="4" t="str">
        <f t="shared" si="8"/>
        <v>INSERT INTO TransformationEngine_Field (FieldName, FieldDescription, SourceFieldName, DetailField, Length, Required, OutputFieldName, AllowedChars, AllowedValues) VALUES ('Output UB Box 67 B', 'Other DX Codes B', 'OCROthDiagCode2',0, 7, 0, 'CLM_DIAGNOSIS_CODE_3', 'A-Z,0-9', '')</v>
      </c>
    </row>
    <row r="213" spans="1:13" x14ac:dyDescent="0.35">
      <c r="A213" s="36">
        <v>20164</v>
      </c>
      <c r="B213" s="9" t="s">
        <v>1585</v>
      </c>
      <c r="C213" s="9" t="s">
        <v>625</v>
      </c>
      <c r="D213" s="9" t="s">
        <v>626</v>
      </c>
      <c r="E213" s="9">
        <v>0</v>
      </c>
      <c r="F213" s="9">
        <v>1</v>
      </c>
      <c r="G213" s="9" t="s">
        <v>1377</v>
      </c>
      <c r="H213" s="9" t="s">
        <v>612</v>
      </c>
      <c r="I213" s="9" t="s">
        <v>612</v>
      </c>
      <c r="J213" s="98" t="s">
        <v>2812</v>
      </c>
      <c r="K213" s="16"/>
      <c r="L213" s="39"/>
      <c r="M213" s="4" t="str">
        <f t="shared" si="8"/>
        <v>INSERT INTO TransformationEngine_Field (FieldName, FieldDescription, SourceFieldName, DetailField, Length, Required, OutputFieldName, AllowedChars, AllowedValues) VALUES ('Output UB Box 67 B', 'Other DX Codes B', 'OCROthDiagCode2',0, 1, 0, 'CLM_CODE_TYPE_IND_CODE_3', '0,N', '0,N')</v>
      </c>
    </row>
    <row r="214" spans="1:13" x14ac:dyDescent="0.35">
      <c r="A214" s="36">
        <v>20165</v>
      </c>
      <c r="B214" s="9" t="s">
        <v>1585</v>
      </c>
      <c r="C214" s="9" t="s">
        <v>627</v>
      </c>
      <c r="D214" s="9" t="s">
        <v>628</v>
      </c>
      <c r="E214" s="9">
        <v>0</v>
      </c>
      <c r="F214" s="9">
        <v>1</v>
      </c>
      <c r="G214" s="9" t="s">
        <v>1377</v>
      </c>
      <c r="H214" s="361" t="s">
        <v>2805</v>
      </c>
      <c r="I214" s="361" t="s">
        <v>2805</v>
      </c>
      <c r="J214" s="98" t="s">
        <v>2813</v>
      </c>
      <c r="K214" s="16"/>
      <c r="L214" s="39"/>
      <c r="M214" s="4" t="str">
        <f t="shared" si="8"/>
        <v>INSERT INTO TransformationEngine_Field (FieldName, FieldDescription, SourceFieldName, DetailField, Length, Required, OutputFieldName, AllowedChars, AllowedValues) VALUES ('Output UB Box 67 B', 'Other DX Codes POA B', 'OCROthDiagPOA2',0, 1, 0, 'CLM_POA_IND_CODE_3', 'Y,N,U,W, ,', 'Y,N,U,W, ,')</v>
      </c>
    </row>
    <row r="215" spans="1:13" x14ac:dyDescent="0.35">
      <c r="A215" s="36">
        <v>20166</v>
      </c>
      <c r="B215" s="9" t="s">
        <v>1588</v>
      </c>
      <c r="C215" s="9" t="s">
        <v>630</v>
      </c>
      <c r="D215" s="9" t="s">
        <v>631</v>
      </c>
      <c r="E215" s="9">
        <v>0</v>
      </c>
      <c r="F215" s="9">
        <v>7</v>
      </c>
      <c r="G215" s="9" t="s">
        <v>1377</v>
      </c>
      <c r="H215" s="9" t="s">
        <v>71</v>
      </c>
      <c r="I215" s="9"/>
      <c r="J215" s="98" t="s">
        <v>2814</v>
      </c>
      <c r="K215" s="16"/>
      <c r="L215" s="39"/>
      <c r="M215" s="4" t="str">
        <f t="shared" si="8"/>
        <v>INSERT INTO TransformationEngine_Field (FieldName, FieldDescription, SourceFieldName, DetailField, Length, Required, OutputFieldName, AllowedChars, AllowedValues) VALUES ('Output UB Box 67 C', 'Other DX Codes C', 'OCROthDiagCode3',0, 7, 0, 'CLM_DIAGNOSIS_CODE_4', 'A-Z,0-9', '')</v>
      </c>
    </row>
    <row r="216" spans="1:13" x14ac:dyDescent="0.35">
      <c r="A216" s="36">
        <v>20167</v>
      </c>
      <c r="B216" s="9" t="s">
        <v>1588</v>
      </c>
      <c r="C216" s="9" t="s">
        <v>630</v>
      </c>
      <c r="D216" s="9" t="s">
        <v>631</v>
      </c>
      <c r="E216" s="9">
        <v>0</v>
      </c>
      <c r="F216" s="9">
        <v>1</v>
      </c>
      <c r="G216" s="9" t="s">
        <v>1377</v>
      </c>
      <c r="H216" s="9" t="s">
        <v>612</v>
      </c>
      <c r="I216" s="9" t="s">
        <v>612</v>
      </c>
      <c r="J216" s="98" t="s">
        <v>2815</v>
      </c>
      <c r="K216" s="16"/>
      <c r="L216" s="39"/>
      <c r="M216" s="4" t="str">
        <f t="shared" si="8"/>
        <v>INSERT INTO TransformationEngine_Field (FieldName, FieldDescription, SourceFieldName, DetailField, Length, Required, OutputFieldName, AllowedChars, AllowedValues) VALUES ('Output UB Box 67 C', 'Other DX Codes C', 'OCROthDiagCode3',0, 1, 0, 'CLM_CODE_TYPE_IND_CODE_4', '0,N', '0,N')</v>
      </c>
    </row>
    <row r="217" spans="1:13" x14ac:dyDescent="0.35">
      <c r="A217" s="36">
        <v>20168</v>
      </c>
      <c r="B217" s="9" t="s">
        <v>1588</v>
      </c>
      <c r="C217" s="9" t="s">
        <v>632</v>
      </c>
      <c r="D217" s="9" t="s">
        <v>633</v>
      </c>
      <c r="E217" s="9">
        <v>0</v>
      </c>
      <c r="F217" s="9">
        <v>1</v>
      </c>
      <c r="G217" s="9" t="s">
        <v>1377</v>
      </c>
      <c r="H217" s="361" t="s">
        <v>2805</v>
      </c>
      <c r="I217" s="361" t="s">
        <v>2805</v>
      </c>
      <c r="J217" s="98" t="s">
        <v>2816</v>
      </c>
      <c r="K217" s="16"/>
      <c r="L217" s="39"/>
      <c r="M217" s="4" t="str">
        <f t="shared" si="8"/>
        <v>INSERT INTO TransformationEngine_Field (FieldName, FieldDescription, SourceFieldName, DetailField, Length, Required, OutputFieldName, AllowedChars, AllowedValues) VALUES ('Output UB Box 67 C', 'Other DX Codes POA C', 'OCROthDiagPOA3',0, 1, 0, 'CLM_POA_IND_CODE_4', 'Y,N,U,W, ,', 'Y,N,U,W, ,')</v>
      </c>
    </row>
    <row r="218" spans="1:13" x14ac:dyDescent="0.35">
      <c r="A218" s="36">
        <v>20169</v>
      </c>
      <c r="B218" s="9" t="s">
        <v>1591</v>
      </c>
      <c r="C218" s="9" t="s">
        <v>635</v>
      </c>
      <c r="D218" s="9" t="s">
        <v>636</v>
      </c>
      <c r="E218" s="9">
        <v>0</v>
      </c>
      <c r="F218" s="9">
        <v>7</v>
      </c>
      <c r="G218" s="9" t="s">
        <v>1377</v>
      </c>
      <c r="H218" s="9" t="s">
        <v>71</v>
      </c>
      <c r="I218" s="9"/>
      <c r="J218" s="98" t="s">
        <v>2817</v>
      </c>
      <c r="K218" s="16"/>
      <c r="L218" s="39"/>
      <c r="M218" s="4" t="str">
        <f t="shared" si="8"/>
        <v>INSERT INTO TransformationEngine_Field (FieldName, FieldDescription, SourceFieldName, DetailField, Length, Required, OutputFieldName, AllowedChars, AllowedValues) VALUES ('Output UB Box 67 D', 'Other DX Codes D', 'OCROthDiagCode4',0, 7, 0, 'CLM_DIAGNOSIS_CODE_5', 'A-Z,0-9', '')</v>
      </c>
    </row>
    <row r="219" spans="1:13" x14ac:dyDescent="0.35">
      <c r="A219" s="36">
        <v>20170</v>
      </c>
      <c r="B219" s="9" t="s">
        <v>1591</v>
      </c>
      <c r="C219" s="9" t="s">
        <v>635</v>
      </c>
      <c r="D219" s="9" t="s">
        <v>636</v>
      </c>
      <c r="E219" s="9">
        <v>0</v>
      </c>
      <c r="F219" s="9">
        <v>1</v>
      </c>
      <c r="G219" s="9" t="s">
        <v>1377</v>
      </c>
      <c r="H219" s="9" t="s">
        <v>612</v>
      </c>
      <c r="I219" s="9" t="s">
        <v>612</v>
      </c>
      <c r="J219" s="98" t="s">
        <v>2818</v>
      </c>
      <c r="K219" s="16"/>
      <c r="L219" s="39"/>
      <c r="M219" s="4" t="str">
        <f t="shared" si="8"/>
        <v>INSERT INTO TransformationEngine_Field (FieldName, FieldDescription, SourceFieldName, DetailField, Length, Required, OutputFieldName, AllowedChars, AllowedValues) VALUES ('Output UB Box 67 D', 'Other DX Codes D', 'OCROthDiagCode4',0, 1, 0, 'CLM_CODE_TYPE_IND_CODE_5', '0,N', '0,N')</v>
      </c>
    </row>
    <row r="220" spans="1:13" x14ac:dyDescent="0.35">
      <c r="A220" s="36">
        <v>20171</v>
      </c>
      <c r="B220" s="9" t="s">
        <v>1591</v>
      </c>
      <c r="C220" s="9" t="s">
        <v>637</v>
      </c>
      <c r="D220" s="9" t="s">
        <v>638</v>
      </c>
      <c r="E220" s="9">
        <v>0</v>
      </c>
      <c r="F220" s="9">
        <v>1</v>
      </c>
      <c r="G220" s="9" t="s">
        <v>1377</v>
      </c>
      <c r="H220" s="361" t="s">
        <v>2805</v>
      </c>
      <c r="I220" s="361" t="s">
        <v>2805</v>
      </c>
      <c r="J220" s="98" t="s">
        <v>2819</v>
      </c>
      <c r="K220" s="16"/>
      <c r="L220" s="39"/>
      <c r="M220" s="4" t="str">
        <f t="shared" si="8"/>
        <v>INSERT INTO TransformationEngine_Field (FieldName, FieldDescription, SourceFieldName, DetailField, Length, Required, OutputFieldName, AllowedChars, AllowedValues) VALUES ('Output UB Box 67 D', 'Other DX Codes POA D', 'OCROthDiagPOA4',0, 1, 0, 'CLM_POA_IND_CODE_5', 'Y,N,U,W, ,', 'Y,N,U,W, ,')</v>
      </c>
    </row>
    <row r="221" spans="1:13" x14ac:dyDescent="0.35">
      <c r="A221" s="36">
        <v>20172</v>
      </c>
      <c r="B221" s="9" t="s">
        <v>1594</v>
      </c>
      <c r="C221" s="9" t="s">
        <v>640</v>
      </c>
      <c r="D221" s="9" t="s">
        <v>641</v>
      </c>
      <c r="E221" s="9">
        <v>0</v>
      </c>
      <c r="F221" s="9">
        <v>7</v>
      </c>
      <c r="G221" s="9" t="s">
        <v>1377</v>
      </c>
      <c r="H221" s="9" t="s">
        <v>71</v>
      </c>
      <c r="I221" s="9"/>
      <c r="J221" s="98" t="s">
        <v>2820</v>
      </c>
      <c r="K221" s="16"/>
      <c r="L221" s="39"/>
      <c r="M221" s="4" t="str">
        <f t="shared" si="8"/>
        <v>INSERT INTO TransformationEngine_Field (FieldName, FieldDescription, SourceFieldName, DetailField, Length, Required, OutputFieldName, AllowedChars, AllowedValues) VALUES ('Output UB Box 67 E', 'Other DX Codes E', 'OCROthDiagCode5',0, 7, 0, 'CLM_DIAGNOSIS_CODE_6', 'A-Z,0-9', '')</v>
      </c>
    </row>
    <row r="222" spans="1:13" x14ac:dyDescent="0.35">
      <c r="A222" s="36">
        <v>20173</v>
      </c>
      <c r="B222" s="9" t="s">
        <v>1594</v>
      </c>
      <c r="C222" s="9" t="s">
        <v>640</v>
      </c>
      <c r="D222" s="9" t="s">
        <v>641</v>
      </c>
      <c r="E222" s="9">
        <v>0</v>
      </c>
      <c r="F222" s="9">
        <v>1</v>
      </c>
      <c r="G222" s="9" t="s">
        <v>1377</v>
      </c>
      <c r="H222" s="9" t="s">
        <v>612</v>
      </c>
      <c r="I222" s="9" t="s">
        <v>612</v>
      </c>
      <c r="J222" s="98" t="s">
        <v>2821</v>
      </c>
      <c r="K222" s="16"/>
      <c r="L222" s="39"/>
      <c r="M222" s="4" t="str">
        <f t="shared" si="8"/>
        <v>INSERT INTO TransformationEngine_Field (FieldName, FieldDescription, SourceFieldName, DetailField, Length, Required, OutputFieldName, AllowedChars, AllowedValues) VALUES ('Output UB Box 67 E', 'Other DX Codes E', 'OCROthDiagCode5',0, 1, 0, 'CLM_CODE_TYPE_IND_CODE_6', '0,N', '0,N')</v>
      </c>
    </row>
    <row r="223" spans="1:13" x14ac:dyDescent="0.35">
      <c r="A223" s="36">
        <v>20174</v>
      </c>
      <c r="B223" s="9" t="s">
        <v>1594</v>
      </c>
      <c r="C223" s="9" t="s">
        <v>642</v>
      </c>
      <c r="D223" s="9" t="s">
        <v>643</v>
      </c>
      <c r="E223" s="9">
        <v>0</v>
      </c>
      <c r="F223" s="9">
        <v>1</v>
      </c>
      <c r="G223" s="9" t="s">
        <v>1377</v>
      </c>
      <c r="H223" s="361" t="s">
        <v>2805</v>
      </c>
      <c r="I223" s="361" t="s">
        <v>2805</v>
      </c>
      <c r="J223" s="98" t="s">
        <v>2822</v>
      </c>
      <c r="K223" s="16"/>
      <c r="L223" s="39"/>
      <c r="M223" s="4" t="str">
        <f t="shared" si="8"/>
        <v>INSERT INTO TransformationEngine_Field (FieldName, FieldDescription, SourceFieldName, DetailField, Length, Required, OutputFieldName, AllowedChars, AllowedValues) VALUES ('Output UB Box 67 E', 'Other DX Codes POA E', 'OCROthDiagPOA5',0, 1, 0, 'CLM_POA_IND_CODE_6', 'Y,N,U,W, ,', 'Y,N,U,W, ,')</v>
      </c>
    </row>
    <row r="224" spans="1:13" x14ac:dyDescent="0.35">
      <c r="A224" s="36">
        <v>20175</v>
      </c>
      <c r="B224" s="9" t="s">
        <v>1597</v>
      </c>
      <c r="C224" s="9" t="s">
        <v>645</v>
      </c>
      <c r="D224" s="9" t="s">
        <v>646</v>
      </c>
      <c r="E224" s="9">
        <v>0</v>
      </c>
      <c r="F224" s="9">
        <v>7</v>
      </c>
      <c r="G224" s="9" t="s">
        <v>1377</v>
      </c>
      <c r="H224" s="9" t="s">
        <v>71</v>
      </c>
      <c r="I224" s="9"/>
      <c r="J224" s="98" t="s">
        <v>2823</v>
      </c>
      <c r="K224" s="16"/>
      <c r="L224" s="39"/>
      <c r="M224" s="4" t="str">
        <f t="shared" si="8"/>
        <v>INSERT INTO TransformationEngine_Field (FieldName, FieldDescription, SourceFieldName, DetailField, Length, Required, OutputFieldName, AllowedChars, AllowedValues) VALUES ('Output UB Box 67 F', 'Other DX Codes F', 'OCROthDiagCode6',0, 7, 0, 'CLM_DIAGNOSIS_CODE_7', 'A-Z,0-9', '')</v>
      </c>
    </row>
    <row r="225" spans="1:13" x14ac:dyDescent="0.35">
      <c r="A225" s="36">
        <v>20176</v>
      </c>
      <c r="B225" s="9" t="s">
        <v>1597</v>
      </c>
      <c r="C225" s="9" t="s">
        <v>645</v>
      </c>
      <c r="D225" s="9" t="s">
        <v>646</v>
      </c>
      <c r="E225" s="9">
        <v>0</v>
      </c>
      <c r="F225" s="9">
        <v>1</v>
      </c>
      <c r="G225" s="9" t="s">
        <v>1377</v>
      </c>
      <c r="H225" s="9" t="s">
        <v>612</v>
      </c>
      <c r="I225" s="9" t="s">
        <v>612</v>
      </c>
      <c r="J225" s="98" t="s">
        <v>2824</v>
      </c>
      <c r="K225" s="16"/>
      <c r="L225" s="39"/>
      <c r="M225" s="4" t="str">
        <f t="shared" si="8"/>
        <v>INSERT INTO TransformationEngine_Field (FieldName, FieldDescription, SourceFieldName, DetailField, Length, Required, OutputFieldName, AllowedChars, AllowedValues) VALUES ('Output UB Box 67 F', 'Other DX Codes F', 'OCROthDiagCode6',0, 1, 0, 'CLM_CODE_TYPE_IND_CODE_7', '0,N', '0,N')</v>
      </c>
    </row>
    <row r="226" spans="1:13" x14ac:dyDescent="0.35">
      <c r="A226" s="36">
        <v>20177</v>
      </c>
      <c r="B226" s="9" t="s">
        <v>1597</v>
      </c>
      <c r="C226" s="9" t="s">
        <v>647</v>
      </c>
      <c r="D226" s="9" t="s">
        <v>648</v>
      </c>
      <c r="E226" s="9">
        <v>0</v>
      </c>
      <c r="F226" s="9">
        <v>1</v>
      </c>
      <c r="G226" s="9" t="s">
        <v>1377</v>
      </c>
      <c r="H226" s="361" t="s">
        <v>2805</v>
      </c>
      <c r="I226" s="361" t="s">
        <v>2805</v>
      </c>
      <c r="J226" s="98" t="s">
        <v>2825</v>
      </c>
      <c r="K226" s="16"/>
      <c r="L226" s="39"/>
      <c r="M226" s="4" t="str">
        <f t="shared" si="8"/>
        <v>INSERT INTO TransformationEngine_Field (FieldName, FieldDescription, SourceFieldName, DetailField, Length, Required, OutputFieldName, AllowedChars, AllowedValues) VALUES ('Output UB Box 67 F', 'Other DX Codes POA F', 'OCROthDiagPOA6',0, 1, 0, 'CLM_POA_IND_CODE_7', 'Y,N,U,W, ,', 'Y,N,U,W, ,')</v>
      </c>
    </row>
    <row r="227" spans="1:13" x14ac:dyDescent="0.35">
      <c r="A227" s="36">
        <v>20178</v>
      </c>
      <c r="B227" s="9" t="s">
        <v>1600</v>
      </c>
      <c r="C227" s="9" t="s">
        <v>650</v>
      </c>
      <c r="D227" s="9" t="s">
        <v>651</v>
      </c>
      <c r="E227" s="9">
        <v>0</v>
      </c>
      <c r="F227" s="9">
        <v>7</v>
      </c>
      <c r="G227" s="9" t="s">
        <v>1377</v>
      </c>
      <c r="H227" s="9" t="s">
        <v>71</v>
      </c>
      <c r="I227" s="9"/>
      <c r="J227" s="98" t="s">
        <v>2826</v>
      </c>
      <c r="K227" s="16"/>
      <c r="L227" s="39"/>
      <c r="M227" s="4" t="str">
        <f t="shared" si="8"/>
        <v>INSERT INTO TransformationEngine_Field (FieldName, FieldDescription, SourceFieldName, DetailField, Length, Required, OutputFieldName, AllowedChars, AllowedValues) VALUES ('Output UB Box 67 G', 'Other DX Codes G', 'OCROthDiagCode7',0, 7, 0, 'CLM_DIAGNOSIS_CODE_8', 'A-Z,0-9', '')</v>
      </c>
    </row>
    <row r="228" spans="1:13" x14ac:dyDescent="0.35">
      <c r="A228" s="36">
        <v>20179</v>
      </c>
      <c r="B228" s="9" t="s">
        <v>1600</v>
      </c>
      <c r="C228" s="9" t="s">
        <v>650</v>
      </c>
      <c r="D228" s="9" t="s">
        <v>651</v>
      </c>
      <c r="E228" s="9">
        <v>0</v>
      </c>
      <c r="F228" s="9">
        <v>1</v>
      </c>
      <c r="G228" s="9" t="s">
        <v>1377</v>
      </c>
      <c r="H228" s="9" t="s">
        <v>612</v>
      </c>
      <c r="I228" s="9" t="s">
        <v>612</v>
      </c>
      <c r="J228" s="98" t="s">
        <v>2827</v>
      </c>
      <c r="K228" s="16"/>
      <c r="L228" s="39"/>
      <c r="M228" s="4" t="str">
        <f t="shared" si="8"/>
        <v>INSERT INTO TransformationEngine_Field (FieldName, FieldDescription, SourceFieldName, DetailField, Length, Required, OutputFieldName, AllowedChars, AllowedValues) VALUES ('Output UB Box 67 G', 'Other DX Codes G', 'OCROthDiagCode7',0, 1, 0, 'CLM_CODE_TYPE_IND_CODE_8', '0,N', '0,N')</v>
      </c>
    </row>
    <row r="229" spans="1:13" x14ac:dyDescent="0.35">
      <c r="A229" s="36">
        <v>20180</v>
      </c>
      <c r="B229" s="9" t="s">
        <v>1600</v>
      </c>
      <c r="C229" s="9" t="s">
        <v>652</v>
      </c>
      <c r="D229" s="9" t="s">
        <v>653</v>
      </c>
      <c r="E229" s="9">
        <v>0</v>
      </c>
      <c r="F229" s="9">
        <v>1</v>
      </c>
      <c r="G229" s="9" t="s">
        <v>1377</v>
      </c>
      <c r="H229" s="361" t="s">
        <v>2805</v>
      </c>
      <c r="I229" s="361" t="s">
        <v>2805</v>
      </c>
      <c r="J229" s="98" t="s">
        <v>2828</v>
      </c>
      <c r="K229" s="16"/>
      <c r="L229" s="39"/>
      <c r="M229" s="4" t="str">
        <f t="shared" si="8"/>
        <v>INSERT INTO TransformationEngine_Field (FieldName, FieldDescription, SourceFieldName, DetailField, Length, Required, OutputFieldName, AllowedChars, AllowedValues) VALUES ('Output UB Box 67 G', 'Other DX Codes POA G', 'OCROthDiagPOA7',0, 1, 0, 'CLM_POA_IND_CODE_8', 'Y,N,U,W, ,', 'Y,N,U,W, ,')</v>
      </c>
    </row>
    <row r="230" spans="1:13" x14ac:dyDescent="0.35">
      <c r="A230" s="36">
        <v>20181</v>
      </c>
      <c r="B230" s="9" t="s">
        <v>1603</v>
      </c>
      <c r="C230" s="9" t="s">
        <v>655</v>
      </c>
      <c r="D230" s="9" t="s">
        <v>656</v>
      </c>
      <c r="E230" s="9">
        <v>0</v>
      </c>
      <c r="F230" s="9">
        <v>7</v>
      </c>
      <c r="G230" s="9" t="s">
        <v>1377</v>
      </c>
      <c r="H230" s="9" t="s">
        <v>71</v>
      </c>
      <c r="I230" s="9"/>
      <c r="J230" s="98" t="s">
        <v>2829</v>
      </c>
      <c r="K230" s="16"/>
      <c r="L230" s="39"/>
      <c r="M230" s="4" t="str">
        <f t="shared" si="8"/>
        <v>INSERT INTO TransformationEngine_Field (FieldName, FieldDescription, SourceFieldName, DetailField, Length, Required, OutputFieldName, AllowedChars, AllowedValues) VALUES ('Output UB Box 67 H', 'Other DX Codes H', 'OCROthDiagCode8',0, 7, 0, 'CLM_DIAGNOSIS_CODE_9', 'A-Z,0-9', '')</v>
      </c>
    </row>
    <row r="231" spans="1:13" x14ac:dyDescent="0.35">
      <c r="A231" s="36">
        <v>20182</v>
      </c>
      <c r="B231" s="9" t="s">
        <v>1603</v>
      </c>
      <c r="C231" s="9" t="s">
        <v>655</v>
      </c>
      <c r="D231" s="9" t="s">
        <v>656</v>
      </c>
      <c r="E231" s="9">
        <v>0</v>
      </c>
      <c r="F231" s="9">
        <v>1</v>
      </c>
      <c r="G231" s="9" t="s">
        <v>1377</v>
      </c>
      <c r="H231" s="9" t="s">
        <v>612</v>
      </c>
      <c r="I231" s="9" t="s">
        <v>612</v>
      </c>
      <c r="J231" s="98" t="s">
        <v>2830</v>
      </c>
      <c r="K231" s="16"/>
      <c r="L231" s="39"/>
      <c r="M231" s="4" t="str">
        <f t="shared" si="8"/>
        <v>INSERT INTO TransformationEngine_Field (FieldName, FieldDescription, SourceFieldName, DetailField, Length, Required, OutputFieldName, AllowedChars, AllowedValues) VALUES ('Output UB Box 67 H', 'Other DX Codes H', 'OCROthDiagCode8',0, 1, 0, 'CLM_CODE_TYPE_IND_CODE_9', '0,N', '0,N')</v>
      </c>
    </row>
    <row r="232" spans="1:13" x14ac:dyDescent="0.35">
      <c r="A232" s="36">
        <v>20183</v>
      </c>
      <c r="B232" s="9" t="s">
        <v>1603</v>
      </c>
      <c r="C232" s="9" t="s">
        <v>657</v>
      </c>
      <c r="D232" s="9" t="s">
        <v>658</v>
      </c>
      <c r="E232" s="9">
        <v>0</v>
      </c>
      <c r="F232" s="9">
        <v>1</v>
      </c>
      <c r="G232" s="9" t="s">
        <v>1377</v>
      </c>
      <c r="H232" s="361" t="s">
        <v>2805</v>
      </c>
      <c r="I232" s="361" t="s">
        <v>2805</v>
      </c>
      <c r="J232" s="98" t="s">
        <v>2831</v>
      </c>
      <c r="K232" s="16"/>
      <c r="L232" s="39"/>
      <c r="M232" s="4" t="str">
        <f t="shared" si="8"/>
        <v>INSERT INTO TransformationEngine_Field (FieldName, FieldDescription, SourceFieldName, DetailField, Length, Required, OutputFieldName, AllowedChars, AllowedValues) VALUES ('Output UB Box 67 H', 'Other DX Codes POA H', 'OCROthDiagPOA8',0, 1, 0, 'CLM_POA_IND_CODE_9', 'Y,N,U,W, ,', 'Y,N,U,W, ,')</v>
      </c>
    </row>
    <row r="233" spans="1:13" x14ac:dyDescent="0.35">
      <c r="A233" s="36">
        <v>20184</v>
      </c>
      <c r="B233" s="9" t="s">
        <v>1606</v>
      </c>
      <c r="C233" s="9" t="s">
        <v>660</v>
      </c>
      <c r="D233" s="12" t="s">
        <v>661</v>
      </c>
      <c r="E233" s="9">
        <v>0</v>
      </c>
      <c r="F233" s="9">
        <v>7</v>
      </c>
      <c r="G233" s="9" t="s">
        <v>1377</v>
      </c>
      <c r="H233" s="9" t="s">
        <v>71</v>
      </c>
      <c r="I233" s="9"/>
      <c r="J233" s="98" t="s">
        <v>2832</v>
      </c>
      <c r="K233" s="16"/>
      <c r="L233" s="39"/>
      <c r="M233" s="4" t="str">
        <f t="shared" si="8"/>
        <v>INSERT INTO TransformationEngine_Field (FieldName, FieldDescription, SourceFieldName, DetailField, Length, Required, OutputFieldName, AllowedChars, AllowedValues) VALUES ('Output UB Box 67 I', 'Other DX Codes I', 'OCROtherDiagCode9',0, 7, 0, 'CLM_DIAGNOSIS_CODE_10', 'A-Z,0-9', '')</v>
      </c>
    </row>
    <row r="234" spans="1:13" x14ac:dyDescent="0.35">
      <c r="A234" s="36">
        <v>20185</v>
      </c>
      <c r="B234" s="9" t="s">
        <v>1606</v>
      </c>
      <c r="C234" s="9" t="s">
        <v>660</v>
      </c>
      <c r="D234" s="12" t="s">
        <v>661</v>
      </c>
      <c r="E234" s="9">
        <v>0</v>
      </c>
      <c r="F234" s="9">
        <v>1</v>
      </c>
      <c r="G234" s="9" t="s">
        <v>1377</v>
      </c>
      <c r="H234" s="9" t="s">
        <v>612</v>
      </c>
      <c r="I234" s="9" t="s">
        <v>612</v>
      </c>
      <c r="J234" s="98" t="s">
        <v>2833</v>
      </c>
      <c r="K234" s="16"/>
      <c r="L234" s="39"/>
      <c r="M234" s="4" t="str">
        <f t="shared" si="8"/>
        <v>INSERT INTO TransformationEngine_Field (FieldName, FieldDescription, SourceFieldName, DetailField, Length, Required, OutputFieldName, AllowedChars, AllowedValues) VALUES ('Output UB Box 67 I', 'Other DX Codes I', 'OCROtherDiagCode9',0, 1, 0, 'CLM_CODE_TYPE_IND_CODE_10', '0,N', '0,N')</v>
      </c>
    </row>
    <row r="235" spans="1:13" x14ac:dyDescent="0.35">
      <c r="A235" s="36">
        <v>20186</v>
      </c>
      <c r="B235" s="9" t="s">
        <v>1606</v>
      </c>
      <c r="C235" s="9" t="s">
        <v>663</v>
      </c>
      <c r="D235" s="12" t="s">
        <v>664</v>
      </c>
      <c r="E235" s="9">
        <v>0</v>
      </c>
      <c r="F235" s="9">
        <v>1</v>
      </c>
      <c r="G235" s="9" t="s">
        <v>1377</v>
      </c>
      <c r="H235" s="361" t="s">
        <v>2805</v>
      </c>
      <c r="I235" s="361" t="s">
        <v>2805</v>
      </c>
      <c r="J235" s="98" t="s">
        <v>2834</v>
      </c>
      <c r="K235" s="16"/>
      <c r="L235" s="39"/>
      <c r="M235" s="4" t="str">
        <f t="shared" si="8"/>
        <v>INSERT INTO TransformationEngine_Field (FieldName, FieldDescription, SourceFieldName, DetailField, Length, Required, OutputFieldName, AllowedChars, AllowedValues) VALUES ('Output UB Box 67 I', 'Other DX Codes POA I', 'OCROtherDiagPOA9',0, 1, 0, 'CLM_POA_IND_CODE_10', 'Y,N,U,W, ,', 'Y,N,U,W, ,')</v>
      </c>
    </row>
    <row r="236" spans="1:13" x14ac:dyDescent="0.35">
      <c r="A236" s="36">
        <v>20187</v>
      </c>
      <c r="B236" s="9" t="s">
        <v>1609</v>
      </c>
      <c r="C236" s="9" t="s">
        <v>667</v>
      </c>
      <c r="D236" s="12" t="s">
        <v>668</v>
      </c>
      <c r="E236" s="9">
        <v>0</v>
      </c>
      <c r="F236" s="9">
        <v>7</v>
      </c>
      <c r="G236" s="9" t="s">
        <v>1377</v>
      </c>
      <c r="H236" s="9" t="s">
        <v>71</v>
      </c>
      <c r="I236" s="9"/>
      <c r="J236" s="98" t="s">
        <v>2835</v>
      </c>
      <c r="K236" s="16"/>
      <c r="L236" s="39"/>
      <c r="M236" s="4" t="str">
        <f t="shared" si="8"/>
        <v>INSERT INTO TransformationEngine_Field (FieldName, FieldDescription, SourceFieldName, DetailField, Length, Required, OutputFieldName, AllowedChars, AllowedValues) VALUES ('Output UB Box 67 J', 'Other DX Codes J', 'OCROtherDiagCode10',0, 7, 0, 'CLM_DIAGNOSIS_CODE_11', 'A-Z,0-9', '')</v>
      </c>
    </row>
    <row r="237" spans="1:13" x14ac:dyDescent="0.35">
      <c r="A237" s="36">
        <v>20188</v>
      </c>
      <c r="B237" s="9" t="s">
        <v>1609</v>
      </c>
      <c r="C237" s="9" t="s">
        <v>667</v>
      </c>
      <c r="D237" s="12" t="s">
        <v>668</v>
      </c>
      <c r="E237" s="9">
        <v>0</v>
      </c>
      <c r="F237" s="9">
        <v>1</v>
      </c>
      <c r="G237" s="9" t="s">
        <v>1377</v>
      </c>
      <c r="H237" s="9" t="s">
        <v>612</v>
      </c>
      <c r="I237" s="9" t="s">
        <v>612</v>
      </c>
      <c r="J237" s="98" t="s">
        <v>2836</v>
      </c>
      <c r="K237" s="16"/>
      <c r="L237" s="39"/>
      <c r="M237" s="4" t="str">
        <f t="shared" si="8"/>
        <v>INSERT INTO TransformationEngine_Field (FieldName, FieldDescription, SourceFieldName, DetailField, Length, Required, OutputFieldName, AllowedChars, AllowedValues) VALUES ('Output UB Box 67 J', 'Other DX Codes J', 'OCROtherDiagCode10',0, 1, 0, 'CLM_CODE_TYPE_IND_CODE_11', '0,N', '0,N')</v>
      </c>
    </row>
    <row r="238" spans="1:13" x14ac:dyDescent="0.35">
      <c r="A238" s="36">
        <v>20189</v>
      </c>
      <c r="B238" s="9" t="s">
        <v>1609</v>
      </c>
      <c r="C238" s="9" t="s">
        <v>670</v>
      </c>
      <c r="D238" s="12" t="s">
        <v>671</v>
      </c>
      <c r="E238" s="9">
        <v>0</v>
      </c>
      <c r="F238" s="9">
        <v>1</v>
      </c>
      <c r="G238" s="9" t="s">
        <v>1377</v>
      </c>
      <c r="H238" s="361" t="s">
        <v>2805</v>
      </c>
      <c r="I238" s="361" t="s">
        <v>2805</v>
      </c>
      <c r="J238" s="98" t="s">
        <v>2837</v>
      </c>
      <c r="K238" s="16"/>
      <c r="L238" s="39"/>
      <c r="M238" s="4" t="str">
        <f t="shared" si="8"/>
        <v>INSERT INTO TransformationEngine_Field (FieldName, FieldDescription, SourceFieldName, DetailField, Length, Required, OutputFieldName, AllowedChars, AllowedValues) VALUES ('Output UB Box 67 J', 'Other DX Codes POA J', 'OCROtherDiagPOA10',0, 1, 0, 'CLM_POA_IND_CODE_11', 'Y,N,U,W, ,', 'Y,N,U,W, ,')</v>
      </c>
    </row>
    <row r="239" spans="1:13" x14ac:dyDescent="0.35">
      <c r="A239" s="36">
        <v>20190</v>
      </c>
      <c r="B239" s="9" t="s">
        <v>1612</v>
      </c>
      <c r="C239" s="9" t="s">
        <v>674</v>
      </c>
      <c r="D239" s="12" t="s">
        <v>675</v>
      </c>
      <c r="E239" s="9">
        <v>0</v>
      </c>
      <c r="F239" s="9">
        <v>7</v>
      </c>
      <c r="G239" s="9" t="s">
        <v>1377</v>
      </c>
      <c r="H239" s="9" t="s">
        <v>71</v>
      </c>
      <c r="I239" s="9"/>
      <c r="J239" s="98" t="s">
        <v>2838</v>
      </c>
      <c r="K239" s="16"/>
      <c r="L239" s="39"/>
      <c r="M239" s="4" t="str">
        <f t="shared" si="8"/>
        <v>INSERT INTO TransformationEngine_Field (FieldName, FieldDescription, SourceFieldName, DetailField, Length, Required, OutputFieldName, AllowedChars, AllowedValues) VALUES ('Output UB Box 67 K', 'Other DX Codes K', 'OCROtherDiagCode11',0, 7, 0, 'CLM_DIAGNOSIS_CODE_12', 'A-Z,0-9', '')</v>
      </c>
    </row>
    <row r="240" spans="1:13" x14ac:dyDescent="0.35">
      <c r="A240" s="36">
        <v>20191</v>
      </c>
      <c r="B240" s="9" t="s">
        <v>1612</v>
      </c>
      <c r="C240" s="9" t="s">
        <v>674</v>
      </c>
      <c r="D240" s="12" t="s">
        <v>675</v>
      </c>
      <c r="E240" s="9">
        <v>0</v>
      </c>
      <c r="F240" s="9">
        <v>1</v>
      </c>
      <c r="G240" s="9" t="s">
        <v>1377</v>
      </c>
      <c r="H240" s="9" t="s">
        <v>612</v>
      </c>
      <c r="I240" s="9" t="s">
        <v>612</v>
      </c>
      <c r="J240" s="98" t="s">
        <v>2839</v>
      </c>
      <c r="K240" s="16"/>
      <c r="L240" s="39"/>
      <c r="M240" s="4" t="str">
        <f t="shared" si="8"/>
        <v>INSERT INTO TransformationEngine_Field (FieldName, FieldDescription, SourceFieldName, DetailField, Length, Required, OutputFieldName, AllowedChars, AllowedValues) VALUES ('Output UB Box 67 K', 'Other DX Codes K', 'OCROtherDiagCode11',0, 1, 0, 'CLM_CODE_TYPE_IND_CODE_12', '0,N', '0,N')</v>
      </c>
    </row>
    <row r="241" spans="1:13" x14ac:dyDescent="0.35">
      <c r="A241" s="36">
        <v>20192</v>
      </c>
      <c r="B241" s="9" t="s">
        <v>1612</v>
      </c>
      <c r="C241" s="9" t="s">
        <v>677</v>
      </c>
      <c r="D241" s="12" t="s">
        <v>678</v>
      </c>
      <c r="E241" s="9">
        <v>0</v>
      </c>
      <c r="F241" s="9">
        <v>1</v>
      </c>
      <c r="G241" s="9" t="s">
        <v>1377</v>
      </c>
      <c r="H241" s="361" t="s">
        <v>2805</v>
      </c>
      <c r="I241" s="361" t="s">
        <v>2805</v>
      </c>
      <c r="J241" s="98" t="s">
        <v>2840</v>
      </c>
      <c r="K241" s="16"/>
      <c r="L241" s="39"/>
      <c r="M241" s="4" t="str">
        <f t="shared" si="8"/>
        <v>INSERT INTO TransformationEngine_Field (FieldName, FieldDescription, SourceFieldName, DetailField, Length, Required, OutputFieldName, AllowedChars, AllowedValues) VALUES ('Output UB Box 67 K', 'Other DX Codes POA K', 'OCROtherDiagPOA11',0, 1, 0, 'CLM_POA_IND_CODE_12', 'Y,N,U,W, ,', 'Y,N,U,W, ,')</v>
      </c>
    </row>
    <row r="242" spans="1:13" x14ac:dyDescent="0.35">
      <c r="A242" s="36">
        <v>20193</v>
      </c>
      <c r="B242" s="9" t="s">
        <v>1615</v>
      </c>
      <c r="C242" s="9" t="s">
        <v>681</v>
      </c>
      <c r="D242" s="12" t="s">
        <v>682</v>
      </c>
      <c r="E242" s="9">
        <v>0</v>
      </c>
      <c r="F242" s="9">
        <v>7</v>
      </c>
      <c r="G242" s="9" t="s">
        <v>1377</v>
      </c>
      <c r="H242" s="9" t="s">
        <v>71</v>
      </c>
      <c r="I242" s="9"/>
      <c r="J242" s="98" t="s">
        <v>2841</v>
      </c>
      <c r="K242" s="16"/>
      <c r="L242" s="39"/>
      <c r="M242" s="4" t="str">
        <f t="shared" si="8"/>
        <v>INSERT INTO TransformationEngine_Field (FieldName, FieldDescription, SourceFieldName, DetailField, Length, Required, OutputFieldName, AllowedChars, AllowedValues) VALUES ('Output UB Box 67 L', 'Other DX Codes L', 'OCROtherDiagCode12',0, 7, 0, 'CLM_DIAGNOSIS_CODE_13', 'A-Z,0-9', '')</v>
      </c>
    </row>
    <row r="243" spans="1:13" x14ac:dyDescent="0.35">
      <c r="A243" s="36">
        <v>20194</v>
      </c>
      <c r="B243" s="9" t="s">
        <v>1615</v>
      </c>
      <c r="C243" s="9" t="s">
        <v>681</v>
      </c>
      <c r="D243" s="12" t="s">
        <v>682</v>
      </c>
      <c r="E243" s="9">
        <v>0</v>
      </c>
      <c r="F243" s="9">
        <v>1</v>
      </c>
      <c r="G243" s="9" t="s">
        <v>1377</v>
      </c>
      <c r="H243" s="9" t="s">
        <v>612</v>
      </c>
      <c r="I243" s="9" t="s">
        <v>612</v>
      </c>
      <c r="J243" s="98" t="s">
        <v>2842</v>
      </c>
      <c r="K243" s="16"/>
      <c r="L243" s="39"/>
      <c r="M243" s="4" t="str">
        <f t="shared" si="8"/>
        <v>INSERT INTO TransformationEngine_Field (FieldName, FieldDescription, SourceFieldName, DetailField, Length, Required, OutputFieldName, AllowedChars, AllowedValues) VALUES ('Output UB Box 67 L', 'Other DX Codes L', 'OCROtherDiagCode12',0, 1, 0, 'CLM_CODE_TYPE_IND_CODE_13', '0,N', '0,N')</v>
      </c>
    </row>
    <row r="244" spans="1:13" x14ac:dyDescent="0.35">
      <c r="A244" s="36">
        <v>20195</v>
      </c>
      <c r="B244" s="9" t="s">
        <v>1615</v>
      </c>
      <c r="C244" s="9" t="s">
        <v>684</v>
      </c>
      <c r="D244" s="12" t="s">
        <v>685</v>
      </c>
      <c r="E244" s="9">
        <v>0</v>
      </c>
      <c r="F244" s="9">
        <v>1</v>
      </c>
      <c r="G244" s="9" t="s">
        <v>1377</v>
      </c>
      <c r="H244" s="361" t="s">
        <v>2805</v>
      </c>
      <c r="I244" s="361" t="s">
        <v>2805</v>
      </c>
      <c r="J244" s="98" t="s">
        <v>2843</v>
      </c>
      <c r="K244" s="16"/>
      <c r="L244" s="39"/>
      <c r="M244" s="4" t="str">
        <f t="shared" si="8"/>
        <v>INSERT INTO TransformationEngine_Field (FieldName, FieldDescription, SourceFieldName, DetailField, Length, Required, OutputFieldName, AllowedChars, AllowedValues) VALUES ('Output UB Box 67 L', 'Other DX Codes POA L', 'OCROtherDiagPOA12',0, 1, 0, 'CLM_POA_IND_CODE_13', 'Y,N,U,W, ,', 'Y,N,U,W, ,')</v>
      </c>
    </row>
    <row r="245" spans="1:13" x14ac:dyDescent="0.35">
      <c r="A245" s="36">
        <v>20196</v>
      </c>
      <c r="B245" s="9" t="s">
        <v>1618</v>
      </c>
      <c r="C245" s="9" t="s">
        <v>688</v>
      </c>
      <c r="D245" s="12" t="s">
        <v>689</v>
      </c>
      <c r="E245" s="9">
        <v>0</v>
      </c>
      <c r="F245" s="9">
        <v>7</v>
      </c>
      <c r="G245" s="9" t="s">
        <v>1377</v>
      </c>
      <c r="H245" s="9" t="s">
        <v>71</v>
      </c>
      <c r="I245" s="9"/>
      <c r="J245" s="98" t="s">
        <v>2844</v>
      </c>
      <c r="K245" s="16"/>
      <c r="L245" s="39"/>
      <c r="M245" s="4" t="str">
        <f t="shared" si="8"/>
        <v>INSERT INTO TransformationEngine_Field (FieldName, FieldDescription, SourceFieldName, DetailField, Length, Required, OutputFieldName, AllowedChars, AllowedValues) VALUES ('Output UB Box 67 M', 'Other DX Codes M', 'OCROtherDiagCode13',0, 7, 0, 'CLM_DIAGNOSIS_CODE_14', 'A-Z,0-9', '')</v>
      </c>
    </row>
    <row r="246" spans="1:13" x14ac:dyDescent="0.35">
      <c r="A246" s="36">
        <v>20197</v>
      </c>
      <c r="B246" s="9" t="s">
        <v>1618</v>
      </c>
      <c r="C246" s="9" t="s">
        <v>688</v>
      </c>
      <c r="D246" s="12" t="s">
        <v>689</v>
      </c>
      <c r="E246" s="9">
        <v>0</v>
      </c>
      <c r="F246" s="9">
        <v>1</v>
      </c>
      <c r="G246" s="9" t="s">
        <v>1377</v>
      </c>
      <c r="H246" s="9" t="s">
        <v>612</v>
      </c>
      <c r="I246" s="9" t="s">
        <v>612</v>
      </c>
      <c r="J246" s="98" t="s">
        <v>2845</v>
      </c>
      <c r="K246" s="16"/>
      <c r="L246" s="39"/>
      <c r="M246" s="4" t="str">
        <f t="shared" si="8"/>
        <v>INSERT INTO TransformationEngine_Field (FieldName, FieldDescription, SourceFieldName, DetailField, Length, Required, OutputFieldName, AllowedChars, AllowedValues) VALUES ('Output UB Box 67 M', 'Other DX Codes M', 'OCROtherDiagCode13',0, 1, 0, 'CLM_CODE_TYPE_IND_CODE_14', '0,N', '0,N')</v>
      </c>
    </row>
    <row r="247" spans="1:13" x14ac:dyDescent="0.35">
      <c r="A247" s="36">
        <v>20198</v>
      </c>
      <c r="B247" s="9" t="s">
        <v>1618</v>
      </c>
      <c r="C247" s="9" t="s">
        <v>684</v>
      </c>
      <c r="D247" s="12" t="s">
        <v>691</v>
      </c>
      <c r="E247" s="9">
        <v>0</v>
      </c>
      <c r="F247" s="9">
        <v>1</v>
      </c>
      <c r="G247" s="9" t="s">
        <v>1377</v>
      </c>
      <c r="H247" s="361" t="s">
        <v>2805</v>
      </c>
      <c r="I247" s="361" t="s">
        <v>2805</v>
      </c>
      <c r="J247" s="98" t="s">
        <v>2846</v>
      </c>
      <c r="K247" s="16"/>
      <c r="L247" s="39"/>
      <c r="M247" s="4" t="str">
        <f t="shared" si="8"/>
        <v>INSERT INTO TransformationEngine_Field (FieldName, FieldDescription, SourceFieldName, DetailField, Length, Required, OutputFieldName, AllowedChars, AllowedValues) VALUES ('Output UB Box 67 M', 'Other DX Codes POA L', 'OCROtherDiagPOA13',0, 1, 0, 'CLM_POA_IND_CODE_14', 'Y,N,U,W, ,', 'Y,N,U,W, ,')</v>
      </c>
    </row>
    <row r="248" spans="1:13" x14ac:dyDescent="0.35">
      <c r="A248" s="36">
        <v>20199</v>
      </c>
      <c r="B248" s="9" t="s">
        <v>1621</v>
      </c>
      <c r="C248" s="9" t="s">
        <v>694</v>
      </c>
      <c r="D248" s="12" t="s">
        <v>695</v>
      </c>
      <c r="E248" s="9">
        <v>0</v>
      </c>
      <c r="F248" s="9">
        <v>7</v>
      </c>
      <c r="G248" s="9" t="s">
        <v>1377</v>
      </c>
      <c r="H248" s="9" t="s">
        <v>71</v>
      </c>
      <c r="I248" s="9"/>
      <c r="J248" s="98" t="s">
        <v>2847</v>
      </c>
      <c r="K248" s="16"/>
      <c r="L248" s="39"/>
      <c r="M248" s="4" t="str">
        <f t="shared" si="8"/>
        <v>INSERT INTO TransformationEngine_Field (FieldName, FieldDescription, SourceFieldName, DetailField, Length, Required, OutputFieldName, AllowedChars, AllowedValues) VALUES ('Output UB Box 67 N', 'Other DX Codes N', 'OCROtherDiagCode14',0, 7, 0, 'CLM_DIAGNOSIS_CODE_15', 'A-Z,0-9', '')</v>
      </c>
    </row>
    <row r="249" spans="1:13" x14ac:dyDescent="0.35">
      <c r="A249" s="36">
        <v>20200</v>
      </c>
      <c r="B249" s="9" t="s">
        <v>1621</v>
      </c>
      <c r="C249" s="9" t="s">
        <v>694</v>
      </c>
      <c r="D249" s="12" t="s">
        <v>695</v>
      </c>
      <c r="E249" s="9">
        <v>0</v>
      </c>
      <c r="F249" s="9">
        <v>1</v>
      </c>
      <c r="G249" s="9" t="s">
        <v>1377</v>
      </c>
      <c r="H249" s="9" t="s">
        <v>612</v>
      </c>
      <c r="I249" s="9" t="s">
        <v>612</v>
      </c>
      <c r="J249" s="98" t="s">
        <v>2848</v>
      </c>
      <c r="K249" s="16"/>
      <c r="L249" s="39"/>
      <c r="M249" s="4" t="str">
        <f t="shared" si="8"/>
        <v>INSERT INTO TransformationEngine_Field (FieldName, FieldDescription, SourceFieldName, DetailField, Length, Required, OutputFieldName, AllowedChars, AllowedValues) VALUES ('Output UB Box 67 N', 'Other DX Codes N', 'OCROtherDiagCode14',0, 1, 0, 'CLM_CODE_TYPE_IND_CODE_15', '0,N', '0,N')</v>
      </c>
    </row>
    <row r="250" spans="1:13" x14ac:dyDescent="0.35">
      <c r="A250" s="36">
        <v>20201</v>
      </c>
      <c r="B250" s="9" t="s">
        <v>1621</v>
      </c>
      <c r="C250" s="9" t="s">
        <v>697</v>
      </c>
      <c r="D250" s="12" t="s">
        <v>698</v>
      </c>
      <c r="E250" s="9">
        <v>0</v>
      </c>
      <c r="F250" s="9">
        <v>1</v>
      </c>
      <c r="G250" s="9" t="s">
        <v>1377</v>
      </c>
      <c r="H250" s="361" t="s">
        <v>2805</v>
      </c>
      <c r="I250" s="361" t="s">
        <v>2805</v>
      </c>
      <c r="J250" s="98" t="s">
        <v>2849</v>
      </c>
      <c r="K250" s="16"/>
      <c r="L250" s="39"/>
      <c r="M250" s="4" t="str">
        <f>CONCATENATE("INSERT INTO TransformationEngine_Field (FieldName, FieldDescription, SourceFieldName, DetailField, Length, Required, OutputFieldName, AllowedChars, AllowedValues) VALUES ('", B250, "', '", C250, "', '", D250, "',", E250, ", ", F250, ", 0, '", J250, "', '", H250, "', '", I250, "')")</f>
        <v>INSERT INTO TransformationEngine_Field (FieldName, FieldDescription, SourceFieldName, DetailField, Length, Required, OutputFieldName, AllowedChars, AllowedValues) VALUES ('Output UB Box 67 N', 'Other DX Codes POA N', 'OCROtherDiagPOA14',0, 1, 0, 'CLM_POA_IND_CODE_15', 'Y,N,U,W, ,', 'Y,N,U,W, ,')</v>
      </c>
    </row>
    <row r="251" spans="1:13" x14ac:dyDescent="0.35">
      <c r="A251" s="36">
        <v>20202</v>
      </c>
      <c r="B251" s="9" t="s">
        <v>1624</v>
      </c>
      <c r="C251" s="9" t="s">
        <v>701</v>
      </c>
      <c r="D251" s="12" t="s">
        <v>702</v>
      </c>
      <c r="E251" s="9">
        <v>0</v>
      </c>
      <c r="F251" s="9">
        <v>7</v>
      </c>
      <c r="G251" s="9" t="s">
        <v>1377</v>
      </c>
      <c r="H251" s="9" t="s">
        <v>71</v>
      </c>
      <c r="I251" s="9"/>
      <c r="J251" s="98" t="s">
        <v>2850</v>
      </c>
      <c r="K251" s="16"/>
      <c r="L251" s="39"/>
      <c r="M251" s="4" t="str">
        <f t="shared" si="8"/>
        <v>INSERT INTO TransformationEngine_Field (FieldName, FieldDescription, SourceFieldName, DetailField, Length, Required, OutputFieldName, AllowedChars, AllowedValues) VALUES ('Output UB Box 67 0', 'Other DX Codes O', 'OCROtherDiagCode15',0, 7, 0, 'CLM_DIAGNOSIS_CODE_16', 'A-Z,0-9', '')</v>
      </c>
    </row>
    <row r="252" spans="1:13" x14ac:dyDescent="0.35">
      <c r="A252" s="36">
        <v>20203</v>
      </c>
      <c r="B252" s="9" t="s">
        <v>1624</v>
      </c>
      <c r="C252" s="9" t="s">
        <v>701</v>
      </c>
      <c r="D252" s="12" t="s">
        <v>702</v>
      </c>
      <c r="E252" s="9">
        <v>0</v>
      </c>
      <c r="F252" s="9">
        <v>1</v>
      </c>
      <c r="G252" s="9" t="s">
        <v>1377</v>
      </c>
      <c r="H252" s="9" t="s">
        <v>612</v>
      </c>
      <c r="I252" s="9" t="s">
        <v>612</v>
      </c>
      <c r="J252" s="98" t="s">
        <v>2851</v>
      </c>
      <c r="K252" s="16"/>
      <c r="L252" s="39"/>
      <c r="M252" s="4" t="str">
        <f t="shared" si="8"/>
        <v>INSERT INTO TransformationEngine_Field (FieldName, FieldDescription, SourceFieldName, DetailField, Length, Required, OutputFieldName, AllowedChars, AllowedValues) VALUES ('Output UB Box 67 0', 'Other DX Codes O', 'OCROtherDiagCode15',0, 1, 0, 'CLM_CODE_TYPE_IND_CODE_16', '0,N', '0,N')</v>
      </c>
    </row>
    <row r="253" spans="1:13" x14ac:dyDescent="0.35">
      <c r="A253" s="36">
        <v>20204</v>
      </c>
      <c r="B253" s="9" t="s">
        <v>1624</v>
      </c>
      <c r="C253" s="9" t="s">
        <v>704</v>
      </c>
      <c r="D253" s="12" t="s">
        <v>705</v>
      </c>
      <c r="E253" s="9">
        <v>0</v>
      </c>
      <c r="F253" s="9">
        <v>1</v>
      </c>
      <c r="G253" s="9" t="s">
        <v>1377</v>
      </c>
      <c r="H253" s="361" t="s">
        <v>2805</v>
      </c>
      <c r="I253" s="361" t="s">
        <v>2805</v>
      </c>
      <c r="J253" s="98" t="s">
        <v>2852</v>
      </c>
      <c r="K253" s="16"/>
      <c r="L253" s="39"/>
      <c r="M253" s="4" t="str">
        <f t="shared" si="8"/>
        <v>INSERT INTO TransformationEngine_Field (FieldName, FieldDescription, SourceFieldName, DetailField, Length, Required, OutputFieldName, AllowedChars, AllowedValues) VALUES ('Output UB Box 67 0', 'Other DX Codes POA O', 'OCROtherDiagPOA15',0, 1, 0, 'CLM_POA_IND_CODE_16', 'Y,N,U,W, ,', 'Y,N,U,W, ,')</v>
      </c>
    </row>
    <row r="254" spans="1:13" x14ac:dyDescent="0.35">
      <c r="A254" s="36">
        <v>20205</v>
      </c>
      <c r="B254" s="9" t="s">
        <v>1627</v>
      </c>
      <c r="C254" s="9" t="s">
        <v>708</v>
      </c>
      <c r="D254" s="12" t="s">
        <v>709</v>
      </c>
      <c r="E254" s="9">
        <v>0</v>
      </c>
      <c r="F254" s="9">
        <v>7</v>
      </c>
      <c r="G254" s="9" t="s">
        <v>1377</v>
      </c>
      <c r="H254" s="9" t="s">
        <v>71</v>
      </c>
      <c r="I254" s="9"/>
      <c r="J254" s="98" t="s">
        <v>2853</v>
      </c>
      <c r="K254" s="16"/>
      <c r="L254" s="39"/>
      <c r="M254" s="4" t="str">
        <f t="shared" si="8"/>
        <v>INSERT INTO TransformationEngine_Field (FieldName, FieldDescription, SourceFieldName, DetailField, Length, Required, OutputFieldName, AllowedChars, AllowedValues) VALUES ('Output UB Box 67 P', 'Other DX Codes P', 'OCROtherDiagCode16',0, 7, 0, 'CLM_DIAGNOSIS_CODE_17', 'A-Z,0-9', '')</v>
      </c>
    </row>
    <row r="255" spans="1:13" x14ac:dyDescent="0.35">
      <c r="A255" s="36">
        <v>20206</v>
      </c>
      <c r="B255" s="9" t="s">
        <v>1627</v>
      </c>
      <c r="C255" s="9" t="s">
        <v>708</v>
      </c>
      <c r="D255" s="12" t="s">
        <v>709</v>
      </c>
      <c r="E255" s="9">
        <v>0</v>
      </c>
      <c r="F255" s="9">
        <v>1</v>
      </c>
      <c r="G255" s="9" t="s">
        <v>1377</v>
      </c>
      <c r="H255" s="9" t="s">
        <v>612</v>
      </c>
      <c r="I255" s="9" t="s">
        <v>612</v>
      </c>
      <c r="J255" s="98" t="s">
        <v>2854</v>
      </c>
      <c r="K255" s="16"/>
      <c r="L255" s="39"/>
      <c r="M255" s="4" t="str">
        <f t="shared" si="8"/>
        <v>INSERT INTO TransformationEngine_Field (FieldName, FieldDescription, SourceFieldName, DetailField, Length, Required, OutputFieldName, AllowedChars, AllowedValues) VALUES ('Output UB Box 67 P', 'Other DX Codes P', 'OCROtherDiagCode16',0, 1, 0, 'CLM_CODE_TYPE_IND_CODE_17', '0,N', '0,N')</v>
      </c>
    </row>
    <row r="256" spans="1:13" x14ac:dyDescent="0.35">
      <c r="A256" s="36">
        <v>20207</v>
      </c>
      <c r="B256" s="9" t="s">
        <v>1627</v>
      </c>
      <c r="C256" s="9" t="s">
        <v>711</v>
      </c>
      <c r="D256" s="12" t="s">
        <v>712</v>
      </c>
      <c r="E256" s="9">
        <v>0</v>
      </c>
      <c r="F256" s="9">
        <v>1</v>
      </c>
      <c r="G256" s="9" t="s">
        <v>1377</v>
      </c>
      <c r="H256" s="361" t="s">
        <v>2805</v>
      </c>
      <c r="I256" s="361" t="s">
        <v>2805</v>
      </c>
      <c r="J256" s="98" t="s">
        <v>2855</v>
      </c>
      <c r="K256" s="16"/>
      <c r="L256" s="39"/>
      <c r="M256" s="4" t="str">
        <f t="shared" si="8"/>
        <v>INSERT INTO TransformationEngine_Field (FieldName, FieldDescription, SourceFieldName, DetailField, Length, Required, OutputFieldName, AllowedChars, AllowedValues) VALUES ('Output UB Box 67 P', 'Other DX Codes POA P', 'OCROtherDiagPOA16',0, 1, 0, 'CLM_POA_IND_CODE_17', 'Y,N,U,W, ,', 'Y,N,U,W, ,')</v>
      </c>
    </row>
    <row r="257" spans="1:13" x14ac:dyDescent="0.35">
      <c r="A257" s="36">
        <v>20208</v>
      </c>
      <c r="B257" s="9" t="s">
        <v>1630</v>
      </c>
      <c r="C257" s="9" t="s">
        <v>715</v>
      </c>
      <c r="D257" s="12" t="s">
        <v>716</v>
      </c>
      <c r="E257" s="9">
        <v>0</v>
      </c>
      <c r="F257" s="9">
        <v>7</v>
      </c>
      <c r="G257" s="9" t="s">
        <v>1377</v>
      </c>
      <c r="H257" s="9" t="s">
        <v>71</v>
      </c>
      <c r="I257" s="9"/>
      <c r="J257" s="98" t="s">
        <v>2856</v>
      </c>
      <c r="K257" s="16"/>
      <c r="L257" s="39"/>
      <c r="M257" s="4" t="str">
        <f t="shared" si="8"/>
        <v>INSERT INTO TransformationEngine_Field (FieldName, FieldDescription, SourceFieldName, DetailField, Length, Required, OutputFieldName, AllowedChars, AllowedValues) VALUES ('Output UB Box 67 Q', 'Other DX Codes Q', 'OCROtherDiagCode17',0, 7, 0, 'CLM_DIAGNOSIS_CODE_18', 'A-Z,0-9', '')</v>
      </c>
    </row>
    <row r="258" spans="1:13" x14ac:dyDescent="0.35">
      <c r="A258" s="36">
        <v>20209</v>
      </c>
      <c r="B258" s="9" t="s">
        <v>1630</v>
      </c>
      <c r="C258" s="9" t="s">
        <v>715</v>
      </c>
      <c r="D258" s="12" t="s">
        <v>716</v>
      </c>
      <c r="E258" s="9">
        <v>0</v>
      </c>
      <c r="F258" s="9">
        <v>1</v>
      </c>
      <c r="G258" s="9" t="s">
        <v>1377</v>
      </c>
      <c r="H258" s="9" t="s">
        <v>612</v>
      </c>
      <c r="I258" s="9" t="s">
        <v>612</v>
      </c>
      <c r="J258" s="98" t="s">
        <v>2857</v>
      </c>
      <c r="K258" s="16"/>
      <c r="L258" s="39"/>
      <c r="M258" s="4" t="str">
        <f t="shared" si="8"/>
        <v>INSERT INTO TransformationEngine_Field (FieldName, FieldDescription, SourceFieldName, DetailField, Length, Required, OutputFieldName, AllowedChars, AllowedValues) VALUES ('Output UB Box 67 Q', 'Other DX Codes Q', 'OCROtherDiagCode17',0, 1, 0, 'CLM_CODE_TYPE_IND_CODE_18', '0,N', '0,N')</v>
      </c>
    </row>
    <row r="259" spans="1:13" x14ac:dyDescent="0.35">
      <c r="A259" s="36">
        <v>20210</v>
      </c>
      <c r="B259" s="9" t="s">
        <v>1630</v>
      </c>
      <c r="C259" s="9" t="s">
        <v>718</v>
      </c>
      <c r="D259" s="12" t="s">
        <v>719</v>
      </c>
      <c r="E259" s="9">
        <v>0</v>
      </c>
      <c r="F259" s="9">
        <v>1</v>
      </c>
      <c r="G259" s="9" t="s">
        <v>1377</v>
      </c>
      <c r="H259" s="361" t="s">
        <v>2805</v>
      </c>
      <c r="I259" s="361" t="s">
        <v>2805</v>
      </c>
      <c r="J259" s="98" t="s">
        <v>2858</v>
      </c>
      <c r="K259" s="16"/>
      <c r="L259" s="39"/>
      <c r="M259" s="4" t="str">
        <f t="shared" si="8"/>
        <v>INSERT INTO TransformationEngine_Field (FieldName, FieldDescription, SourceFieldName, DetailField, Length, Required, OutputFieldName, AllowedChars, AllowedValues) VALUES ('Output UB Box 67 Q', 'Other DX Codes POA Q', 'OCROtherDiagPOA17',0, 1, 0, 'CLM_POA_IND_CODE_18', 'Y,N,U,W, ,', 'Y,N,U,W, ,')</v>
      </c>
    </row>
    <row r="260" spans="1:13" x14ac:dyDescent="0.35">
      <c r="A260" s="36">
        <v>20211</v>
      </c>
      <c r="B260" s="9" t="s">
        <v>1635</v>
      </c>
      <c r="C260" s="12" t="s">
        <v>728</v>
      </c>
      <c r="D260" s="9" t="s">
        <v>729</v>
      </c>
      <c r="E260" s="9">
        <v>0</v>
      </c>
      <c r="F260" s="9">
        <v>7</v>
      </c>
      <c r="G260" s="9" t="s">
        <v>1377</v>
      </c>
      <c r="H260" s="9" t="s">
        <v>71</v>
      </c>
      <c r="I260" s="9"/>
      <c r="J260" s="98" t="s">
        <v>2859</v>
      </c>
      <c r="K260" s="16"/>
      <c r="L260" s="39"/>
      <c r="M260" s="4" t="str">
        <f t="shared" ref="M260:M301" si="9">CONCATENATE("INSERT INTO TransformationEngine_Field (FieldName, FieldDescription, SourceFieldName, DetailField, Length, Required, OutputFieldName, AllowedChars, AllowedValues) VALUES ('", B260, "', '", C260, "', '", D260, "',", E260, ", ", F260, ", 0, '", J260, "', '", H260, "', '", I260, "')")</f>
        <v>INSERT INTO TransformationEngine_Field (FieldName, FieldDescription, SourceFieldName, DetailField, Length, Required, OutputFieldName, AllowedChars, AllowedValues) VALUES ('Output UB Box 69', 'Admitting Diagnosis', 'OCRAdmitDiagCode',0, 7, 0, 'CLM_HOSP_ADMIT_DIAGNOSIS_CODE', 'A-Z,0-9', '')</v>
      </c>
    </row>
    <row r="261" spans="1:13" x14ac:dyDescent="0.35">
      <c r="A261" s="36">
        <v>20212</v>
      </c>
      <c r="B261" s="9" t="s">
        <v>1635</v>
      </c>
      <c r="C261" s="12" t="s">
        <v>728</v>
      </c>
      <c r="D261" s="9" t="s">
        <v>729</v>
      </c>
      <c r="E261" s="9">
        <v>0</v>
      </c>
      <c r="F261" s="9">
        <v>1</v>
      </c>
      <c r="G261" s="9" t="s">
        <v>1377</v>
      </c>
      <c r="H261" s="9" t="s">
        <v>612</v>
      </c>
      <c r="I261" s="9" t="s">
        <v>612</v>
      </c>
      <c r="J261" s="98" t="s">
        <v>2860</v>
      </c>
      <c r="K261" s="16"/>
      <c r="L261" s="39"/>
      <c r="M261" s="4" t="str">
        <f t="shared" si="9"/>
        <v>INSERT INTO TransformationEngine_Field (FieldName, FieldDescription, SourceFieldName, DetailField, Length, Required, OutputFieldName, AllowedChars, AllowedValues) VALUES ('Output UB Box 69', 'Admitting Diagnosis', 'OCRAdmitDiagCode',0, 1, 0, 'CLM_HOSP_ADMIT_DIAG_CODE_TYPE_IND_CODE', '0,N', '0,N')</v>
      </c>
    </row>
    <row r="262" spans="1:13" x14ac:dyDescent="0.35">
      <c r="A262" s="36">
        <v>20213</v>
      </c>
      <c r="B262" s="9" t="s">
        <v>1637</v>
      </c>
      <c r="C262" s="9" t="s">
        <v>731</v>
      </c>
      <c r="D262" s="9" t="s">
        <v>732</v>
      </c>
      <c r="E262" s="9">
        <v>0</v>
      </c>
      <c r="F262" s="9">
        <v>7</v>
      </c>
      <c r="G262" s="9" t="s">
        <v>1377</v>
      </c>
      <c r="H262" s="9" t="s">
        <v>71</v>
      </c>
      <c r="I262" s="9"/>
      <c r="J262" s="98" t="s">
        <v>2861</v>
      </c>
      <c r="K262" s="16"/>
      <c r="L262" s="39"/>
      <c r="M262" s="4" t="str">
        <f t="shared" si="9"/>
        <v>INSERT INTO TransformationEngine_Field (FieldName, FieldDescription, SourceFieldName, DetailField, Length, Required, OutputFieldName, AllowedChars, AllowedValues) VALUES ('Output UB Box 70 a', 'Patient Reason DX Code a', 'OCRPatReasonDX1',0, 7, 0, 'CLM_PAT_RSN_CODE_A', 'A-Z,0-9', '')</v>
      </c>
    </row>
    <row r="263" spans="1:13" x14ac:dyDescent="0.35">
      <c r="A263" s="36">
        <v>20214</v>
      </c>
      <c r="B263" s="9" t="s">
        <v>1637</v>
      </c>
      <c r="C263" s="9" t="s">
        <v>731</v>
      </c>
      <c r="D263" s="9" t="s">
        <v>732</v>
      </c>
      <c r="E263" s="9">
        <v>0</v>
      </c>
      <c r="F263" s="9">
        <v>1</v>
      </c>
      <c r="G263" s="9" t="s">
        <v>1377</v>
      </c>
      <c r="H263" s="9" t="s">
        <v>612</v>
      </c>
      <c r="I263" s="9" t="s">
        <v>612</v>
      </c>
      <c r="J263" s="98" t="s">
        <v>2862</v>
      </c>
      <c r="K263" s="16"/>
      <c r="L263" s="39"/>
      <c r="M263" s="4" t="str">
        <f t="shared" si="9"/>
        <v>INSERT INTO TransformationEngine_Field (FieldName, FieldDescription, SourceFieldName, DetailField, Length, Required, OutputFieldName, AllowedChars, AllowedValues) VALUES ('Output UB Box 70 a', 'Patient Reason DX Code a', 'OCRPatReasonDX1',0, 1, 0, 'CLM_PAT_RSN_TYPE_IND_CODE_A', '0,N', '0,N')</v>
      </c>
    </row>
    <row r="264" spans="1:13" x14ac:dyDescent="0.35">
      <c r="A264" s="36">
        <v>20215</v>
      </c>
      <c r="B264" s="9" t="s">
        <v>1639</v>
      </c>
      <c r="C264" s="9" t="s">
        <v>734</v>
      </c>
      <c r="D264" s="9" t="s">
        <v>735</v>
      </c>
      <c r="E264" s="9">
        <v>0</v>
      </c>
      <c r="F264" s="9">
        <v>7</v>
      </c>
      <c r="G264" s="9" t="s">
        <v>1377</v>
      </c>
      <c r="H264" s="9" t="s">
        <v>71</v>
      </c>
      <c r="I264" s="9"/>
      <c r="J264" s="98" t="s">
        <v>2863</v>
      </c>
      <c r="K264" s="16"/>
      <c r="L264" s="39"/>
      <c r="M264" s="4" t="str">
        <f t="shared" si="9"/>
        <v>INSERT INTO TransformationEngine_Field (FieldName, FieldDescription, SourceFieldName, DetailField, Length, Required, OutputFieldName, AllowedChars, AllowedValues) VALUES ('Output UB Box 70 b', 'Patient Reason DX Code b', 'OCRPatReasonDX2',0, 7, 0, 'CLM_PAT_RSN_CODE_B', 'A-Z,0-9', '')</v>
      </c>
    </row>
    <row r="265" spans="1:13" x14ac:dyDescent="0.35">
      <c r="A265" s="36">
        <v>20216</v>
      </c>
      <c r="B265" s="9" t="s">
        <v>1639</v>
      </c>
      <c r="C265" s="9" t="s">
        <v>734</v>
      </c>
      <c r="D265" s="9" t="s">
        <v>735</v>
      </c>
      <c r="E265" s="9">
        <v>0</v>
      </c>
      <c r="F265" s="9">
        <v>1</v>
      </c>
      <c r="G265" s="9" t="s">
        <v>1377</v>
      </c>
      <c r="H265" s="9" t="s">
        <v>612</v>
      </c>
      <c r="I265" s="9" t="s">
        <v>612</v>
      </c>
      <c r="J265" s="98" t="s">
        <v>2864</v>
      </c>
      <c r="K265" s="16"/>
      <c r="L265" s="39"/>
      <c r="M265" s="4" t="str">
        <f t="shared" si="9"/>
        <v>INSERT INTO TransformationEngine_Field (FieldName, FieldDescription, SourceFieldName, DetailField, Length, Required, OutputFieldName, AllowedChars, AllowedValues) VALUES ('Output UB Box 70 b', 'Patient Reason DX Code b', 'OCRPatReasonDX2',0, 1, 0, 'CLM_PAT_RSN_TYPE_IND_CODE_B', '0,N', '0,N')</v>
      </c>
    </row>
    <row r="266" spans="1:13" x14ac:dyDescent="0.35">
      <c r="A266" s="36">
        <v>20217</v>
      </c>
      <c r="B266" s="9" t="s">
        <v>1640</v>
      </c>
      <c r="C266" s="9" t="s">
        <v>737</v>
      </c>
      <c r="D266" s="9" t="s">
        <v>738</v>
      </c>
      <c r="E266" s="9">
        <v>0</v>
      </c>
      <c r="F266" s="9">
        <v>7</v>
      </c>
      <c r="G266" s="9" t="s">
        <v>1377</v>
      </c>
      <c r="H266" s="9" t="s">
        <v>71</v>
      </c>
      <c r="I266" s="9"/>
      <c r="J266" s="98" t="s">
        <v>2865</v>
      </c>
      <c r="K266" s="16"/>
      <c r="L266" s="39"/>
      <c r="M266" s="4" t="str">
        <f t="shared" si="9"/>
        <v>INSERT INTO TransformationEngine_Field (FieldName, FieldDescription, SourceFieldName, DetailField, Length, Required, OutputFieldName, AllowedChars, AllowedValues) VALUES ('Output UB Box 70 c', 'Patient Reason DX Code c', 'OCRPatReasonDX3',0, 7, 0, 'CLM_PAT_RSN_CODE_C', 'A-Z,0-9', '')</v>
      </c>
    </row>
    <row r="267" spans="1:13" x14ac:dyDescent="0.35">
      <c r="A267" s="109">
        <v>20218</v>
      </c>
      <c r="B267" s="110" t="s">
        <v>1640</v>
      </c>
      <c r="C267" s="110" t="s">
        <v>737</v>
      </c>
      <c r="D267" s="110" t="s">
        <v>738</v>
      </c>
      <c r="E267" s="110">
        <v>0</v>
      </c>
      <c r="F267" s="110">
        <v>1</v>
      </c>
      <c r="G267" s="110" t="s">
        <v>1377</v>
      </c>
      <c r="H267" s="110" t="s">
        <v>612</v>
      </c>
      <c r="I267" s="110" t="s">
        <v>612</v>
      </c>
      <c r="J267" s="111" t="s">
        <v>2866</v>
      </c>
      <c r="K267" s="112"/>
      <c r="L267" s="113"/>
      <c r="M267" s="4" t="str">
        <f t="shared" si="9"/>
        <v>INSERT INTO TransformationEngine_Field (FieldName, FieldDescription, SourceFieldName, DetailField, Length, Required, OutputFieldName, AllowedChars, AllowedValues) VALUES ('Output UB Box 70 c', 'Patient Reason DX Code c', 'OCRPatReasonDX3',0, 1, 0, 'CLM_PAT_RSN_TYPE_IND_CODE_C', '0,N', '0,N')</v>
      </c>
    </row>
    <row r="268" spans="1:13" x14ac:dyDescent="0.35">
      <c r="A268" s="117">
        <v>20314</v>
      </c>
      <c r="B268" s="59" t="s">
        <v>2867</v>
      </c>
      <c r="C268" s="59" t="s">
        <v>2868</v>
      </c>
      <c r="D268" s="59" t="s">
        <v>1377</v>
      </c>
      <c r="E268" s="59">
        <v>0</v>
      </c>
      <c r="F268" s="59">
        <v>1</v>
      </c>
      <c r="G268" s="59" t="s">
        <v>611</v>
      </c>
      <c r="H268" s="59" t="s">
        <v>612</v>
      </c>
      <c r="I268" s="59" t="s">
        <v>612</v>
      </c>
      <c r="J268" s="59" t="s">
        <v>2862</v>
      </c>
      <c r="K268" s="59"/>
      <c r="L268" s="61"/>
    </row>
    <row r="269" spans="1:13" x14ac:dyDescent="0.35">
      <c r="A269" s="117">
        <v>20315</v>
      </c>
      <c r="B269" s="59" t="s">
        <v>2867</v>
      </c>
      <c r="C269" s="59" t="s">
        <v>2868</v>
      </c>
      <c r="D269" s="59" t="s">
        <v>1377</v>
      </c>
      <c r="E269" s="59">
        <v>0</v>
      </c>
      <c r="F269" s="59">
        <v>1</v>
      </c>
      <c r="G269" s="59" t="s">
        <v>611</v>
      </c>
      <c r="H269" s="59" t="s">
        <v>612</v>
      </c>
      <c r="I269" s="59" t="s">
        <v>612</v>
      </c>
      <c r="J269" s="59" t="s">
        <v>2864</v>
      </c>
      <c r="K269" s="59"/>
      <c r="L269" s="61"/>
    </row>
    <row r="270" spans="1:13" x14ac:dyDescent="0.35">
      <c r="A270" s="117">
        <v>20316</v>
      </c>
      <c r="B270" s="59" t="s">
        <v>2867</v>
      </c>
      <c r="C270" s="59" t="s">
        <v>2868</v>
      </c>
      <c r="D270" s="59" t="s">
        <v>1377</v>
      </c>
      <c r="E270" s="59">
        <v>0</v>
      </c>
      <c r="F270" s="59">
        <v>1</v>
      </c>
      <c r="G270" s="59" t="s">
        <v>611</v>
      </c>
      <c r="H270" s="59" t="s">
        <v>612</v>
      </c>
      <c r="I270" s="59" t="s">
        <v>612</v>
      </c>
      <c r="J270" s="59" t="s">
        <v>2866</v>
      </c>
      <c r="K270" s="59"/>
      <c r="L270" s="61"/>
    </row>
    <row r="271" spans="1:13" x14ac:dyDescent="0.35">
      <c r="A271" s="114">
        <v>20219</v>
      </c>
      <c r="B271" s="107" t="s">
        <v>1641</v>
      </c>
      <c r="C271" s="107" t="s">
        <v>740</v>
      </c>
      <c r="D271" s="107" t="s">
        <v>741</v>
      </c>
      <c r="E271" s="107">
        <v>0</v>
      </c>
      <c r="F271" s="107">
        <v>3</v>
      </c>
      <c r="G271" s="107" t="s">
        <v>1377</v>
      </c>
      <c r="H271" s="107" t="s">
        <v>27</v>
      </c>
      <c r="I271" s="107"/>
      <c r="J271" s="108" t="s">
        <v>2869</v>
      </c>
      <c r="K271" s="115"/>
      <c r="L271" s="116"/>
      <c r="M271" s="4" t="str">
        <f t="shared" si="9"/>
        <v>INSERT INTO TransformationEngine_Field (FieldName, FieldDescription, SourceFieldName, DetailField, Length, Required, OutputFieldName, AllowedChars, AllowedValues) VALUES ('Output UB Box 71', 'PPS Code', 'OCRPPSCode',0, 3, 0, 'CLM_DRG_NUMBER', '0-9', '')</v>
      </c>
    </row>
    <row r="272" spans="1:13" x14ac:dyDescent="0.35">
      <c r="A272" s="36">
        <v>20220</v>
      </c>
      <c r="B272" s="9" t="s">
        <v>1643</v>
      </c>
      <c r="C272" s="9" t="s">
        <v>2870</v>
      </c>
      <c r="D272" s="9" t="s">
        <v>744</v>
      </c>
      <c r="E272" s="9">
        <v>0</v>
      </c>
      <c r="F272" s="9">
        <v>7</v>
      </c>
      <c r="G272" s="9" t="s">
        <v>1377</v>
      </c>
      <c r="H272" s="9" t="s">
        <v>71</v>
      </c>
      <c r="I272" s="9"/>
      <c r="J272" s="98" t="s">
        <v>2871</v>
      </c>
      <c r="K272" s="16"/>
      <c r="L272" s="39"/>
      <c r="M272" s="4" t="str">
        <f t="shared" si="9"/>
        <v>INSERT INTO TransformationEngine_Field (FieldName, FieldDescription, SourceFieldName, DetailField, Length, Required, OutputFieldName, AllowedChars, AllowedValues) VALUES ('Output UB Box 72 a', 'External Cause of Injury', 'OCRECode',0, 7, 0, 'CLM_EXTNL_CAUSE_OF_ACCDNT_CD_A', 'A-Z,0-9', '')</v>
      </c>
    </row>
    <row r="273" spans="1:13" x14ac:dyDescent="0.35">
      <c r="A273" s="36">
        <v>20221</v>
      </c>
      <c r="B273" s="9" t="s">
        <v>1643</v>
      </c>
      <c r="C273" s="9" t="s">
        <v>2872</v>
      </c>
      <c r="D273" s="9" t="s">
        <v>744</v>
      </c>
      <c r="E273" s="9">
        <v>0</v>
      </c>
      <c r="F273" s="9">
        <v>1</v>
      </c>
      <c r="G273" s="9" t="s">
        <v>1377</v>
      </c>
      <c r="H273" s="9" t="s">
        <v>612</v>
      </c>
      <c r="I273" s="9" t="s">
        <v>612</v>
      </c>
      <c r="J273" s="98" t="s">
        <v>2873</v>
      </c>
      <c r="K273" s="16"/>
      <c r="L273" s="39"/>
      <c r="M273" s="4" t="str">
        <f t="shared" si="9"/>
        <v>INSERT INTO TransformationEngine_Field (FieldName, FieldDescription, SourceFieldName, DetailField, Length, Required, OutputFieldName, AllowedChars, AllowedValues) VALUES ('Output UB Box 72 a', 'External Cause of Injury Indicator', 'OCRECode',0, 1, 0, 'CLM_EXTNL_CAUSE_OF_ACC_TYPE_IND_CODE_A', '0,N', '0,N')</v>
      </c>
    </row>
    <row r="274" spans="1:13" x14ac:dyDescent="0.35">
      <c r="A274" s="36">
        <v>20222</v>
      </c>
      <c r="B274" s="9" t="s">
        <v>1643</v>
      </c>
      <c r="C274" s="9" t="s">
        <v>2870</v>
      </c>
      <c r="D274" s="9" t="s">
        <v>744</v>
      </c>
      <c r="E274" s="9">
        <v>0</v>
      </c>
      <c r="F274" s="9">
        <v>2</v>
      </c>
      <c r="G274" s="9" t="s">
        <v>1377</v>
      </c>
      <c r="H274" s="10" t="s">
        <v>61</v>
      </c>
      <c r="I274" s="10" t="s">
        <v>2874</v>
      </c>
      <c r="J274" s="98" t="s">
        <v>2875</v>
      </c>
      <c r="K274" s="16"/>
      <c r="L274" s="39"/>
      <c r="M274" s="4" t="str">
        <f t="shared" si="9"/>
        <v>INSERT INTO TransformationEngine_Field (FieldName, FieldDescription, SourceFieldName, DetailField, Length, Required, OutputFieldName, AllowedChars, AllowedValues) VALUES ('Output UB Box 72 a', 'External Cause of Injury', 'OCRECode',0, 2, 0, 'CLM_EXTNL_CAUSE_OF_ACCDNT_IND_CD_A', ' ,A-Z', 'EM,AA, ,OA')</v>
      </c>
    </row>
    <row r="275" spans="1:13" x14ac:dyDescent="0.35">
      <c r="A275" s="36">
        <v>20223</v>
      </c>
      <c r="B275" s="9" t="s">
        <v>1643</v>
      </c>
      <c r="C275" s="9" t="s">
        <v>2876</v>
      </c>
      <c r="D275" s="9" t="s">
        <v>746</v>
      </c>
      <c r="E275" s="9">
        <v>0</v>
      </c>
      <c r="F275" s="9">
        <v>1</v>
      </c>
      <c r="G275" s="9" t="s">
        <v>1377</v>
      </c>
      <c r="H275" s="10" t="s">
        <v>2877</v>
      </c>
      <c r="I275" s="10" t="s">
        <v>2877</v>
      </c>
      <c r="J275" s="98" t="s">
        <v>2878</v>
      </c>
      <c r="K275" s="16"/>
      <c r="L275" s="39"/>
      <c r="M275" s="4" t="str">
        <f t="shared" si="9"/>
        <v>INSERT INTO TransformationEngine_Field (FieldName, FieldDescription, SourceFieldName, DetailField, Length, Required, OutputFieldName, AllowedChars, AllowedValues) VALUES ('Output UB Box 72 a', 'External Cause of Injury POA', 'OCRECodePOA',0, 1, 0, 'CLM_EXTNL_CAUSE_OF_ACCDNT_POA_CD_A', 'Y,N,U,W,1, ,', 'Y,N,U,W,1, ,')</v>
      </c>
    </row>
    <row r="276" spans="1:13" x14ac:dyDescent="0.35">
      <c r="A276" s="36">
        <v>20224</v>
      </c>
      <c r="B276" s="9" t="s">
        <v>1646</v>
      </c>
      <c r="C276" s="9" t="s">
        <v>2870</v>
      </c>
      <c r="D276" s="9" t="s">
        <v>749</v>
      </c>
      <c r="E276" s="9">
        <v>0</v>
      </c>
      <c r="F276" s="9">
        <v>7</v>
      </c>
      <c r="G276" s="9" t="s">
        <v>1377</v>
      </c>
      <c r="H276" s="9" t="s">
        <v>71</v>
      </c>
      <c r="I276" s="9"/>
      <c r="J276" s="98" t="s">
        <v>2879</v>
      </c>
      <c r="K276" s="16"/>
      <c r="L276" s="39"/>
      <c r="M276" s="4" t="str">
        <f t="shared" si="9"/>
        <v>INSERT INTO TransformationEngine_Field (FieldName, FieldDescription, SourceFieldName, DetailField, Length, Required, OutputFieldName, AllowedChars, AllowedValues) VALUES ('Output UB Box 72 b', 'External Cause of Injury', 'OCRECode2',0, 7, 0, 'CLM_EXTNL_CAUSE_OF_ACCDNT_CD_B', 'A-Z,0-9', '')</v>
      </c>
    </row>
    <row r="277" spans="1:13" x14ac:dyDescent="0.35">
      <c r="A277" s="36">
        <v>20225</v>
      </c>
      <c r="B277" s="9" t="s">
        <v>1646</v>
      </c>
      <c r="C277" s="9" t="s">
        <v>2872</v>
      </c>
      <c r="D277" s="9" t="s">
        <v>749</v>
      </c>
      <c r="E277" s="9">
        <v>0</v>
      </c>
      <c r="F277" s="9">
        <v>1</v>
      </c>
      <c r="G277" s="9" t="s">
        <v>1377</v>
      </c>
      <c r="H277" s="9" t="s">
        <v>612</v>
      </c>
      <c r="I277" s="9" t="s">
        <v>612</v>
      </c>
      <c r="J277" s="98" t="s">
        <v>2880</v>
      </c>
      <c r="K277" s="16"/>
      <c r="L277" s="39"/>
      <c r="M277" s="4" t="str">
        <f t="shared" si="9"/>
        <v>INSERT INTO TransformationEngine_Field (FieldName, FieldDescription, SourceFieldName, DetailField, Length, Required, OutputFieldName, AllowedChars, AllowedValues) VALUES ('Output UB Box 72 b', 'External Cause of Injury Indicator', 'OCRECode2',0, 1, 0, 'CLM_EXTNL_CAUSE_OF_ACC_TYPE_IND_CODE_B', '0,N', '0,N')</v>
      </c>
    </row>
    <row r="278" spans="1:13" x14ac:dyDescent="0.35">
      <c r="A278" s="36">
        <v>20226</v>
      </c>
      <c r="B278" s="9" t="s">
        <v>1646</v>
      </c>
      <c r="C278" s="9" t="s">
        <v>2870</v>
      </c>
      <c r="D278" s="9" t="s">
        <v>749</v>
      </c>
      <c r="E278" s="9">
        <v>0</v>
      </c>
      <c r="F278" s="9">
        <v>2</v>
      </c>
      <c r="G278" s="9" t="s">
        <v>1377</v>
      </c>
      <c r="H278" s="10" t="s">
        <v>61</v>
      </c>
      <c r="I278" s="10" t="s">
        <v>2874</v>
      </c>
      <c r="J278" s="98" t="s">
        <v>2881</v>
      </c>
      <c r="K278" s="16"/>
      <c r="L278" s="39"/>
      <c r="M278" s="4" t="str">
        <f t="shared" si="9"/>
        <v>INSERT INTO TransformationEngine_Field (FieldName, FieldDescription, SourceFieldName, DetailField, Length, Required, OutputFieldName, AllowedChars, AllowedValues) VALUES ('Output UB Box 72 b', 'External Cause of Injury', 'OCRECode2',0, 2, 0, 'CLM_EXTNL_CAUSE_OF_ACCDNT_IND_CD_B', ' ,A-Z', 'EM,AA, ,OA')</v>
      </c>
    </row>
    <row r="279" spans="1:13" x14ac:dyDescent="0.35">
      <c r="A279" s="36">
        <v>20227</v>
      </c>
      <c r="B279" s="9" t="s">
        <v>1646</v>
      </c>
      <c r="C279" s="9" t="s">
        <v>2876</v>
      </c>
      <c r="D279" s="9" t="s">
        <v>751</v>
      </c>
      <c r="E279" s="9">
        <v>0</v>
      </c>
      <c r="F279" s="9">
        <v>1</v>
      </c>
      <c r="G279" s="9" t="s">
        <v>1377</v>
      </c>
      <c r="H279" s="10" t="s">
        <v>2877</v>
      </c>
      <c r="I279" s="10" t="s">
        <v>2877</v>
      </c>
      <c r="J279" s="98" t="s">
        <v>2882</v>
      </c>
      <c r="K279" s="16"/>
      <c r="L279" s="39"/>
      <c r="M279" s="4" t="str">
        <f t="shared" si="9"/>
        <v>INSERT INTO TransformationEngine_Field (FieldName, FieldDescription, SourceFieldName, DetailField, Length, Required, OutputFieldName, AllowedChars, AllowedValues) VALUES ('Output UB Box 72 b', 'External Cause of Injury POA', 'OCRECode2POA',0, 1, 0, 'CLM_EXTNL_CAUSE_OF_ACCDNT_POA_CD_B', 'Y,N,U,W,1, ,', 'Y,N,U,W,1, ,')</v>
      </c>
    </row>
    <row r="280" spans="1:13" x14ac:dyDescent="0.35">
      <c r="A280" s="36">
        <v>20228</v>
      </c>
      <c r="B280" s="9" t="s">
        <v>1648</v>
      </c>
      <c r="C280" s="9" t="s">
        <v>2870</v>
      </c>
      <c r="D280" s="9" t="s">
        <v>754</v>
      </c>
      <c r="E280" s="9">
        <v>0</v>
      </c>
      <c r="F280" s="9">
        <v>7</v>
      </c>
      <c r="G280" s="9" t="s">
        <v>1377</v>
      </c>
      <c r="H280" s="9" t="s">
        <v>71</v>
      </c>
      <c r="I280" s="9"/>
      <c r="J280" s="98" t="s">
        <v>2883</v>
      </c>
      <c r="K280" s="16"/>
      <c r="L280" s="39"/>
      <c r="M280" s="4" t="str">
        <f t="shared" si="9"/>
        <v>INSERT INTO TransformationEngine_Field (FieldName, FieldDescription, SourceFieldName, DetailField, Length, Required, OutputFieldName, AllowedChars, AllowedValues) VALUES ('Output UB Box 72 c', 'External Cause of Injury', 'OCRECode3',0, 7, 0, 'CLM_EXTNL_CAUSE_OF_ACCDNT_CD_C', 'A-Z,0-9', '')</v>
      </c>
    </row>
    <row r="281" spans="1:13" x14ac:dyDescent="0.35">
      <c r="A281" s="36">
        <v>20229</v>
      </c>
      <c r="B281" s="9" t="s">
        <v>1648</v>
      </c>
      <c r="C281" s="9" t="s">
        <v>2872</v>
      </c>
      <c r="D281" s="9" t="s">
        <v>754</v>
      </c>
      <c r="E281" s="9">
        <v>0</v>
      </c>
      <c r="F281" s="9">
        <v>1</v>
      </c>
      <c r="G281" s="9" t="s">
        <v>1377</v>
      </c>
      <c r="H281" s="9" t="s">
        <v>612</v>
      </c>
      <c r="I281" s="9" t="s">
        <v>612</v>
      </c>
      <c r="J281" s="98" t="s">
        <v>2884</v>
      </c>
      <c r="K281" s="16"/>
      <c r="L281" s="39"/>
      <c r="M281" s="4" t="str">
        <f t="shared" si="9"/>
        <v>INSERT INTO TransformationEngine_Field (FieldName, FieldDescription, SourceFieldName, DetailField, Length, Required, OutputFieldName, AllowedChars, AllowedValues) VALUES ('Output UB Box 72 c', 'External Cause of Injury Indicator', 'OCRECode3',0, 1, 0, 'CLM_EXTNL_CAUSE_OF_ACC_TYPE_IND_CODE_C', '0,N', '0,N')</v>
      </c>
    </row>
    <row r="282" spans="1:13" x14ac:dyDescent="0.35">
      <c r="A282" s="36">
        <v>20230</v>
      </c>
      <c r="B282" s="9" t="s">
        <v>1648</v>
      </c>
      <c r="C282" s="9" t="s">
        <v>2870</v>
      </c>
      <c r="D282" s="9" t="s">
        <v>754</v>
      </c>
      <c r="E282" s="9">
        <v>0</v>
      </c>
      <c r="F282" s="9">
        <v>2</v>
      </c>
      <c r="G282" s="9" t="s">
        <v>1377</v>
      </c>
      <c r="H282" s="10" t="s">
        <v>61</v>
      </c>
      <c r="I282" s="10" t="s">
        <v>2874</v>
      </c>
      <c r="J282" s="98" t="s">
        <v>2885</v>
      </c>
      <c r="K282" s="16"/>
      <c r="L282" s="39"/>
      <c r="M282" s="4" t="str">
        <f t="shared" si="9"/>
        <v>INSERT INTO TransformationEngine_Field (FieldName, FieldDescription, SourceFieldName, DetailField, Length, Required, OutputFieldName, AllowedChars, AllowedValues) VALUES ('Output UB Box 72 c', 'External Cause of Injury', 'OCRECode3',0, 2, 0, 'CLM_EXTNL_CAUSE_OF_ACCDNT_IND_CD_C', ' ,A-Z', 'EM,AA, ,OA')</v>
      </c>
    </row>
    <row r="283" spans="1:13" x14ac:dyDescent="0.35">
      <c r="A283" s="36">
        <v>20231</v>
      </c>
      <c r="B283" s="9" t="s">
        <v>1648</v>
      </c>
      <c r="C283" s="9" t="s">
        <v>2876</v>
      </c>
      <c r="D283" s="9" t="s">
        <v>756</v>
      </c>
      <c r="E283" s="9">
        <v>0</v>
      </c>
      <c r="F283" s="9">
        <v>1</v>
      </c>
      <c r="G283" s="9" t="s">
        <v>1377</v>
      </c>
      <c r="H283" s="10" t="s">
        <v>2877</v>
      </c>
      <c r="I283" s="10" t="s">
        <v>2877</v>
      </c>
      <c r="J283" s="98" t="s">
        <v>2886</v>
      </c>
      <c r="K283" s="16"/>
      <c r="L283" s="39"/>
      <c r="M283" s="4" t="str">
        <f t="shared" si="9"/>
        <v>INSERT INTO TransformationEngine_Field (FieldName, FieldDescription, SourceFieldName, DetailField, Length, Required, OutputFieldName, AllowedChars, AllowedValues) VALUES ('Output UB Box 72 c', 'External Cause of Injury POA', 'OCRECode3POA',0, 1, 0, 'CLM_EXTNL_CAUSE_OF_ACCDNT_POA_CD_C', 'Y,N,U,W,1, ,', 'Y,N,U,W,1, ,')</v>
      </c>
    </row>
    <row r="284" spans="1:13" x14ac:dyDescent="0.35">
      <c r="A284" s="36">
        <v>20232</v>
      </c>
      <c r="B284" s="9" t="s">
        <v>1651</v>
      </c>
      <c r="C284" s="9" t="s">
        <v>761</v>
      </c>
      <c r="D284" s="9" t="s">
        <v>762</v>
      </c>
      <c r="E284" s="9">
        <v>0</v>
      </c>
      <c r="F284" s="12">
        <v>7</v>
      </c>
      <c r="G284" s="9" t="s">
        <v>1377</v>
      </c>
      <c r="H284" s="9" t="s">
        <v>71</v>
      </c>
      <c r="I284" s="9"/>
      <c r="J284" s="98" t="s">
        <v>2887</v>
      </c>
      <c r="K284" s="16"/>
      <c r="L284" s="39"/>
      <c r="M284" s="4" t="str">
        <f t="shared" si="9"/>
        <v>INSERT INTO TransformationEngine_Field (FieldName, FieldDescription, SourceFieldName, DetailField, Length, Required, OutputFieldName, AllowedChars, AllowedValues) VALUES ('Output UB Box 74', 'Principal Procedure Code', 'OCRPrinProcCode',0, 7, 0, 'CLM_HOSP_PROC_CODE', 'A-Z,0-9', '')</v>
      </c>
    </row>
    <row r="285" spans="1:13" x14ac:dyDescent="0.35">
      <c r="A285" s="36">
        <v>20233</v>
      </c>
      <c r="B285" s="9" t="s">
        <v>1651</v>
      </c>
      <c r="C285" s="9" t="s">
        <v>2888</v>
      </c>
      <c r="D285" s="9" t="s">
        <v>762</v>
      </c>
      <c r="E285" s="9">
        <v>0</v>
      </c>
      <c r="F285" s="12">
        <v>1</v>
      </c>
      <c r="G285" s="9" t="s">
        <v>1377</v>
      </c>
      <c r="H285" s="9" t="s">
        <v>612</v>
      </c>
      <c r="I285" s="9" t="s">
        <v>612</v>
      </c>
      <c r="J285" s="98" t="s">
        <v>2889</v>
      </c>
      <c r="L285" s="39"/>
      <c r="M285" s="4" t="str">
        <f t="shared" si="9"/>
        <v>INSERT INTO TransformationEngine_Field (FieldName, FieldDescription, SourceFieldName, DetailField, Length, Required, OutputFieldName, AllowedChars, AllowedValues) VALUES ('Output UB Box 74', 'Principal Procedure Code Ind', 'OCRPrinProcCode',0, 1, 0, 'CLM_PROC_CODE_TYPE_IND_CODE_1', '0,N', '0,N')</v>
      </c>
    </row>
    <row r="286" spans="1:13" x14ac:dyDescent="0.35">
      <c r="A286" s="36">
        <v>20234</v>
      </c>
      <c r="B286" s="9" t="s">
        <v>1651</v>
      </c>
      <c r="C286" s="9" t="s">
        <v>763</v>
      </c>
      <c r="D286" s="9" t="s">
        <v>764</v>
      </c>
      <c r="E286" s="9">
        <v>0</v>
      </c>
      <c r="F286" s="12">
        <v>8</v>
      </c>
      <c r="G286" s="9" t="s">
        <v>1377</v>
      </c>
      <c r="H286" s="9" t="s">
        <v>27</v>
      </c>
      <c r="I286" s="9"/>
      <c r="J286" s="98" t="s">
        <v>2890</v>
      </c>
      <c r="K286" s="16" t="s">
        <v>2575</v>
      </c>
      <c r="L286" s="39"/>
      <c r="M286" s="4" t="str">
        <f t="shared" si="9"/>
        <v>INSERT INTO TransformationEngine_Field (FieldName, FieldDescription, SourceFieldName, DetailField, Length, Required, OutputFieldName, AllowedChars, AllowedValues) VALUES ('Output UB Box 74', 'Principal Procedure Date', 'OCRPrinProcDate',0, 8, 0, 'CLM_HOSP_PROC_CCYYMMDD_1', '0-9', '')</v>
      </c>
    </row>
    <row r="287" spans="1:13" x14ac:dyDescent="0.35">
      <c r="A287" s="36">
        <v>20235</v>
      </c>
      <c r="B287" s="9" t="s">
        <v>1654</v>
      </c>
      <c r="C287" s="9" t="s">
        <v>766</v>
      </c>
      <c r="D287" s="9" t="s">
        <v>767</v>
      </c>
      <c r="E287" s="9">
        <v>0</v>
      </c>
      <c r="F287" s="12">
        <v>7</v>
      </c>
      <c r="G287" s="9" t="s">
        <v>1377</v>
      </c>
      <c r="H287" s="9" t="s">
        <v>71</v>
      </c>
      <c r="I287" s="9"/>
      <c r="J287" s="98" t="s">
        <v>2891</v>
      </c>
      <c r="K287" s="16"/>
      <c r="L287" s="39"/>
      <c r="M287" s="4" t="str">
        <f t="shared" si="9"/>
        <v>INSERT INTO TransformationEngine_Field (FieldName, FieldDescription, SourceFieldName, DetailField, Length, Required, OutputFieldName, AllowedChars, AllowedValues) VALUES ('Output UB Box 74 a', 'Other Procedure Code a', 'OCRProcCode1',0, 7, 0, 'CLM_HOSP_PROC_CODE_A', 'A-Z,0-9', '')</v>
      </c>
    </row>
    <row r="288" spans="1:13" x14ac:dyDescent="0.35">
      <c r="A288" s="36">
        <v>20236</v>
      </c>
      <c r="B288" s="9" t="s">
        <v>1654</v>
      </c>
      <c r="C288" s="9" t="s">
        <v>766</v>
      </c>
      <c r="D288" s="9" t="s">
        <v>767</v>
      </c>
      <c r="E288" s="9">
        <v>0</v>
      </c>
      <c r="F288" s="12">
        <v>1</v>
      </c>
      <c r="G288" s="9" t="s">
        <v>1377</v>
      </c>
      <c r="H288" s="9" t="s">
        <v>612</v>
      </c>
      <c r="I288" s="9" t="s">
        <v>612</v>
      </c>
      <c r="J288" s="98" t="s">
        <v>2892</v>
      </c>
      <c r="K288" s="16"/>
      <c r="L288" s="39"/>
      <c r="M288" s="4" t="str">
        <f t="shared" si="9"/>
        <v>INSERT INTO TransformationEngine_Field (FieldName, FieldDescription, SourceFieldName, DetailField, Length, Required, OutputFieldName, AllowedChars, AllowedValues) VALUES ('Output UB Box 74 a', 'Other Procedure Code a', 'OCRProcCode1',0, 1, 0, 'CLM_PROC_CODE_TYPE_IND_CODE_2', '0,N', '0,N')</v>
      </c>
    </row>
    <row r="289" spans="1:13" x14ac:dyDescent="0.35">
      <c r="A289" s="36">
        <v>20237</v>
      </c>
      <c r="B289" s="9" t="s">
        <v>1654</v>
      </c>
      <c r="C289" s="9" t="s">
        <v>768</v>
      </c>
      <c r="D289" s="9" t="s">
        <v>769</v>
      </c>
      <c r="E289" s="9">
        <v>0</v>
      </c>
      <c r="F289" s="12">
        <v>8</v>
      </c>
      <c r="G289" s="9" t="s">
        <v>1377</v>
      </c>
      <c r="H289" s="9" t="s">
        <v>27</v>
      </c>
      <c r="I289" s="9"/>
      <c r="J289" s="98" t="s">
        <v>2893</v>
      </c>
      <c r="K289" s="16" t="s">
        <v>2575</v>
      </c>
      <c r="L289" s="39"/>
      <c r="M289" s="4" t="str">
        <f t="shared" si="9"/>
        <v>INSERT INTO TransformationEngine_Field (FieldName, FieldDescription, SourceFieldName, DetailField, Length, Required, OutputFieldName, AllowedChars, AllowedValues) VALUES ('Output UB Box 74 a', 'Other Procedure Date a', 'OCRProcDate1',0, 8, 0, 'CLM_HOSP_PROC_CCYYMMDD_A', '0-9', '')</v>
      </c>
    </row>
    <row r="290" spans="1:13" x14ac:dyDescent="0.35">
      <c r="A290" s="36">
        <v>20238</v>
      </c>
      <c r="B290" s="9" t="s">
        <v>1656</v>
      </c>
      <c r="C290" s="9" t="s">
        <v>771</v>
      </c>
      <c r="D290" s="9" t="s">
        <v>772</v>
      </c>
      <c r="E290" s="9">
        <v>0</v>
      </c>
      <c r="F290" s="12">
        <v>7</v>
      </c>
      <c r="G290" s="9" t="s">
        <v>1377</v>
      </c>
      <c r="H290" s="9" t="s">
        <v>71</v>
      </c>
      <c r="I290" s="9"/>
      <c r="J290" s="98" t="s">
        <v>2894</v>
      </c>
      <c r="K290" s="16"/>
      <c r="L290" s="39"/>
      <c r="M290" s="4" t="str">
        <f t="shared" si="9"/>
        <v>INSERT INTO TransformationEngine_Field (FieldName, FieldDescription, SourceFieldName, DetailField, Length, Required, OutputFieldName, AllowedChars, AllowedValues) VALUES ('Output UB Box 74 b ', 'Other Procedure Code b', 'OCRProcCode2',0, 7, 0, 'CLM_HOSP_PROC_CODE_B', 'A-Z,0-9', '')</v>
      </c>
    </row>
    <row r="291" spans="1:13" x14ac:dyDescent="0.35">
      <c r="A291" s="36">
        <v>20239</v>
      </c>
      <c r="B291" s="9" t="s">
        <v>1656</v>
      </c>
      <c r="C291" s="9" t="s">
        <v>771</v>
      </c>
      <c r="D291" s="9" t="s">
        <v>772</v>
      </c>
      <c r="E291" s="9">
        <v>0</v>
      </c>
      <c r="F291" s="12">
        <v>1</v>
      </c>
      <c r="G291" s="9" t="s">
        <v>1377</v>
      </c>
      <c r="H291" s="9" t="s">
        <v>612</v>
      </c>
      <c r="I291" s="9" t="s">
        <v>612</v>
      </c>
      <c r="J291" s="98" t="s">
        <v>2895</v>
      </c>
      <c r="K291" s="16"/>
      <c r="L291" s="39"/>
      <c r="M291" s="4" t="str">
        <f t="shared" si="9"/>
        <v>INSERT INTO TransformationEngine_Field (FieldName, FieldDescription, SourceFieldName, DetailField, Length, Required, OutputFieldName, AllowedChars, AllowedValues) VALUES ('Output UB Box 74 b ', 'Other Procedure Code b', 'OCRProcCode2',0, 1, 0, 'CLM_PROC_CODE_TYPE_IND_CODE_3', '0,N', '0,N')</v>
      </c>
    </row>
    <row r="292" spans="1:13" x14ac:dyDescent="0.35">
      <c r="A292" s="36">
        <v>20240</v>
      </c>
      <c r="B292" s="9" t="s">
        <v>1656</v>
      </c>
      <c r="C292" s="9" t="s">
        <v>773</v>
      </c>
      <c r="D292" s="9" t="s">
        <v>774</v>
      </c>
      <c r="E292" s="9">
        <v>0</v>
      </c>
      <c r="F292" s="12">
        <v>8</v>
      </c>
      <c r="G292" s="9" t="s">
        <v>1377</v>
      </c>
      <c r="H292" s="9" t="s">
        <v>27</v>
      </c>
      <c r="I292" s="9"/>
      <c r="J292" s="98" t="s">
        <v>2896</v>
      </c>
      <c r="K292" s="16" t="s">
        <v>2575</v>
      </c>
      <c r="L292" s="39"/>
      <c r="M292" s="4" t="str">
        <f t="shared" si="9"/>
        <v>INSERT INTO TransformationEngine_Field (FieldName, FieldDescription, SourceFieldName, DetailField, Length, Required, OutputFieldName, AllowedChars, AllowedValues) VALUES ('Output UB Box 74 b ', 'Other Procedure Date b', 'OCRProcDate2',0, 8, 0, 'CLM_HOSP_PROC_CCYYMMDD_B', '0-9', '')</v>
      </c>
    </row>
    <row r="293" spans="1:13" x14ac:dyDescent="0.35">
      <c r="A293" s="36">
        <v>20241</v>
      </c>
      <c r="B293" s="9" t="s">
        <v>1658</v>
      </c>
      <c r="C293" s="9" t="s">
        <v>776</v>
      </c>
      <c r="D293" s="9" t="s">
        <v>777</v>
      </c>
      <c r="E293" s="9">
        <v>0</v>
      </c>
      <c r="F293" s="12">
        <v>7</v>
      </c>
      <c r="G293" s="9" t="s">
        <v>1377</v>
      </c>
      <c r="H293" s="9" t="s">
        <v>71</v>
      </c>
      <c r="I293" s="9"/>
      <c r="J293" s="98" t="s">
        <v>2897</v>
      </c>
      <c r="K293" s="16"/>
      <c r="L293" s="39"/>
      <c r="M293" s="4" t="str">
        <f t="shared" si="9"/>
        <v>INSERT INTO TransformationEngine_Field (FieldName, FieldDescription, SourceFieldName, DetailField, Length, Required, OutputFieldName, AllowedChars, AllowedValues) VALUES ('Output UB Box 74 c', 'Other Procedure Code c', 'OCRProcCode3',0, 7, 0, 'CLM_HOSP_PROC_CODE_C', 'A-Z,0-9', '')</v>
      </c>
    </row>
    <row r="294" spans="1:13" x14ac:dyDescent="0.35">
      <c r="A294" s="36">
        <v>20242</v>
      </c>
      <c r="B294" s="9" t="s">
        <v>1658</v>
      </c>
      <c r="C294" s="9" t="s">
        <v>776</v>
      </c>
      <c r="D294" s="9" t="s">
        <v>777</v>
      </c>
      <c r="E294" s="9">
        <v>0</v>
      </c>
      <c r="F294" s="12">
        <v>1</v>
      </c>
      <c r="G294" s="9" t="s">
        <v>1377</v>
      </c>
      <c r="H294" s="9" t="s">
        <v>612</v>
      </c>
      <c r="I294" s="9" t="s">
        <v>612</v>
      </c>
      <c r="J294" s="98" t="s">
        <v>2898</v>
      </c>
      <c r="K294" s="16"/>
      <c r="L294" s="39"/>
      <c r="M294" s="4" t="str">
        <f t="shared" si="9"/>
        <v>INSERT INTO TransformationEngine_Field (FieldName, FieldDescription, SourceFieldName, DetailField, Length, Required, OutputFieldName, AllowedChars, AllowedValues) VALUES ('Output UB Box 74 c', 'Other Procedure Code c', 'OCRProcCode3',0, 1, 0, 'CLM_PROC_CODE_TYPE_IND_CODE_4', '0,N', '0,N')</v>
      </c>
    </row>
    <row r="295" spans="1:13" x14ac:dyDescent="0.35">
      <c r="A295" s="36">
        <v>20243</v>
      </c>
      <c r="B295" s="9" t="s">
        <v>1658</v>
      </c>
      <c r="C295" s="9" t="s">
        <v>778</v>
      </c>
      <c r="D295" s="9" t="s">
        <v>779</v>
      </c>
      <c r="E295" s="9">
        <v>0</v>
      </c>
      <c r="F295" s="12">
        <v>8</v>
      </c>
      <c r="G295" s="9" t="s">
        <v>1377</v>
      </c>
      <c r="H295" s="9" t="s">
        <v>27</v>
      </c>
      <c r="I295" s="9"/>
      <c r="J295" s="98" t="s">
        <v>2899</v>
      </c>
      <c r="K295" s="16" t="s">
        <v>2575</v>
      </c>
      <c r="L295" s="39"/>
      <c r="M295" s="4" t="str">
        <f t="shared" si="9"/>
        <v>INSERT INTO TransformationEngine_Field (FieldName, FieldDescription, SourceFieldName, DetailField, Length, Required, OutputFieldName, AllowedChars, AllowedValues) VALUES ('Output UB Box 74 c', 'Other Procedure Date c', 'OCRProcDate3',0, 8, 0, 'CLM_HOSP_PROC_CCYYMMDD_C', '0-9', '')</v>
      </c>
    </row>
    <row r="296" spans="1:13" x14ac:dyDescent="0.35">
      <c r="A296" s="36">
        <v>20244</v>
      </c>
      <c r="B296" s="9" t="s">
        <v>1660</v>
      </c>
      <c r="C296" s="9" t="s">
        <v>781</v>
      </c>
      <c r="D296" s="9" t="s">
        <v>782</v>
      </c>
      <c r="E296" s="9">
        <v>0</v>
      </c>
      <c r="F296" s="12">
        <v>7</v>
      </c>
      <c r="G296" s="9" t="s">
        <v>1377</v>
      </c>
      <c r="H296" s="9" t="s">
        <v>71</v>
      </c>
      <c r="I296" s="9"/>
      <c r="J296" s="98" t="s">
        <v>2900</v>
      </c>
      <c r="K296" s="16"/>
      <c r="L296" s="39"/>
      <c r="M296" s="4" t="str">
        <f t="shared" si="9"/>
        <v>INSERT INTO TransformationEngine_Field (FieldName, FieldDescription, SourceFieldName, DetailField, Length, Required, OutputFieldName, AllowedChars, AllowedValues) VALUES ('Output UB Box 74 d', 'Other Procedure Code d', 'OCRProcCode4',0, 7, 0, 'CLM_HOSP_PROC_CODE_D', 'A-Z,0-9', '')</v>
      </c>
    </row>
    <row r="297" spans="1:13" x14ac:dyDescent="0.35">
      <c r="A297" s="36">
        <v>20245</v>
      </c>
      <c r="B297" s="9" t="s">
        <v>1660</v>
      </c>
      <c r="C297" s="9" t="s">
        <v>781</v>
      </c>
      <c r="D297" s="9" t="s">
        <v>782</v>
      </c>
      <c r="E297" s="9">
        <v>0</v>
      </c>
      <c r="F297" s="12">
        <v>1</v>
      </c>
      <c r="G297" s="9" t="s">
        <v>1377</v>
      </c>
      <c r="H297" s="9" t="s">
        <v>612</v>
      </c>
      <c r="I297" s="9" t="s">
        <v>612</v>
      </c>
      <c r="J297" s="98" t="s">
        <v>2901</v>
      </c>
      <c r="K297" s="16"/>
      <c r="L297" s="39"/>
      <c r="M297" s="4" t="str">
        <f t="shared" si="9"/>
        <v>INSERT INTO TransformationEngine_Field (FieldName, FieldDescription, SourceFieldName, DetailField, Length, Required, OutputFieldName, AllowedChars, AllowedValues) VALUES ('Output UB Box 74 d', 'Other Procedure Code d', 'OCRProcCode4',0, 1, 0, 'CLM_PROC_CODE_TYPE_IND_CODE_5', '0,N', '0,N')</v>
      </c>
    </row>
    <row r="298" spans="1:13" x14ac:dyDescent="0.35">
      <c r="A298" s="36">
        <v>20246</v>
      </c>
      <c r="B298" s="9" t="s">
        <v>1660</v>
      </c>
      <c r="C298" s="9" t="s">
        <v>783</v>
      </c>
      <c r="D298" s="9" t="s">
        <v>784</v>
      </c>
      <c r="E298" s="9">
        <v>0</v>
      </c>
      <c r="F298" s="12">
        <v>8</v>
      </c>
      <c r="G298" s="9" t="s">
        <v>1377</v>
      </c>
      <c r="H298" s="9" t="s">
        <v>27</v>
      </c>
      <c r="I298" s="9"/>
      <c r="J298" s="98" t="s">
        <v>2902</v>
      </c>
      <c r="K298" s="16" t="s">
        <v>2575</v>
      </c>
      <c r="L298" s="39"/>
      <c r="M298" s="4" t="str">
        <f t="shared" si="9"/>
        <v>INSERT INTO TransformationEngine_Field (FieldName, FieldDescription, SourceFieldName, DetailField, Length, Required, OutputFieldName, AllowedChars, AllowedValues) VALUES ('Output UB Box 74 d', 'Other Procedure Date d', 'OCRProcDate4',0, 8, 0, 'CLM_HOSP_PROC_CCYYMMDD_D', '0-9', '')</v>
      </c>
    </row>
    <row r="299" spans="1:13" x14ac:dyDescent="0.35">
      <c r="A299" s="36">
        <v>20247</v>
      </c>
      <c r="B299" s="9" t="s">
        <v>1662</v>
      </c>
      <c r="C299" s="9" t="s">
        <v>786</v>
      </c>
      <c r="D299" s="9" t="s">
        <v>787</v>
      </c>
      <c r="E299" s="9">
        <v>0</v>
      </c>
      <c r="F299" s="12">
        <v>7</v>
      </c>
      <c r="G299" s="9" t="s">
        <v>1377</v>
      </c>
      <c r="H299" s="9" t="s">
        <v>71</v>
      </c>
      <c r="I299" s="9"/>
      <c r="J299" s="98" t="s">
        <v>2903</v>
      </c>
      <c r="K299" s="16"/>
      <c r="L299" s="39"/>
      <c r="M299" s="4" t="str">
        <f t="shared" si="9"/>
        <v>INSERT INTO TransformationEngine_Field (FieldName, FieldDescription, SourceFieldName, DetailField, Length, Required, OutputFieldName, AllowedChars, AllowedValues) VALUES ('Output UB Box 74 e', 'Other Procedure Code e', 'OCRProcCode5',0, 7, 0, 'CLM_HOSP_PROC_CODE_E', 'A-Z,0-9', '')</v>
      </c>
    </row>
    <row r="300" spans="1:13" x14ac:dyDescent="0.35">
      <c r="A300" s="36">
        <v>20248</v>
      </c>
      <c r="B300" s="9" t="s">
        <v>1662</v>
      </c>
      <c r="C300" s="9" t="s">
        <v>786</v>
      </c>
      <c r="D300" s="9" t="s">
        <v>787</v>
      </c>
      <c r="E300" s="9">
        <v>0</v>
      </c>
      <c r="F300" s="12">
        <v>1</v>
      </c>
      <c r="G300" s="9" t="s">
        <v>1377</v>
      </c>
      <c r="H300" s="9" t="s">
        <v>612</v>
      </c>
      <c r="I300" s="9" t="s">
        <v>612</v>
      </c>
      <c r="J300" s="98" t="s">
        <v>2904</v>
      </c>
      <c r="K300" s="16"/>
      <c r="L300" s="39"/>
      <c r="M300" s="4" t="str">
        <f t="shared" si="9"/>
        <v>INSERT INTO TransformationEngine_Field (FieldName, FieldDescription, SourceFieldName, DetailField, Length, Required, OutputFieldName, AllowedChars, AllowedValues) VALUES ('Output UB Box 74 e', 'Other Procedure Code e', 'OCRProcCode5',0, 1, 0, 'CLM_PROC_CODE_TYPE_IND_CODE_6', '0,N', '0,N')</v>
      </c>
    </row>
    <row r="301" spans="1:13" x14ac:dyDescent="0.35">
      <c r="A301" s="36">
        <v>20249</v>
      </c>
      <c r="B301" s="9" t="s">
        <v>1662</v>
      </c>
      <c r="C301" s="9" t="s">
        <v>788</v>
      </c>
      <c r="D301" s="9" t="s">
        <v>789</v>
      </c>
      <c r="E301" s="9">
        <v>0</v>
      </c>
      <c r="F301" s="12">
        <v>8</v>
      </c>
      <c r="G301" s="9" t="s">
        <v>1377</v>
      </c>
      <c r="H301" s="9" t="s">
        <v>27</v>
      </c>
      <c r="I301" s="9"/>
      <c r="J301" s="98" t="s">
        <v>2905</v>
      </c>
      <c r="K301" s="16" t="s">
        <v>2575</v>
      </c>
      <c r="L301" s="39"/>
      <c r="M301" s="4" t="str">
        <f t="shared" si="9"/>
        <v>INSERT INTO TransformationEngine_Field (FieldName, FieldDescription, SourceFieldName, DetailField, Length, Required, OutputFieldName, AllowedChars, AllowedValues) VALUES ('Output UB Box 74 e', 'Other Procedure Date e', 'OCRProcDate5',0, 8, 0, 'CLM_HOSP_PROC_CCYYMMDD_E', '0-9', '')</v>
      </c>
    </row>
    <row r="302" spans="1:13" x14ac:dyDescent="0.35">
      <c r="A302" s="36">
        <v>20250</v>
      </c>
      <c r="B302" s="9" t="s">
        <v>1665</v>
      </c>
      <c r="C302" s="9" t="s">
        <v>800</v>
      </c>
      <c r="D302" s="9" t="s">
        <v>801</v>
      </c>
      <c r="E302" s="9">
        <v>0</v>
      </c>
      <c r="F302" s="12">
        <v>17</v>
      </c>
      <c r="G302" s="9" t="s">
        <v>1377</v>
      </c>
      <c r="H302" s="9" t="s">
        <v>27</v>
      </c>
      <c r="I302" s="9"/>
      <c r="J302" s="98" t="s">
        <v>2906</v>
      </c>
      <c r="K302" s="16"/>
      <c r="L302" s="39"/>
      <c r="M302" s="4" t="str">
        <f t="shared" ref="M302:M304" si="10">CONCATENATE("INSERT INTO TransformationEngine_Field (FieldName, FieldDescription, SourceFieldName, DetailField, Length, Required, OutputFieldName, AllowedChars, AllowedValues) VALUES ('", B302, "', '", C302, "', '", D302, "',", E302, ", ", F302, ", 0, '", J302, "', '", H302, "', '", I302, "')")</f>
        <v>INSERT INTO TransformationEngine_Field (FieldName, FieldDescription, SourceFieldName, DetailField, Length, Required, OutputFieldName, AllowedChars, AllowedValues) VALUES ('Output UB Box 76', 'Attending Physician NPI', 'OCRAttendPhyID_NPI',0, 17, 0, 'CLM_HOSP_ADMIT_PROV_ID', '0-9', '')</v>
      </c>
    </row>
    <row r="303" spans="1:13" x14ac:dyDescent="0.35">
      <c r="A303" s="36">
        <v>20251</v>
      </c>
      <c r="B303" s="9" t="s">
        <v>1665</v>
      </c>
      <c r="C303" s="9" t="s">
        <v>802</v>
      </c>
      <c r="D303" s="9" t="s">
        <v>803</v>
      </c>
      <c r="E303" s="9">
        <v>0</v>
      </c>
      <c r="F303" s="12">
        <v>2</v>
      </c>
      <c r="G303" s="9" t="s">
        <v>1377</v>
      </c>
      <c r="H303" s="9" t="s">
        <v>2907</v>
      </c>
      <c r="I303" s="9" t="s">
        <v>2908</v>
      </c>
      <c r="J303" s="98" t="s">
        <v>2909</v>
      </c>
      <c r="K303" s="16"/>
      <c r="L303" s="39"/>
      <c r="M303" s="4" t="str">
        <f t="shared" si="10"/>
        <v>INSERT INTO TransformationEngine_Field (FieldName, FieldDescription, SourceFieldName, DetailField, Length, Required, OutputFieldName, AllowedChars, AllowedValues) VALUES ('Output UB Box 76', 'Attending Physician Qual', 'OCRAttendPhyID_QUAL',0, 2, 0, 'CLM_HOSP_ADMIT_PROV_ID_QUAL', ' ,X', ' ,XX')</v>
      </c>
    </row>
    <row r="304" spans="1:13" x14ac:dyDescent="0.35">
      <c r="A304" s="36">
        <v>20252</v>
      </c>
      <c r="B304" s="9" t="s">
        <v>1665</v>
      </c>
      <c r="C304" s="9" t="s">
        <v>804</v>
      </c>
      <c r="D304" s="9" t="s">
        <v>805</v>
      </c>
      <c r="E304" s="9">
        <v>0</v>
      </c>
      <c r="F304" s="12">
        <v>17</v>
      </c>
      <c r="G304" s="9" t="s">
        <v>1377</v>
      </c>
      <c r="H304" s="9" t="s">
        <v>71</v>
      </c>
      <c r="I304" s="9"/>
      <c r="J304" s="98" t="s">
        <v>2906</v>
      </c>
      <c r="K304" s="16"/>
      <c r="L304" s="39"/>
      <c r="M304" s="4" t="str">
        <f t="shared" si="10"/>
        <v>INSERT INTO TransformationEngine_Field (FieldName, FieldDescription, SourceFieldName, DetailField, Length, Required, OutputFieldName, AllowedChars, AllowedValues) VALUES ('Output UB Box 76', 'Attending Physician ID', 'OCRAttendPhyID_ID',0, 17, 0, 'CLM_HOSP_ADMIT_PROV_ID', 'A-Z,0-9', '')</v>
      </c>
    </row>
    <row r="305" spans="1:13" x14ac:dyDescent="0.35">
      <c r="A305" s="36">
        <v>20253</v>
      </c>
      <c r="B305" s="9" t="s">
        <v>1665</v>
      </c>
      <c r="C305" s="9" t="s">
        <v>806</v>
      </c>
      <c r="D305" s="9" t="s">
        <v>807</v>
      </c>
      <c r="E305" s="9">
        <v>0</v>
      </c>
      <c r="F305" s="12">
        <v>20</v>
      </c>
      <c r="G305" s="9" t="s">
        <v>1377</v>
      </c>
      <c r="H305" s="9" t="s">
        <v>56</v>
      </c>
      <c r="I305" s="9"/>
      <c r="J305" s="98" t="s">
        <v>2910</v>
      </c>
      <c r="K305" s="16"/>
      <c r="L305" s="39"/>
      <c r="M305" s="4" t="str">
        <f t="shared" ref="M305:M322" si="11">CONCATENATE("INSERT INTO TransformationEngine_Field (FieldName, FieldDescription, SourceFieldName, DetailField, Length, Required, OutputFieldName, AllowedChars, AllowedValues) VALUES ('", B305, "', '", C305, "', '", D305, "',", E305, ", ", F305, ", 0, '", J305, "', '", H305, "', '", I305, "')")</f>
        <v>INSERT INTO TransformationEngine_Field (FieldName, FieldDescription, SourceFieldName, DetailField, Length, Required, OutputFieldName, AllowedChars, AllowedValues) VALUES ('Output UB Box 76', 'Attending Physician Last Name', 'OCRAttendPhyID_LAST',0, 20, 0, 'CLM_HOSP_ATTEND_PROV_NAME_LAST', 'A-Z, ,',-,.,', '')</v>
      </c>
    </row>
    <row r="306" spans="1:13" x14ac:dyDescent="0.35">
      <c r="A306" s="36">
        <v>20254</v>
      </c>
      <c r="B306" s="9" t="s">
        <v>1665</v>
      </c>
      <c r="C306" s="9" t="s">
        <v>808</v>
      </c>
      <c r="D306" s="9" t="s">
        <v>809</v>
      </c>
      <c r="E306" s="9">
        <v>0</v>
      </c>
      <c r="F306" s="12">
        <v>12</v>
      </c>
      <c r="G306" s="9" t="s">
        <v>1377</v>
      </c>
      <c r="H306" s="12" t="s">
        <v>61</v>
      </c>
      <c r="I306" s="9"/>
      <c r="J306" s="98" t="s">
        <v>2911</v>
      </c>
      <c r="K306" s="16"/>
      <c r="L306" s="39"/>
      <c r="M306" s="4" t="str">
        <f t="shared" si="11"/>
        <v>INSERT INTO TransformationEngine_Field (FieldName, FieldDescription, SourceFieldName, DetailField, Length, Required, OutputFieldName, AllowedChars, AllowedValues) VALUES ('Output UB Box 76', 'Attending Physician First Name', 'OCRAttendPhyID_FIRST',0, 12, 0, 'CLM_HOSP_ATTEND_PROV_NAME_FIRST', ' ,A-Z', '')</v>
      </c>
    </row>
    <row r="307" spans="1:13" x14ac:dyDescent="0.35">
      <c r="A307" s="36">
        <v>20255</v>
      </c>
      <c r="B307" s="9" t="s">
        <v>1670</v>
      </c>
      <c r="C307" s="9" t="s">
        <v>811</v>
      </c>
      <c r="D307" s="9" t="s">
        <v>812</v>
      </c>
      <c r="E307" s="9">
        <v>0</v>
      </c>
      <c r="F307" s="12">
        <v>17</v>
      </c>
      <c r="G307" s="9" t="s">
        <v>1377</v>
      </c>
      <c r="H307" s="9" t="s">
        <v>27</v>
      </c>
      <c r="I307" s="9"/>
      <c r="J307" s="98" t="s">
        <v>2912</v>
      </c>
      <c r="K307" s="16"/>
      <c r="L307" s="39"/>
      <c r="M307" s="4" t="str">
        <f t="shared" si="11"/>
        <v>INSERT INTO TransformationEngine_Field (FieldName, FieldDescription, SourceFieldName, DetailField, Length, Required, OutputFieldName, AllowedChars, AllowedValues) VALUES ('Output UB Box 77', 'Operating Physician NPI', 'OCRPhyOper_NPI',0, 17, 0, 'CLM_HOSP_OPER_PROV_ID', '0-9', '')</v>
      </c>
    </row>
    <row r="308" spans="1:13" x14ac:dyDescent="0.35">
      <c r="A308" s="36">
        <v>20256</v>
      </c>
      <c r="B308" s="12" t="s">
        <v>1670</v>
      </c>
      <c r="C308" s="12" t="s">
        <v>2913</v>
      </c>
      <c r="D308" s="12" t="s">
        <v>814</v>
      </c>
      <c r="E308" s="12">
        <v>0</v>
      </c>
      <c r="F308" s="12">
        <v>2</v>
      </c>
      <c r="G308" s="12" t="s">
        <v>1377</v>
      </c>
      <c r="H308" s="12" t="s">
        <v>2907</v>
      </c>
      <c r="I308" s="12" t="s">
        <v>2908</v>
      </c>
      <c r="J308" s="98" t="s">
        <v>2914</v>
      </c>
      <c r="K308" s="102"/>
      <c r="L308" s="103"/>
      <c r="M308" s="4" t="str">
        <f t="shared" si="11"/>
        <v>INSERT INTO TransformationEngine_Field (FieldName, FieldDescription, SourceFieldName, DetailField, Length, Required, OutputFieldName, AllowedChars, AllowedValues) VALUES ('Output UB Box 77', 'Operating Physician ID Qual', 'OCRPhyOper_QUAL',0, 2, 0, 'CLM_HOSP_OPER_PROV_ID_QUAL', ' ,X', ' ,XX')</v>
      </c>
    </row>
    <row r="309" spans="1:13" x14ac:dyDescent="0.35">
      <c r="A309" s="36">
        <v>20257</v>
      </c>
      <c r="B309" s="9" t="s">
        <v>1670</v>
      </c>
      <c r="C309" s="9" t="s">
        <v>815</v>
      </c>
      <c r="D309" s="9" t="s">
        <v>816</v>
      </c>
      <c r="E309" s="9">
        <v>0</v>
      </c>
      <c r="F309" s="12">
        <v>17</v>
      </c>
      <c r="G309" s="9" t="s">
        <v>1377</v>
      </c>
      <c r="H309" s="10" t="s">
        <v>107</v>
      </c>
      <c r="I309" s="9"/>
      <c r="J309" s="98" t="s">
        <v>2912</v>
      </c>
      <c r="K309" s="16"/>
      <c r="L309" s="39"/>
      <c r="M309" s="4" t="str">
        <f t="shared" si="11"/>
        <v>INSERT INTO TransformationEngine_Field (FieldName, FieldDescription, SourceFieldName, DetailField, Length, Required, OutputFieldName, AllowedChars, AllowedValues) VALUES ('Output UB Box 77', 'Operating Physician ID', 'OCRPhyOper_ID',0, 17, 0, 'CLM_HOSP_OPER_PROV_ID', 'A-Z', '')</v>
      </c>
    </row>
    <row r="310" spans="1:13" x14ac:dyDescent="0.35">
      <c r="A310" s="36">
        <v>20258</v>
      </c>
      <c r="B310" s="9" t="s">
        <v>1670</v>
      </c>
      <c r="C310" s="9" t="s">
        <v>817</v>
      </c>
      <c r="D310" s="9" t="s">
        <v>818</v>
      </c>
      <c r="E310" s="9">
        <v>0</v>
      </c>
      <c r="F310" s="12">
        <v>20</v>
      </c>
      <c r="G310" s="9" t="s">
        <v>1377</v>
      </c>
      <c r="H310" s="9" t="s">
        <v>56</v>
      </c>
      <c r="I310" s="9"/>
      <c r="J310" s="98" t="s">
        <v>2915</v>
      </c>
      <c r="K310" s="16"/>
      <c r="L310" s="39"/>
      <c r="M310" s="4" t="str">
        <f t="shared" si="11"/>
        <v>INSERT INTO TransformationEngine_Field (FieldName, FieldDescription, SourceFieldName, DetailField, Length, Required, OutputFieldName, AllowedChars, AllowedValues) VALUES ('Output UB Box 77', 'Operating Physician Last Name', 'OCRPhyOper_LAST',0, 20, 0, 'CLM_HOSP_OPER_PROV_NAME_LAST', 'A-Z, ,',-,.,', '')</v>
      </c>
    </row>
    <row r="311" spans="1:13" x14ac:dyDescent="0.35">
      <c r="A311" s="36">
        <v>20259</v>
      </c>
      <c r="B311" s="9" t="s">
        <v>1670</v>
      </c>
      <c r="C311" s="9" t="s">
        <v>819</v>
      </c>
      <c r="D311" s="9" t="s">
        <v>820</v>
      </c>
      <c r="E311" s="9">
        <v>0</v>
      </c>
      <c r="F311" s="12">
        <v>12</v>
      </c>
      <c r="G311" s="9" t="s">
        <v>1377</v>
      </c>
      <c r="H311" s="12" t="s">
        <v>61</v>
      </c>
      <c r="I311" s="9"/>
      <c r="J311" s="98" t="s">
        <v>2916</v>
      </c>
      <c r="K311" s="16"/>
      <c r="L311" s="39"/>
      <c r="M311" s="4" t="str">
        <f t="shared" si="11"/>
        <v>INSERT INTO TransformationEngine_Field (FieldName, FieldDescription, SourceFieldName, DetailField, Length, Required, OutputFieldName, AllowedChars, AllowedValues) VALUES ('Output UB Box 77', 'Operating Physician First Name', 'OCRPhyOper_FIRST',0, 12, 0, 'CLM_HOSP_OPER_PROV_NAME_FIRST', ' ,A-Z', '')</v>
      </c>
    </row>
    <row r="312" spans="1:13" x14ac:dyDescent="0.35">
      <c r="A312" s="36">
        <v>20260</v>
      </c>
      <c r="B312" s="9" t="s">
        <v>1675</v>
      </c>
      <c r="C312" s="9" t="s">
        <v>824</v>
      </c>
      <c r="D312" s="9" t="s">
        <v>825</v>
      </c>
      <c r="E312" s="9">
        <v>0</v>
      </c>
      <c r="F312" s="12">
        <v>17</v>
      </c>
      <c r="G312" s="9" t="s">
        <v>1377</v>
      </c>
      <c r="H312" s="9" t="s">
        <v>27</v>
      </c>
      <c r="I312" s="9"/>
      <c r="J312" s="98" t="s">
        <v>2917</v>
      </c>
      <c r="K312" s="16"/>
      <c r="L312" s="39"/>
      <c r="M312" s="4" t="str">
        <f>CONCATENATE("INSERT INTO TransformationEngine_Field (FieldName, FieldDescription, SourceFieldName, DetailField, Length, Required, OutputFieldName, AllowedChars, AllowedValues) VALUES ('", B312, "', '", C312, "', '", D312, "',", E312, ", ", F312, ", 0, '", J312, "', '", H312, "', '", I312, "')")</f>
        <v>INSERT INTO TransformationEngine_Field (FieldName, FieldDescription, SourceFieldName, DetailField, Length, Required, OutputFieldName, AllowedChars, AllowedValues) VALUES ('Output UB Box 78', 'Other Physician 1 NPI', 'OCROthPhyID2_NPI',0, 17, 0, 'CLM_HOSP_OTHR_PROV_ID_1', '0-9', '')</v>
      </c>
    </row>
    <row r="313" spans="1:13" x14ac:dyDescent="0.35">
      <c r="A313" s="36">
        <v>20261</v>
      </c>
      <c r="B313" s="9" t="s">
        <v>1675</v>
      </c>
      <c r="C313" s="9" t="s">
        <v>826</v>
      </c>
      <c r="D313" s="9" t="s">
        <v>827</v>
      </c>
      <c r="E313" s="9">
        <v>0</v>
      </c>
      <c r="F313" s="12">
        <v>2</v>
      </c>
      <c r="G313" s="9" t="s">
        <v>1377</v>
      </c>
      <c r="H313" s="12" t="s">
        <v>2907</v>
      </c>
      <c r="I313" s="12" t="s">
        <v>2908</v>
      </c>
      <c r="J313" s="98" t="s">
        <v>2918</v>
      </c>
      <c r="K313" s="16"/>
      <c r="L313" s="39"/>
      <c r="M313" s="4" t="str">
        <f t="shared" si="11"/>
        <v>INSERT INTO TransformationEngine_Field (FieldName, FieldDescription, SourceFieldName, DetailField, Length, Required, OutputFieldName, AllowedChars, AllowedValues) VALUES ('Output UB Box 78', 'Other Physician 1 Qual', 'OCROthPhyID2_QUAL',0, 2, 0, 'CLM_HOSP_OTHR_PROV_ID_QUAL_1', ' ,X', ' ,XX')</v>
      </c>
    </row>
    <row r="314" spans="1:13" x14ac:dyDescent="0.35">
      <c r="A314" s="36">
        <v>20262</v>
      </c>
      <c r="B314" s="9" t="s">
        <v>1675</v>
      </c>
      <c r="C314" s="9" t="s">
        <v>828</v>
      </c>
      <c r="D314" s="9" t="s">
        <v>829</v>
      </c>
      <c r="E314" s="9">
        <v>0</v>
      </c>
      <c r="F314" s="12">
        <v>17</v>
      </c>
      <c r="G314" s="9" t="s">
        <v>1377</v>
      </c>
      <c r="H314" s="9" t="s">
        <v>71</v>
      </c>
      <c r="I314" s="9"/>
      <c r="J314" s="98" t="s">
        <v>2917</v>
      </c>
      <c r="K314" s="16"/>
      <c r="L314" s="39"/>
      <c r="M314" s="4" t="str">
        <f t="shared" si="11"/>
        <v>INSERT INTO TransformationEngine_Field (FieldName, FieldDescription, SourceFieldName, DetailField, Length, Required, OutputFieldName, AllowedChars, AllowedValues) VALUES ('Output UB Box 78', 'Operating Physician 1 ID', 'OCROthPhyID2_ID',0, 17, 0, 'CLM_HOSP_OTHR_PROV_ID_1', 'A-Z,0-9', '')</v>
      </c>
    </row>
    <row r="315" spans="1:13" x14ac:dyDescent="0.35">
      <c r="A315" s="36">
        <v>20263</v>
      </c>
      <c r="B315" s="9" t="s">
        <v>1675</v>
      </c>
      <c r="C315" s="9" t="s">
        <v>830</v>
      </c>
      <c r="D315" s="9" t="s">
        <v>831</v>
      </c>
      <c r="E315" s="9">
        <v>0</v>
      </c>
      <c r="F315" s="12">
        <v>20</v>
      </c>
      <c r="G315" s="9" t="s">
        <v>1377</v>
      </c>
      <c r="H315" s="9" t="s">
        <v>56</v>
      </c>
      <c r="I315" s="9"/>
      <c r="J315" s="98" t="s">
        <v>2919</v>
      </c>
      <c r="K315" s="16"/>
      <c r="L315" s="39"/>
      <c r="M315" s="4" t="str">
        <f t="shared" si="11"/>
        <v>INSERT INTO TransformationEngine_Field (FieldName, FieldDescription, SourceFieldName, DetailField, Length, Required, OutputFieldName, AllowedChars, AllowedValues) VALUES ('Output UB Box 78', 'Other Physician 1 Last Name', 'OCROthPhyID2_LAST',0, 20, 0, 'CLM_HOSP_OTHR_PROV_NAME_LAST_1', 'A-Z, ,',-,.,', '')</v>
      </c>
    </row>
    <row r="316" spans="1:13" x14ac:dyDescent="0.35">
      <c r="A316" s="36">
        <v>20264</v>
      </c>
      <c r="B316" s="9" t="s">
        <v>1675</v>
      </c>
      <c r="C316" s="9" t="s">
        <v>832</v>
      </c>
      <c r="D316" s="9" t="s">
        <v>833</v>
      </c>
      <c r="E316" s="9">
        <v>0</v>
      </c>
      <c r="F316" s="12">
        <v>12</v>
      </c>
      <c r="G316" s="9" t="s">
        <v>1377</v>
      </c>
      <c r="H316" s="12" t="s">
        <v>61</v>
      </c>
      <c r="I316" s="9"/>
      <c r="J316" s="98" t="s">
        <v>2920</v>
      </c>
      <c r="K316" s="16"/>
      <c r="L316" s="39"/>
      <c r="M316" s="4" t="str">
        <f t="shared" si="11"/>
        <v>INSERT INTO TransformationEngine_Field (FieldName, FieldDescription, SourceFieldName, DetailField, Length, Required, OutputFieldName, AllowedChars, AllowedValues) VALUES ('Output UB Box 78', 'Other Physician 1 First Name', 'OCROthPhyID2_FIRST',0, 12, 0, 'CLM_HOSP_OTHR_PROV_NAME_FIRST_1', ' ,A-Z', '')</v>
      </c>
    </row>
    <row r="317" spans="1:13" x14ac:dyDescent="0.35">
      <c r="A317" s="36">
        <v>20265</v>
      </c>
      <c r="B317" s="9" t="s">
        <v>1680</v>
      </c>
      <c r="C317" s="9" t="s">
        <v>837</v>
      </c>
      <c r="D317" s="9" t="s">
        <v>838</v>
      </c>
      <c r="E317" s="9">
        <v>0</v>
      </c>
      <c r="F317" s="12">
        <v>17</v>
      </c>
      <c r="G317" s="9" t="s">
        <v>1377</v>
      </c>
      <c r="H317" s="9" t="s">
        <v>27</v>
      </c>
      <c r="I317" s="9"/>
      <c r="J317" s="98" t="s">
        <v>2921</v>
      </c>
      <c r="K317" s="16"/>
      <c r="L317" s="39"/>
      <c r="M317" s="4" t="str">
        <f t="shared" si="11"/>
        <v>INSERT INTO TransformationEngine_Field (FieldName, FieldDescription, SourceFieldName, DetailField, Length, Required, OutputFieldName, AllowedChars, AllowedValues) VALUES ('Output UB Box 79', 'Other Physician 2 NPI', 'OCRProvSig_NPI',0, 17, 0, 'CLM_HOSP_OTHR_PROV_ID_2', '0-9', '')</v>
      </c>
    </row>
    <row r="318" spans="1:13" x14ac:dyDescent="0.35">
      <c r="A318" s="36">
        <v>20266</v>
      </c>
      <c r="B318" s="9" t="s">
        <v>1680</v>
      </c>
      <c r="C318" s="9" t="s">
        <v>839</v>
      </c>
      <c r="D318" s="9" t="s">
        <v>840</v>
      </c>
      <c r="E318" s="9">
        <v>0</v>
      </c>
      <c r="F318" s="12">
        <v>2</v>
      </c>
      <c r="G318" s="9" t="s">
        <v>1377</v>
      </c>
      <c r="H318" s="12" t="s">
        <v>2907</v>
      </c>
      <c r="I318" s="12" t="s">
        <v>2908</v>
      </c>
      <c r="J318" s="98" t="s">
        <v>2922</v>
      </c>
      <c r="K318" s="16"/>
      <c r="L318" s="39"/>
      <c r="M318" s="4" t="str">
        <f t="shared" si="11"/>
        <v>INSERT INTO TransformationEngine_Field (FieldName, FieldDescription, SourceFieldName, DetailField, Length, Required, OutputFieldName, AllowedChars, AllowedValues) VALUES ('Output UB Box 79', 'Other Physician 2 Qual', 'OCRProvSig_QUAL',0, 2, 0, 'CLM_HOSP_OTHR_PROV_ID_QUAL_2', ' ,X', ' ,XX')</v>
      </c>
    </row>
    <row r="319" spans="1:13" x14ac:dyDescent="0.35">
      <c r="A319" s="36">
        <v>20267</v>
      </c>
      <c r="B319" s="9" t="s">
        <v>1680</v>
      </c>
      <c r="C319" s="9" t="s">
        <v>842</v>
      </c>
      <c r="D319" s="9" t="s">
        <v>843</v>
      </c>
      <c r="E319" s="9">
        <v>0</v>
      </c>
      <c r="F319" s="12">
        <v>17</v>
      </c>
      <c r="G319" s="9" t="s">
        <v>1377</v>
      </c>
      <c r="H319" s="9" t="s">
        <v>71</v>
      </c>
      <c r="I319" s="9"/>
      <c r="J319" s="98" t="s">
        <v>2921</v>
      </c>
      <c r="K319" s="16"/>
      <c r="L319" s="39"/>
      <c r="M319" s="4" t="str">
        <f t="shared" si="11"/>
        <v>INSERT INTO TransformationEngine_Field (FieldName, FieldDescription, SourceFieldName, DetailField, Length, Required, OutputFieldName, AllowedChars, AllowedValues) VALUES ('Output UB Box 79', 'Operating Physician 2 ID', 'OCRProvSig_ID',0, 17, 0, 'CLM_HOSP_OTHR_PROV_ID_2', 'A-Z,0-9', '')</v>
      </c>
    </row>
    <row r="320" spans="1:13" x14ac:dyDescent="0.35">
      <c r="A320" s="36">
        <v>20268</v>
      </c>
      <c r="B320" s="9" t="s">
        <v>1680</v>
      </c>
      <c r="C320" s="9" t="s">
        <v>844</v>
      </c>
      <c r="D320" s="9" t="s">
        <v>845</v>
      </c>
      <c r="E320" s="9">
        <v>0</v>
      </c>
      <c r="F320" s="12">
        <v>20</v>
      </c>
      <c r="G320" s="9" t="s">
        <v>1377</v>
      </c>
      <c r="H320" s="9" t="s">
        <v>56</v>
      </c>
      <c r="I320" s="9"/>
      <c r="J320" s="98" t="s">
        <v>2923</v>
      </c>
      <c r="K320" s="16"/>
      <c r="L320" s="39"/>
      <c r="M320" s="4" t="str">
        <f t="shared" si="11"/>
        <v>INSERT INTO TransformationEngine_Field (FieldName, FieldDescription, SourceFieldName, DetailField, Length, Required, OutputFieldName, AllowedChars, AllowedValues) VALUES ('Output UB Box 79', 'Other Physician 2 Last Name', 'OCRProvSig_LAST',0, 20, 0, 'CLM_HOSP_OTHR_PROV_NAME_LAST_2', 'A-Z, ,',-,.,', '')</v>
      </c>
    </row>
    <row r="321" spans="1:13" x14ac:dyDescent="0.35">
      <c r="A321" s="36">
        <v>20269</v>
      </c>
      <c r="B321" s="9" t="s">
        <v>1680</v>
      </c>
      <c r="C321" s="9" t="s">
        <v>846</v>
      </c>
      <c r="D321" s="9" t="s">
        <v>847</v>
      </c>
      <c r="E321" s="9">
        <v>0</v>
      </c>
      <c r="F321" s="12">
        <v>12</v>
      </c>
      <c r="G321" s="9" t="s">
        <v>1377</v>
      </c>
      <c r="H321" s="12" t="s">
        <v>61</v>
      </c>
      <c r="I321" s="9"/>
      <c r="J321" s="98" t="s">
        <v>2924</v>
      </c>
      <c r="K321" s="16"/>
      <c r="L321" s="39"/>
      <c r="M321" s="4" t="str">
        <f t="shared" si="11"/>
        <v>INSERT INTO TransformationEngine_Field (FieldName, FieldDescription, SourceFieldName, DetailField, Length, Required, OutputFieldName, AllowedChars, AllowedValues) VALUES ('Output UB Box 79', 'Other Physician 2 First Name', 'OCRProvSig_FIRST',0, 12, 0, 'CLM_HOSP_OTHR_PROV_NAME_FIRST_2', ' ,A-Z', '')</v>
      </c>
    </row>
    <row r="322" spans="1:13" x14ac:dyDescent="0.35">
      <c r="A322" s="36">
        <v>20270</v>
      </c>
      <c r="B322" s="9" t="s">
        <v>1681</v>
      </c>
      <c r="C322" s="9" t="s">
        <v>849</v>
      </c>
      <c r="D322" s="9" t="s">
        <v>850</v>
      </c>
      <c r="E322" s="9">
        <v>0</v>
      </c>
      <c r="F322" s="12">
        <v>150</v>
      </c>
      <c r="G322" s="9" t="s">
        <v>1377</v>
      </c>
      <c r="H322" s="9" t="s">
        <v>420</v>
      </c>
      <c r="I322" s="9"/>
      <c r="J322" s="98" t="s">
        <v>2925</v>
      </c>
      <c r="K322" s="16"/>
      <c r="L322" s="39"/>
      <c r="M322" s="4" t="str">
        <f t="shared" si="11"/>
        <v>INSERT INTO TransformationEngine_Field (FieldName, FieldDescription, SourceFieldName, DetailField, Length, Required, OutputFieldName, AllowedChars, AllowedValues) VALUES ('Output UB Box 80', 'Remarks Line 1', 'OCRRemarks_1',0, 150, 0, 'CLM_FREE_FORM_REMARKS', '0-9, ,A-Z', '')</v>
      </c>
    </row>
    <row r="323" spans="1:13" x14ac:dyDescent="0.35">
      <c r="A323" s="36">
        <v>20271</v>
      </c>
      <c r="B323" s="9" t="s">
        <v>1683</v>
      </c>
      <c r="C323" s="9" t="s">
        <v>2926</v>
      </c>
      <c r="D323" s="9" t="s">
        <v>859</v>
      </c>
      <c r="E323" s="9">
        <v>0</v>
      </c>
      <c r="F323" s="12">
        <v>2</v>
      </c>
      <c r="G323" s="9" t="s">
        <v>1377</v>
      </c>
      <c r="H323" s="9" t="s">
        <v>564</v>
      </c>
      <c r="I323" s="9"/>
      <c r="J323" s="98" t="s">
        <v>2927</v>
      </c>
      <c r="K323" s="16"/>
      <c r="L323" s="39"/>
      <c r="M323" s="4" t="str">
        <f t="shared" ref="M323:M346" si="12">CONCATENATE("INSERT INTO TransformationEngine_Field (FieldName, FieldDescription, SourceFieldName, DetailField, Length, Required, OutputFieldName, AllowedChars, AllowedValues) VALUES ('", B323, "', '", C323, "', '", D323, "',", E323, ", ", F323, ", 0, '", J323, "', '", H323, "', '", I323, "')")</f>
        <v>INSERT INTO TransformationEngine_Field (FieldName, FieldDescription, SourceFieldName, DetailField, Length, Required, OutputFieldName, AllowedChars, AllowedValues) VALUES ('Output UB Box 81 a', 'Condition Code a', 'OCR81CCaA',0, 2, 0, 'CLM_HOSP_CONDITION_CD_A', 'A-Z, ,0-9', '')</v>
      </c>
    </row>
    <row r="324" spans="1:13" x14ac:dyDescent="0.35">
      <c r="A324" s="36">
        <v>20272</v>
      </c>
      <c r="B324" s="9" t="s">
        <v>1683</v>
      </c>
      <c r="C324" s="9" t="s">
        <v>2928</v>
      </c>
      <c r="D324" s="9" t="s">
        <v>859</v>
      </c>
      <c r="E324" s="9">
        <v>0</v>
      </c>
      <c r="F324" s="12">
        <v>2</v>
      </c>
      <c r="G324" s="9" t="s">
        <v>1377</v>
      </c>
      <c r="H324" s="9" t="s">
        <v>564</v>
      </c>
      <c r="I324" s="9"/>
      <c r="J324" s="98" t="s">
        <v>2929</v>
      </c>
      <c r="K324" s="16"/>
      <c r="L324" s="39"/>
      <c r="M324" s="4" t="str">
        <f t="shared" si="12"/>
        <v>INSERT INTO TransformationEngine_Field (FieldName, FieldDescription, SourceFieldName, DetailField, Length, Required, OutputFieldName, AllowedChars, AllowedValues) VALUES ('Output UB Box 81 a', 'Occurrence Code a', 'OCR81CCaA',0, 2, 0, 'CLM_HOSP_OCCUR_CODES_A', 'A-Z, ,0-9', '')</v>
      </c>
    </row>
    <row r="325" spans="1:13" x14ac:dyDescent="0.35">
      <c r="A325" s="36">
        <v>20273</v>
      </c>
      <c r="B325" s="9" t="s">
        <v>1683</v>
      </c>
      <c r="C325" s="9" t="s">
        <v>2930</v>
      </c>
      <c r="D325" s="9" t="s">
        <v>859</v>
      </c>
      <c r="E325" s="9">
        <v>0</v>
      </c>
      <c r="F325" s="12">
        <v>8</v>
      </c>
      <c r="G325" s="9" t="s">
        <v>1377</v>
      </c>
      <c r="H325" s="9" t="s">
        <v>27</v>
      </c>
      <c r="I325" s="9"/>
      <c r="J325" s="98" t="s">
        <v>2931</v>
      </c>
      <c r="K325" s="16"/>
      <c r="L325" s="39"/>
      <c r="M325" s="4" t="str">
        <f t="shared" si="12"/>
        <v>INSERT INTO TransformationEngine_Field (FieldName, FieldDescription, SourceFieldName, DetailField, Length, Required, OutputFieldName, AllowedChars, AllowedValues) VALUES ('Output UB Box 81 a', 'Occurrence Date a', 'OCR81CCaA',0, 8, 0, 'CLM_HOSP_OCCUR_DTE_CCYYMMDD_A', '0-9', '')</v>
      </c>
    </row>
    <row r="326" spans="1:13" x14ac:dyDescent="0.35">
      <c r="A326" s="36">
        <v>20274</v>
      </c>
      <c r="B326" s="9" t="s">
        <v>1683</v>
      </c>
      <c r="C326" s="9" t="s">
        <v>2932</v>
      </c>
      <c r="D326" s="9" t="s">
        <v>859</v>
      </c>
      <c r="E326" s="9">
        <v>0</v>
      </c>
      <c r="F326" s="12">
        <v>2</v>
      </c>
      <c r="G326" s="9" t="s">
        <v>1377</v>
      </c>
      <c r="H326" s="9" t="s">
        <v>71</v>
      </c>
      <c r="I326" s="9"/>
      <c r="J326" s="98" t="s">
        <v>2933</v>
      </c>
      <c r="K326" s="16"/>
      <c r="L326" s="39"/>
      <c r="M326" s="4" t="str">
        <f t="shared" si="12"/>
        <v>INSERT INTO TransformationEngine_Field (FieldName, FieldDescription, SourceFieldName, DetailField, Length, Required, OutputFieldName, AllowedChars, AllowedValues) VALUES ('Output UB Box 81 a', 'Value Code a', 'OCR81CCaA',0, 2, 0, 'CLM_HOSP_VALUE_CODES_A', 'A-Z,0-9', '')</v>
      </c>
    </row>
    <row r="327" spans="1:13" x14ac:dyDescent="0.35">
      <c r="A327" s="36">
        <v>20275</v>
      </c>
      <c r="B327" s="9" t="s">
        <v>1683</v>
      </c>
      <c r="C327" s="9" t="s">
        <v>2934</v>
      </c>
      <c r="D327" s="9" t="s">
        <v>859</v>
      </c>
      <c r="E327" s="9">
        <v>0</v>
      </c>
      <c r="F327" s="12">
        <v>17</v>
      </c>
      <c r="G327" s="9" t="s">
        <v>1377</v>
      </c>
      <c r="H327" s="9" t="s">
        <v>394</v>
      </c>
      <c r="I327" s="9"/>
      <c r="J327" s="98" t="s">
        <v>2935</v>
      </c>
      <c r="K327" s="16"/>
      <c r="L327" s="39"/>
      <c r="M327" s="4" t="str">
        <f t="shared" si="12"/>
        <v>INSERT INTO TransformationEngine_Field (FieldName, FieldDescription, SourceFieldName, DetailField, Length, Required, OutputFieldName, AllowedChars, AllowedValues) VALUES ('Output UB Box 81 a', 'Value Amount a', 'OCR81CCaA',0, 17, 0, 'CLM_HOSP_VALUE_AMOUNT_A', '0-9,.', '')</v>
      </c>
    </row>
    <row r="328" spans="1:13" x14ac:dyDescent="0.35">
      <c r="A328" s="36">
        <v>20276</v>
      </c>
      <c r="B328" s="9" t="s">
        <v>1683</v>
      </c>
      <c r="C328" s="9" t="s">
        <v>2936</v>
      </c>
      <c r="D328" s="9" t="s">
        <v>859</v>
      </c>
      <c r="E328" s="9">
        <v>0</v>
      </c>
      <c r="F328" s="12">
        <v>10</v>
      </c>
      <c r="G328" s="9" t="s">
        <v>1377</v>
      </c>
      <c r="H328" s="9" t="s">
        <v>564</v>
      </c>
      <c r="I328" s="9"/>
      <c r="J328" s="98" t="s">
        <v>2937</v>
      </c>
      <c r="K328" s="16"/>
      <c r="L328" s="39"/>
      <c r="M328" s="4" t="str">
        <f t="shared" si="12"/>
        <v>INSERT INTO TransformationEngine_Field (FieldName, FieldDescription, SourceFieldName, DetailField, Length, Required, OutputFieldName, AllowedChars, AllowedValues) VALUES ('Output UB Box 81 a', 'Taxonomy Code a', 'OCR81CCaA',0, 10, 0, 'CLM_BILL_PROV_TAXONOMY_CODE_A', 'A-Z, ,0-9', '')</v>
      </c>
    </row>
    <row r="329" spans="1:13" x14ac:dyDescent="0.35">
      <c r="A329" s="36">
        <v>20277</v>
      </c>
      <c r="B329" s="9" t="s">
        <v>1685</v>
      </c>
      <c r="C329" s="9" t="s">
        <v>2938</v>
      </c>
      <c r="D329" s="9" t="s">
        <v>867</v>
      </c>
      <c r="E329" s="9">
        <v>0</v>
      </c>
      <c r="F329" s="12">
        <v>2</v>
      </c>
      <c r="G329" s="9" t="s">
        <v>1377</v>
      </c>
      <c r="H329" s="9" t="s">
        <v>564</v>
      </c>
      <c r="I329" s="9"/>
      <c r="J329" s="98" t="s">
        <v>2939</v>
      </c>
      <c r="K329" s="16"/>
      <c r="L329" s="39"/>
      <c r="M329" s="4" t="str">
        <f t="shared" si="12"/>
        <v>INSERT INTO TransformationEngine_Field (FieldName, FieldDescription, SourceFieldName, DetailField, Length, Required, OutputFieldName, AllowedChars, AllowedValues) VALUES ('Output UB Box 81 b', 'Condition Code b', 'OCR81CCaB',0, 2, 0, 'CLM_HOSP_CONDITION_CD_B', 'A-Z, ,0-9', '')</v>
      </c>
    </row>
    <row r="330" spans="1:13" x14ac:dyDescent="0.35">
      <c r="A330" s="36">
        <v>20278</v>
      </c>
      <c r="B330" s="9" t="s">
        <v>1685</v>
      </c>
      <c r="C330" s="9" t="s">
        <v>2940</v>
      </c>
      <c r="D330" s="9" t="s">
        <v>867</v>
      </c>
      <c r="E330" s="9">
        <v>0</v>
      </c>
      <c r="F330" s="12">
        <v>2</v>
      </c>
      <c r="G330" s="9" t="s">
        <v>1377</v>
      </c>
      <c r="H330" s="9" t="s">
        <v>564</v>
      </c>
      <c r="I330" s="9"/>
      <c r="J330" s="98" t="s">
        <v>2941</v>
      </c>
      <c r="K330" s="16"/>
      <c r="L330" s="39"/>
      <c r="M330" s="4" t="str">
        <f t="shared" si="12"/>
        <v>INSERT INTO TransformationEngine_Field (FieldName, FieldDescription, SourceFieldName, DetailField, Length, Required, OutputFieldName, AllowedChars, AllowedValues) VALUES ('Output UB Box 81 b', 'Occurrence Code b', 'OCR81CCaB',0, 2, 0, 'CLM_HOSP_OCCUR_CODES_B', 'A-Z, ,0-9', '')</v>
      </c>
    </row>
    <row r="331" spans="1:13" x14ac:dyDescent="0.35">
      <c r="A331" s="36">
        <v>20279</v>
      </c>
      <c r="B331" s="9" t="s">
        <v>1685</v>
      </c>
      <c r="C331" s="9" t="s">
        <v>2942</v>
      </c>
      <c r="D331" s="9" t="s">
        <v>867</v>
      </c>
      <c r="E331" s="9">
        <v>0</v>
      </c>
      <c r="F331" s="12">
        <v>8</v>
      </c>
      <c r="G331" s="9" t="s">
        <v>1377</v>
      </c>
      <c r="H331" s="9" t="s">
        <v>27</v>
      </c>
      <c r="I331" s="9"/>
      <c r="J331" s="98" t="s">
        <v>2943</v>
      </c>
      <c r="K331" s="16"/>
      <c r="L331" s="39"/>
      <c r="M331" s="4" t="str">
        <f t="shared" si="12"/>
        <v>INSERT INTO TransformationEngine_Field (FieldName, FieldDescription, SourceFieldName, DetailField, Length, Required, OutputFieldName, AllowedChars, AllowedValues) VALUES ('Output UB Box 81 b', 'Occurrence Date b', 'OCR81CCaB',0, 8, 0, 'CLM_HOSP_OCCUR_DTE_CCYYMMDD_B', '0-9', '')</v>
      </c>
    </row>
    <row r="332" spans="1:13" x14ac:dyDescent="0.35">
      <c r="A332" s="36">
        <v>20280</v>
      </c>
      <c r="B332" s="9" t="s">
        <v>1685</v>
      </c>
      <c r="C332" s="9" t="s">
        <v>2944</v>
      </c>
      <c r="D332" s="9" t="s">
        <v>867</v>
      </c>
      <c r="E332" s="9">
        <v>0</v>
      </c>
      <c r="F332" s="12">
        <v>2</v>
      </c>
      <c r="G332" s="9" t="s">
        <v>1377</v>
      </c>
      <c r="H332" s="9" t="s">
        <v>71</v>
      </c>
      <c r="I332" s="9"/>
      <c r="J332" s="98" t="s">
        <v>2945</v>
      </c>
      <c r="K332" s="16"/>
      <c r="L332" s="39"/>
      <c r="M332" s="4" t="str">
        <f t="shared" si="12"/>
        <v>INSERT INTO TransformationEngine_Field (FieldName, FieldDescription, SourceFieldName, DetailField, Length, Required, OutputFieldName, AllowedChars, AllowedValues) VALUES ('Output UB Box 81 b', 'Value Code b', 'OCR81CCaB',0, 2, 0, 'CLM_HOSP_VALUE_CODES_B', 'A-Z,0-9', '')</v>
      </c>
    </row>
    <row r="333" spans="1:13" x14ac:dyDescent="0.35">
      <c r="A333" s="36">
        <v>20281</v>
      </c>
      <c r="B333" s="9" t="s">
        <v>1685</v>
      </c>
      <c r="C333" s="9" t="s">
        <v>2946</v>
      </c>
      <c r="D333" s="9" t="s">
        <v>867</v>
      </c>
      <c r="E333" s="9">
        <v>0</v>
      </c>
      <c r="F333" s="12">
        <v>17</v>
      </c>
      <c r="G333" s="9" t="s">
        <v>1377</v>
      </c>
      <c r="H333" s="9" t="s">
        <v>394</v>
      </c>
      <c r="I333" s="9"/>
      <c r="J333" s="98" t="s">
        <v>2947</v>
      </c>
      <c r="K333" s="16"/>
      <c r="L333" s="39"/>
      <c r="M333" s="4" t="str">
        <f t="shared" si="12"/>
        <v>INSERT INTO TransformationEngine_Field (FieldName, FieldDescription, SourceFieldName, DetailField, Length, Required, OutputFieldName, AllowedChars, AllowedValues) VALUES ('Output UB Box 81 b', 'Value Amount b', 'OCR81CCaB',0, 17, 0, 'CLM_HOSP_VALUE_AMOUNT_B', '0-9,.', '')</v>
      </c>
    </row>
    <row r="334" spans="1:13" x14ac:dyDescent="0.35">
      <c r="A334" s="36">
        <v>20282</v>
      </c>
      <c r="B334" s="9" t="s">
        <v>1685</v>
      </c>
      <c r="C334" s="9" t="s">
        <v>2948</v>
      </c>
      <c r="D334" s="9" t="s">
        <v>867</v>
      </c>
      <c r="E334" s="9">
        <v>0</v>
      </c>
      <c r="F334" s="12">
        <v>10</v>
      </c>
      <c r="G334" s="9" t="s">
        <v>1377</v>
      </c>
      <c r="H334" s="9" t="s">
        <v>564</v>
      </c>
      <c r="I334" s="9"/>
      <c r="J334" s="98" t="s">
        <v>2949</v>
      </c>
      <c r="K334" s="16"/>
      <c r="L334" s="39"/>
      <c r="M334" s="4" t="str">
        <f t="shared" si="12"/>
        <v>INSERT INTO TransformationEngine_Field (FieldName, FieldDescription, SourceFieldName, DetailField, Length, Required, OutputFieldName, AllowedChars, AllowedValues) VALUES ('Output UB Box 81 b', 'Taxonomy Code b', 'OCR81CCaB',0, 10, 0, 'CLM_BILL_PROV_TAXONOMY_CODE_B', 'A-Z, ,0-9', '')</v>
      </c>
    </row>
    <row r="335" spans="1:13" x14ac:dyDescent="0.35">
      <c r="A335" s="36">
        <v>20283</v>
      </c>
      <c r="B335" s="9" t="s">
        <v>1686</v>
      </c>
      <c r="C335" s="9" t="s">
        <v>2950</v>
      </c>
      <c r="D335" s="9" t="s">
        <v>874</v>
      </c>
      <c r="E335" s="9">
        <v>0</v>
      </c>
      <c r="F335" s="12">
        <v>2</v>
      </c>
      <c r="G335" s="9" t="s">
        <v>1377</v>
      </c>
      <c r="H335" s="9" t="s">
        <v>564</v>
      </c>
      <c r="I335" s="9"/>
      <c r="J335" s="98" t="s">
        <v>2951</v>
      </c>
      <c r="K335" s="16"/>
      <c r="L335" s="39"/>
      <c r="M335" s="4" t="str">
        <f t="shared" si="12"/>
        <v>INSERT INTO TransformationEngine_Field (FieldName, FieldDescription, SourceFieldName, DetailField, Length, Required, OutputFieldName, AllowedChars, AllowedValues) VALUES ('Output UB Box 81 c', 'Condition Code c', 'OCR81CCaC',0, 2, 0, 'CLM_HOSP_CONDITION_CD_C', 'A-Z, ,0-9', '')</v>
      </c>
    </row>
    <row r="336" spans="1:13" x14ac:dyDescent="0.35">
      <c r="A336" s="36">
        <v>20284</v>
      </c>
      <c r="B336" s="9" t="s">
        <v>1686</v>
      </c>
      <c r="C336" s="9" t="s">
        <v>2952</v>
      </c>
      <c r="D336" s="9" t="s">
        <v>874</v>
      </c>
      <c r="E336" s="9">
        <v>0</v>
      </c>
      <c r="F336" s="12">
        <v>2</v>
      </c>
      <c r="G336" s="9" t="s">
        <v>1377</v>
      </c>
      <c r="H336" s="9" t="s">
        <v>564</v>
      </c>
      <c r="I336" s="9"/>
      <c r="J336" s="98" t="s">
        <v>2953</v>
      </c>
      <c r="K336" s="16"/>
      <c r="L336" s="39"/>
      <c r="M336" s="4" t="str">
        <f t="shared" si="12"/>
        <v>INSERT INTO TransformationEngine_Field (FieldName, FieldDescription, SourceFieldName, DetailField, Length, Required, OutputFieldName, AllowedChars, AllowedValues) VALUES ('Output UB Box 81 c', 'Occurrence Code c', 'OCR81CCaC',0, 2, 0, 'CLM_HOSP_OCCUR_CODES_C', 'A-Z, ,0-9', '')</v>
      </c>
    </row>
    <row r="337" spans="1:13" x14ac:dyDescent="0.35">
      <c r="A337" s="36">
        <v>20285</v>
      </c>
      <c r="B337" s="9" t="s">
        <v>1686</v>
      </c>
      <c r="C337" s="9" t="s">
        <v>2954</v>
      </c>
      <c r="D337" s="9" t="s">
        <v>874</v>
      </c>
      <c r="E337" s="9">
        <v>0</v>
      </c>
      <c r="F337" s="12">
        <v>8</v>
      </c>
      <c r="G337" s="9" t="s">
        <v>1377</v>
      </c>
      <c r="H337" s="9" t="s">
        <v>27</v>
      </c>
      <c r="I337" s="9"/>
      <c r="J337" s="98" t="s">
        <v>2955</v>
      </c>
      <c r="K337" s="16"/>
      <c r="L337" s="39"/>
      <c r="M337" s="4" t="str">
        <f t="shared" si="12"/>
        <v>INSERT INTO TransformationEngine_Field (FieldName, FieldDescription, SourceFieldName, DetailField, Length, Required, OutputFieldName, AllowedChars, AllowedValues) VALUES ('Output UB Box 81 c', 'Occurrence Date c', 'OCR81CCaC',0, 8, 0, 'CLM_HOSP_OCCUR_DTE_CCYYMMDD_C', '0-9', '')</v>
      </c>
    </row>
    <row r="338" spans="1:13" x14ac:dyDescent="0.35">
      <c r="A338" s="36">
        <v>20286</v>
      </c>
      <c r="B338" s="9" t="s">
        <v>1686</v>
      </c>
      <c r="C338" s="9" t="s">
        <v>2956</v>
      </c>
      <c r="D338" s="9" t="s">
        <v>874</v>
      </c>
      <c r="E338" s="9">
        <v>0</v>
      </c>
      <c r="F338" s="12">
        <v>2</v>
      </c>
      <c r="G338" s="9" t="s">
        <v>1377</v>
      </c>
      <c r="H338" s="9" t="s">
        <v>71</v>
      </c>
      <c r="I338" s="9"/>
      <c r="J338" s="98" t="s">
        <v>2957</v>
      </c>
      <c r="K338" s="16"/>
      <c r="L338" s="39"/>
      <c r="M338" s="4" t="str">
        <f t="shared" si="12"/>
        <v>INSERT INTO TransformationEngine_Field (FieldName, FieldDescription, SourceFieldName, DetailField, Length, Required, OutputFieldName, AllowedChars, AllowedValues) VALUES ('Output UB Box 81 c', 'Value Code c', 'OCR81CCaC',0, 2, 0, 'CLM_HOSP_VALUE_CODES_C', 'A-Z,0-9', '')</v>
      </c>
    </row>
    <row r="339" spans="1:13" x14ac:dyDescent="0.35">
      <c r="A339" s="36">
        <v>20287</v>
      </c>
      <c r="B339" s="9" t="s">
        <v>1686</v>
      </c>
      <c r="C339" s="9" t="s">
        <v>2958</v>
      </c>
      <c r="D339" s="9" t="s">
        <v>874</v>
      </c>
      <c r="E339" s="9">
        <v>0</v>
      </c>
      <c r="F339" s="12">
        <v>17</v>
      </c>
      <c r="G339" s="9" t="s">
        <v>1377</v>
      </c>
      <c r="H339" s="9" t="s">
        <v>394</v>
      </c>
      <c r="I339" s="9"/>
      <c r="J339" s="98" t="s">
        <v>2959</v>
      </c>
      <c r="K339" s="16"/>
      <c r="L339" s="39"/>
      <c r="M339" s="4" t="str">
        <f t="shared" si="12"/>
        <v>INSERT INTO TransformationEngine_Field (FieldName, FieldDescription, SourceFieldName, DetailField, Length, Required, OutputFieldName, AllowedChars, AllowedValues) VALUES ('Output UB Box 81 c', 'Value Amount c', 'OCR81CCaC',0, 17, 0, 'CLM_HOSP_VALUE_AMOUNT_C', '0-9,.', '')</v>
      </c>
    </row>
    <row r="340" spans="1:13" x14ac:dyDescent="0.35">
      <c r="A340" s="36">
        <v>20288</v>
      </c>
      <c r="B340" s="9" t="s">
        <v>1686</v>
      </c>
      <c r="C340" s="9" t="s">
        <v>2960</v>
      </c>
      <c r="D340" s="9" t="s">
        <v>874</v>
      </c>
      <c r="E340" s="9">
        <v>0</v>
      </c>
      <c r="F340" s="12">
        <v>10</v>
      </c>
      <c r="G340" s="9" t="s">
        <v>1377</v>
      </c>
      <c r="H340" s="9" t="s">
        <v>564</v>
      </c>
      <c r="I340" s="9"/>
      <c r="J340" s="98" t="s">
        <v>2961</v>
      </c>
      <c r="K340" s="16"/>
      <c r="L340" s="39"/>
      <c r="M340" s="4" t="str">
        <f t="shared" si="12"/>
        <v>INSERT INTO TransformationEngine_Field (FieldName, FieldDescription, SourceFieldName, DetailField, Length, Required, OutputFieldName, AllowedChars, AllowedValues) VALUES ('Output UB Box 81 c', 'Taxonomy Code c', 'OCR81CCaC',0, 10, 0, 'CLM_BILL_PROV_TAXONOMY_CODE_C', 'A-Z, ,0-9', '')</v>
      </c>
    </row>
    <row r="341" spans="1:13" x14ac:dyDescent="0.35">
      <c r="A341" s="36">
        <v>20289</v>
      </c>
      <c r="B341" s="9" t="s">
        <v>1687</v>
      </c>
      <c r="C341" s="9" t="s">
        <v>2962</v>
      </c>
      <c r="D341" s="9" t="s">
        <v>881</v>
      </c>
      <c r="E341" s="9">
        <v>0</v>
      </c>
      <c r="F341" s="12">
        <v>2</v>
      </c>
      <c r="G341" s="9" t="s">
        <v>1377</v>
      </c>
      <c r="H341" s="9" t="s">
        <v>564</v>
      </c>
      <c r="I341" s="9"/>
      <c r="J341" s="98" t="s">
        <v>2963</v>
      </c>
      <c r="K341" s="16"/>
      <c r="L341" s="39"/>
      <c r="M341" s="4" t="str">
        <f t="shared" si="12"/>
        <v>INSERT INTO TransformationEngine_Field (FieldName, FieldDescription, SourceFieldName, DetailField, Length, Required, OutputFieldName, AllowedChars, AllowedValues) VALUES ('Output UB Box 81 d', 'Condition Code d', 'OCR81CCaD',0, 2, 0, 'CLM_HOSP_CONDITION_CD_D', 'A-Z, ,0-9', '')</v>
      </c>
    </row>
    <row r="342" spans="1:13" x14ac:dyDescent="0.35">
      <c r="A342" s="36">
        <v>20290</v>
      </c>
      <c r="B342" s="9" t="s">
        <v>1687</v>
      </c>
      <c r="C342" s="9" t="s">
        <v>2964</v>
      </c>
      <c r="D342" s="9" t="s">
        <v>881</v>
      </c>
      <c r="E342" s="9">
        <v>0</v>
      </c>
      <c r="F342" s="12">
        <v>2</v>
      </c>
      <c r="G342" s="9" t="s">
        <v>1377</v>
      </c>
      <c r="H342" s="9" t="s">
        <v>564</v>
      </c>
      <c r="I342" s="9"/>
      <c r="J342" s="98" t="s">
        <v>2965</v>
      </c>
      <c r="K342" s="16"/>
      <c r="L342" s="39"/>
      <c r="M342" s="4" t="str">
        <f t="shared" si="12"/>
        <v>INSERT INTO TransformationEngine_Field (FieldName, FieldDescription, SourceFieldName, DetailField, Length, Required, OutputFieldName, AllowedChars, AllowedValues) VALUES ('Output UB Box 81 d', 'Occurrence Code d', 'OCR81CCaD',0, 2, 0, 'CLM_HOSP_OCCUR_CODES_D', 'A-Z, ,0-9', '')</v>
      </c>
    </row>
    <row r="343" spans="1:13" x14ac:dyDescent="0.35">
      <c r="A343" s="36">
        <v>20291</v>
      </c>
      <c r="B343" s="9" t="s">
        <v>1687</v>
      </c>
      <c r="C343" s="9" t="s">
        <v>2966</v>
      </c>
      <c r="D343" s="9" t="s">
        <v>881</v>
      </c>
      <c r="E343" s="9">
        <v>0</v>
      </c>
      <c r="F343" s="12">
        <v>8</v>
      </c>
      <c r="G343" s="9" t="s">
        <v>1377</v>
      </c>
      <c r="H343" s="9" t="s">
        <v>27</v>
      </c>
      <c r="I343" s="9"/>
      <c r="J343" s="98" t="s">
        <v>2967</v>
      </c>
      <c r="K343" s="16"/>
      <c r="L343" s="39"/>
      <c r="M343" s="4" t="str">
        <f t="shared" si="12"/>
        <v>INSERT INTO TransformationEngine_Field (FieldName, FieldDescription, SourceFieldName, DetailField, Length, Required, OutputFieldName, AllowedChars, AllowedValues) VALUES ('Output UB Box 81 d', 'Occurrence Date d', 'OCR81CCaD',0, 8, 0, 'CLM_HOSP_OCCUR_DTE_CCYYMMDD_D', '0-9', '')</v>
      </c>
    </row>
    <row r="344" spans="1:13" x14ac:dyDescent="0.35">
      <c r="A344" s="36">
        <v>20292</v>
      </c>
      <c r="B344" s="9" t="s">
        <v>1687</v>
      </c>
      <c r="C344" s="9" t="s">
        <v>2968</v>
      </c>
      <c r="D344" s="9" t="s">
        <v>881</v>
      </c>
      <c r="E344" s="9">
        <v>0</v>
      </c>
      <c r="F344" s="12">
        <v>2</v>
      </c>
      <c r="G344" s="9" t="s">
        <v>1377</v>
      </c>
      <c r="H344" s="9" t="s">
        <v>71</v>
      </c>
      <c r="I344" s="9"/>
      <c r="J344" s="98" t="s">
        <v>2969</v>
      </c>
      <c r="K344" s="16"/>
      <c r="L344" s="39"/>
      <c r="M344" s="4" t="str">
        <f t="shared" si="12"/>
        <v>INSERT INTO TransformationEngine_Field (FieldName, FieldDescription, SourceFieldName, DetailField, Length, Required, OutputFieldName, AllowedChars, AllowedValues) VALUES ('Output UB Box 81 d', 'Value Code d', 'OCR81CCaD',0, 2, 0, 'CLM_HOSP_VALUE_CODES_D', 'A-Z,0-9', '')</v>
      </c>
    </row>
    <row r="345" spans="1:13" x14ac:dyDescent="0.35">
      <c r="A345" s="36">
        <v>20293</v>
      </c>
      <c r="B345" s="9" t="s">
        <v>1687</v>
      </c>
      <c r="C345" s="9" t="s">
        <v>2970</v>
      </c>
      <c r="D345" s="9" t="s">
        <v>881</v>
      </c>
      <c r="E345" s="9">
        <v>0</v>
      </c>
      <c r="F345" s="12">
        <v>17</v>
      </c>
      <c r="G345" s="9" t="s">
        <v>1377</v>
      </c>
      <c r="H345" s="9" t="s">
        <v>394</v>
      </c>
      <c r="I345" s="9"/>
      <c r="J345" s="98" t="s">
        <v>2971</v>
      </c>
      <c r="K345" s="16"/>
      <c r="L345" s="39"/>
      <c r="M345" s="4" t="str">
        <f t="shared" si="12"/>
        <v>INSERT INTO TransformationEngine_Field (FieldName, FieldDescription, SourceFieldName, DetailField, Length, Required, OutputFieldName, AllowedChars, AllowedValues) VALUES ('Output UB Box 81 d', 'Value Amount d', 'OCR81CCaD',0, 17, 0, 'CLM_HOSP_VALUE_AMOUNT_D', '0-9,.', '')</v>
      </c>
    </row>
    <row r="346" spans="1:13" x14ac:dyDescent="0.35">
      <c r="A346" s="36">
        <v>20294</v>
      </c>
      <c r="B346" s="9" t="s">
        <v>1687</v>
      </c>
      <c r="C346" s="9" t="s">
        <v>2972</v>
      </c>
      <c r="D346" s="9" t="s">
        <v>881</v>
      </c>
      <c r="E346" s="9">
        <v>0</v>
      </c>
      <c r="F346" s="12">
        <v>10</v>
      </c>
      <c r="G346" s="9" t="s">
        <v>1377</v>
      </c>
      <c r="H346" s="9" t="s">
        <v>564</v>
      </c>
      <c r="I346" s="9"/>
      <c r="J346" s="98" t="s">
        <v>2973</v>
      </c>
      <c r="K346" s="16"/>
      <c r="L346" s="39"/>
      <c r="M346" s="4" t="str">
        <f t="shared" si="12"/>
        <v>INSERT INTO TransformationEngine_Field (FieldName, FieldDescription, SourceFieldName, DetailField, Length, Required, OutputFieldName, AllowedChars, AllowedValues) VALUES ('Output UB Box 81 d', 'Taxonomy Code d', 'OCR81CCaD',0, 10, 0, 'CLM_BILL_PROV_TAXONOMY_CODE_D', 'A-Z, ,0-9', '')</v>
      </c>
    </row>
    <row r="347" spans="1:13" x14ac:dyDescent="0.35">
      <c r="A347" s="36">
        <v>20322</v>
      </c>
      <c r="B347" s="9" t="s">
        <v>2974</v>
      </c>
      <c r="C347" s="9" t="s">
        <v>2975</v>
      </c>
      <c r="D347" s="9" t="s">
        <v>1377</v>
      </c>
      <c r="E347" s="9">
        <v>0</v>
      </c>
      <c r="F347" s="12">
        <v>10</v>
      </c>
      <c r="G347" s="9"/>
      <c r="H347" s="9" t="s">
        <v>564</v>
      </c>
      <c r="I347" s="9"/>
      <c r="J347" s="98" t="s">
        <v>2976</v>
      </c>
      <c r="K347" s="16"/>
      <c r="L347" s="39"/>
    </row>
    <row r="348" spans="1:13" ht="5.15" customHeight="1" x14ac:dyDescent="0.35">
      <c r="A348" s="37"/>
    </row>
    <row r="349" spans="1:13" ht="29" x14ac:dyDescent="0.35">
      <c r="A349" s="36">
        <v>20297</v>
      </c>
      <c r="B349" s="10" t="s">
        <v>2977</v>
      </c>
      <c r="C349" s="9" t="s">
        <v>2978</v>
      </c>
      <c r="D349" s="9"/>
      <c r="E349" s="9">
        <v>0</v>
      </c>
      <c r="F349" s="12">
        <v>2</v>
      </c>
      <c r="G349" s="9"/>
      <c r="H349" s="9" t="s">
        <v>71</v>
      </c>
      <c r="I349" s="9"/>
      <c r="J349" s="98" t="s">
        <v>2979</v>
      </c>
      <c r="K349" s="16"/>
      <c r="L349" s="39"/>
    </row>
    <row r="350" spans="1:13" ht="29" x14ac:dyDescent="0.35">
      <c r="A350" s="36">
        <v>20317</v>
      </c>
      <c r="B350" s="10" t="s">
        <v>2980</v>
      </c>
      <c r="C350" s="9" t="s">
        <v>2981</v>
      </c>
      <c r="D350" s="9" t="s">
        <v>888</v>
      </c>
      <c r="E350" s="9">
        <v>0</v>
      </c>
      <c r="F350" s="12">
        <v>8</v>
      </c>
      <c r="G350" s="9"/>
      <c r="H350" s="9"/>
      <c r="I350" s="9"/>
      <c r="J350" s="98" t="s">
        <v>2982</v>
      </c>
      <c r="K350" s="16"/>
      <c r="L350" s="39"/>
    </row>
  </sheetData>
  <mergeCells count="1">
    <mergeCell ref="L37:L47"/>
  </mergeCells>
  <phoneticPr fontId="5"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34998626667073579"/>
  </sheetPr>
  <dimension ref="A1:M259"/>
  <sheetViews>
    <sheetView zoomScaleNormal="100" workbookViewId="0">
      <pane ySplit="1" topLeftCell="A214" activePane="bottomLeft" state="frozen"/>
      <selection pane="bottomLeft" activeCell="D232" sqref="D232"/>
    </sheetView>
  </sheetViews>
  <sheetFormatPr defaultColWidth="9.1796875" defaultRowHeight="14.5" x14ac:dyDescent="0.35"/>
  <cols>
    <col min="1" max="1" width="6.54296875" style="22" bestFit="1" customWidth="1"/>
    <col min="2" max="2" width="9" style="68" customWidth="1"/>
    <col min="3" max="3" width="11.1796875" style="22" customWidth="1"/>
    <col min="4" max="4" width="20.7265625" style="21" customWidth="1"/>
    <col min="5" max="5" width="19.81640625" style="21" customWidth="1"/>
    <col min="6" max="6" width="31.453125" style="21" customWidth="1"/>
    <col min="7" max="7" width="9.81640625" style="23" customWidth="1"/>
    <col min="8" max="8" width="9.453125" style="23" customWidth="1"/>
    <col min="9" max="9" width="22.26953125" style="21" customWidth="1"/>
    <col min="10" max="10" width="14.26953125" style="21" customWidth="1"/>
    <col min="11" max="11" width="60.26953125" style="21" customWidth="1"/>
    <col min="12" max="12" width="35.26953125" style="21" customWidth="1"/>
    <col min="13" max="13" width="16.453125" style="4" customWidth="1"/>
    <col min="14" max="21" width="9.1796875" style="4"/>
    <col min="22" max="22" width="37.54296875" style="4" customWidth="1"/>
    <col min="23" max="16384" width="9.1796875" style="4"/>
  </cols>
  <sheetData>
    <row r="1" spans="1:13" s="6" customFormat="1" ht="29" x14ac:dyDescent="0.35">
      <c r="A1" s="46" t="s">
        <v>989</v>
      </c>
      <c r="B1" s="66" t="s">
        <v>0</v>
      </c>
      <c r="C1" s="46" t="s">
        <v>991</v>
      </c>
      <c r="D1" s="47" t="s">
        <v>992</v>
      </c>
      <c r="E1" s="47" t="s">
        <v>993</v>
      </c>
      <c r="F1" s="47" t="s">
        <v>10</v>
      </c>
      <c r="G1" s="47" t="s">
        <v>2342</v>
      </c>
      <c r="H1" s="47" t="s">
        <v>996</v>
      </c>
      <c r="I1" s="47" t="s">
        <v>997</v>
      </c>
      <c r="J1" s="47" t="s">
        <v>2983</v>
      </c>
      <c r="K1" s="47" t="s">
        <v>2343</v>
      </c>
      <c r="L1" s="47" t="s">
        <v>2344</v>
      </c>
      <c r="M1" s="47" t="s">
        <v>1001</v>
      </c>
    </row>
    <row r="2" spans="1:13" ht="29" x14ac:dyDescent="0.35">
      <c r="A2" s="24">
        <v>1338</v>
      </c>
      <c r="B2" s="168">
        <v>20004</v>
      </c>
      <c r="C2" s="24">
        <v>1</v>
      </c>
      <c r="D2" s="26" t="s">
        <v>2555</v>
      </c>
      <c r="E2" s="26" t="s">
        <v>30</v>
      </c>
      <c r="F2" s="26" t="s">
        <v>2556</v>
      </c>
      <c r="G2" s="25" t="s">
        <v>1002</v>
      </c>
      <c r="H2" s="231" t="s">
        <v>2984</v>
      </c>
      <c r="I2" s="26" t="s">
        <v>2985</v>
      </c>
      <c r="J2" s="26"/>
      <c r="K2" s="26"/>
      <c r="L2" s="26" t="s">
        <v>2986</v>
      </c>
    </row>
    <row r="3" spans="1:13" ht="58" x14ac:dyDescent="0.35">
      <c r="A3" s="24">
        <v>201</v>
      </c>
      <c r="B3" s="168">
        <v>20008</v>
      </c>
      <c r="C3" s="24">
        <v>1</v>
      </c>
      <c r="D3" s="26" t="s">
        <v>38</v>
      </c>
      <c r="E3" s="26" t="s">
        <v>39</v>
      </c>
      <c r="F3" s="26" t="s">
        <v>2987</v>
      </c>
      <c r="G3" s="25" t="s">
        <v>1002</v>
      </c>
      <c r="H3" s="25" t="s">
        <v>2988</v>
      </c>
      <c r="I3" s="26" t="s">
        <v>1006</v>
      </c>
      <c r="J3" s="26"/>
      <c r="K3" s="26" t="s">
        <v>2989</v>
      </c>
      <c r="L3" s="26" t="s">
        <v>2990</v>
      </c>
    </row>
    <row r="4" spans="1:13" ht="43.5" x14ac:dyDescent="0.35">
      <c r="A4" s="24">
        <v>202</v>
      </c>
      <c r="B4" s="168">
        <v>20008</v>
      </c>
      <c r="C4" s="24">
        <v>1</v>
      </c>
      <c r="D4" s="26" t="s">
        <v>38</v>
      </c>
      <c r="E4" s="26" t="s">
        <v>39</v>
      </c>
      <c r="F4" s="26" t="s">
        <v>2987</v>
      </c>
      <c r="G4" s="25" t="s">
        <v>1002</v>
      </c>
      <c r="H4" s="25" t="s">
        <v>2991</v>
      </c>
      <c r="I4" s="26" t="s">
        <v>1006</v>
      </c>
      <c r="J4" s="26"/>
      <c r="K4" s="26" t="s">
        <v>2992</v>
      </c>
      <c r="L4" s="26" t="s">
        <v>2993</v>
      </c>
    </row>
    <row r="5" spans="1:13" ht="29" x14ac:dyDescent="0.35">
      <c r="A5" s="24">
        <v>240</v>
      </c>
      <c r="B5" s="168">
        <v>20004</v>
      </c>
      <c r="C5" s="24">
        <v>1</v>
      </c>
      <c r="D5" s="26" t="s">
        <v>2555</v>
      </c>
      <c r="E5" s="26" t="s">
        <v>30</v>
      </c>
      <c r="F5" s="26" t="s">
        <v>2556</v>
      </c>
      <c r="G5" s="25" t="s">
        <v>1002</v>
      </c>
      <c r="H5" s="25" t="s">
        <v>2994</v>
      </c>
      <c r="I5" s="26" t="s">
        <v>1016</v>
      </c>
      <c r="J5" s="26"/>
      <c r="K5" s="26"/>
      <c r="L5" s="26" t="s">
        <v>2995</v>
      </c>
    </row>
    <row r="6" spans="1:13" ht="29" x14ac:dyDescent="0.35">
      <c r="A6" s="24">
        <v>241</v>
      </c>
      <c r="B6" s="168">
        <v>20005</v>
      </c>
      <c r="C6" s="24">
        <v>1</v>
      </c>
      <c r="D6" s="26" t="s">
        <v>32</v>
      </c>
      <c r="E6" s="26" t="s">
        <v>22</v>
      </c>
      <c r="F6" s="26" t="s">
        <v>2996</v>
      </c>
      <c r="G6" s="25" t="s">
        <v>1002</v>
      </c>
      <c r="H6" s="25" t="s">
        <v>2997</v>
      </c>
      <c r="I6" s="26" t="s">
        <v>2998</v>
      </c>
      <c r="J6" s="26"/>
      <c r="K6" s="26" t="s">
        <v>2999</v>
      </c>
      <c r="L6" s="26" t="s">
        <v>3000</v>
      </c>
    </row>
    <row r="7" spans="1:13" ht="29" x14ac:dyDescent="0.35">
      <c r="A7" s="24">
        <v>242</v>
      </c>
      <c r="B7" s="168">
        <v>20006</v>
      </c>
      <c r="C7" s="24">
        <v>1</v>
      </c>
      <c r="D7" s="26" t="s">
        <v>33</v>
      </c>
      <c r="E7" s="26" t="s">
        <v>34</v>
      </c>
      <c r="F7" s="26" t="s">
        <v>3001</v>
      </c>
      <c r="G7" s="25" t="s">
        <v>1002</v>
      </c>
      <c r="H7" s="25" t="s">
        <v>3002</v>
      </c>
      <c r="I7" s="26" t="s">
        <v>1016</v>
      </c>
      <c r="J7" s="26"/>
      <c r="K7" s="26"/>
      <c r="L7" s="26" t="s">
        <v>3003</v>
      </c>
    </row>
    <row r="8" spans="1:13" ht="29" x14ac:dyDescent="0.35">
      <c r="A8" s="24">
        <v>243</v>
      </c>
      <c r="B8" s="168">
        <v>20007</v>
      </c>
      <c r="C8" s="24">
        <v>1</v>
      </c>
      <c r="D8" s="26" t="s">
        <v>36</v>
      </c>
      <c r="E8" s="26" t="s">
        <v>37</v>
      </c>
      <c r="F8" s="26" t="s">
        <v>3004</v>
      </c>
      <c r="G8" s="25" t="s">
        <v>1002</v>
      </c>
      <c r="H8" s="25" t="s">
        <v>3005</v>
      </c>
      <c r="I8" s="26" t="s">
        <v>1016</v>
      </c>
      <c r="J8" s="26"/>
      <c r="K8" s="26"/>
      <c r="L8" s="26" t="s">
        <v>3006</v>
      </c>
    </row>
    <row r="9" spans="1:13" x14ac:dyDescent="0.35">
      <c r="A9" s="24">
        <v>244</v>
      </c>
      <c r="B9" s="168">
        <v>20009</v>
      </c>
      <c r="C9" s="24">
        <v>1</v>
      </c>
      <c r="D9" s="26" t="s">
        <v>43</v>
      </c>
      <c r="E9" s="26" t="s">
        <v>28</v>
      </c>
      <c r="F9" s="26" t="s">
        <v>2561</v>
      </c>
      <c r="G9" s="25" t="s">
        <v>1002</v>
      </c>
      <c r="H9" s="25" t="s">
        <v>3007</v>
      </c>
      <c r="I9" s="26" t="s">
        <v>1006</v>
      </c>
      <c r="J9" s="26"/>
      <c r="K9" s="26" t="s">
        <v>3008</v>
      </c>
      <c r="L9" s="26" t="s">
        <v>3009</v>
      </c>
    </row>
    <row r="10" spans="1:13" ht="29" x14ac:dyDescent="0.35">
      <c r="A10" s="24">
        <v>245</v>
      </c>
      <c r="B10" s="168">
        <v>20010</v>
      </c>
      <c r="C10" s="24">
        <v>2</v>
      </c>
      <c r="D10" s="26" t="s">
        <v>54</v>
      </c>
      <c r="E10" s="26" t="s">
        <v>55</v>
      </c>
      <c r="F10" s="26" t="s">
        <v>2562</v>
      </c>
      <c r="G10" s="25" t="s">
        <v>1002</v>
      </c>
      <c r="H10" s="25" t="s">
        <v>3010</v>
      </c>
      <c r="I10" s="26" t="s">
        <v>1016</v>
      </c>
      <c r="J10" s="26"/>
      <c r="K10" s="26"/>
      <c r="L10" s="26" t="s">
        <v>3011</v>
      </c>
    </row>
    <row r="11" spans="1:13" ht="29" x14ac:dyDescent="0.35">
      <c r="A11" s="141">
        <v>246</v>
      </c>
      <c r="B11" s="221">
        <v>20011</v>
      </c>
      <c r="C11" s="141">
        <v>2</v>
      </c>
      <c r="D11" s="202" t="s">
        <v>57</v>
      </c>
      <c r="E11" s="202" t="s">
        <v>58</v>
      </c>
      <c r="F11" s="202" t="s">
        <v>2563</v>
      </c>
      <c r="G11" s="222" t="s">
        <v>1002</v>
      </c>
      <c r="H11" s="222" t="s">
        <v>3012</v>
      </c>
      <c r="I11" s="202" t="s">
        <v>2998</v>
      </c>
      <c r="J11" s="202"/>
      <c r="K11" s="202" t="s">
        <v>2999</v>
      </c>
      <c r="L11" s="202" t="s">
        <v>3013</v>
      </c>
    </row>
    <row r="12" spans="1:13" ht="29" x14ac:dyDescent="0.35">
      <c r="A12" s="24">
        <v>247</v>
      </c>
      <c r="B12" s="168">
        <v>20012</v>
      </c>
      <c r="C12" s="24">
        <v>2</v>
      </c>
      <c r="D12" s="26" t="s">
        <v>59</v>
      </c>
      <c r="E12" s="26" t="s">
        <v>60</v>
      </c>
      <c r="F12" s="26" t="s">
        <v>2564</v>
      </c>
      <c r="G12" s="25" t="s">
        <v>1002</v>
      </c>
      <c r="H12" s="25" t="s">
        <v>3014</v>
      </c>
      <c r="I12" s="26" t="s">
        <v>1016</v>
      </c>
      <c r="J12" s="26"/>
      <c r="K12" s="26"/>
      <c r="L12" s="26" t="s">
        <v>3015</v>
      </c>
    </row>
    <row r="13" spans="1:13" ht="29" x14ac:dyDescent="0.35">
      <c r="A13" s="24">
        <v>248</v>
      </c>
      <c r="B13" s="168">
        <v>20013</v>
      </c>
      <c r="C13" s="24">
        <v>2</v>
      </c>
      <c r="D13" s="26" t="s">
        <v>62</v>
      </c>
      <c r="E13" s="26" t="s">
        <v>63</v>
      </c>
      <c r="F13" s="26" t="s">
        <v>2565</v>
      </c>
      <c r="G13" s="25" t="s">
        <v>1002</v>
      </c>
      <c r="H13" s="25" t="s">
        <v>3016</v>
      </c>
      <c r="I13" s="26" t="s">
        <v>1016</v>
      </c>
      <c r="J13" s="26"/>
      <c r="K13" s="26"/>
      <c r="L13" s="26" t="s">
        <v>3017</v>
      </c>
    </row>
    <row r="14" spans="1:13" ht="58" x14ac:dyDescent="0.35">
      <c r="A14" s="24">
        <v>275</v>
      </c>
      <c r="B14" s="168">
        <v>20014</v>
      </c>
      <c r="C14" s="24">
        <v>2</v>
      </c>
      <c r="D14" s="26" t="s">
        <v>64</v>
      </c>
      <c r="E14" s="26" t="s">
        <v>65</v>
      </c>
      <c r="F14" s="26" t="s">
        <v>2566</v>
      </c>
      <c r="G14" s="25" t="s">
        <v>1002</v>
      </c>
      <c r="H14" s="25" t="s">
        <v>3018</v>
      </c>
      <c r="I14" s="26" t="s">
        <v>1006</v>
      </c>
      <c r="J14" s="26"/>
      <c r="K14" s="26" t="s">
        <v>3019</v>
      </c>
      <c r="L14" s="26" t="s">
        <v>3020</v>
      </c>
    </row>
    <row r="15" spans="1:13" ht="43.5" x14ac:dyDescent="0.35">
      <c r="A15" s="24">
        <v>276</v>
      </c>
      <c r="B15" s="168">
        <v>20014</v>
      </c>
      <c r="C15" s="24">
        <v>2</v>
      </c>
      <c r="D15" s="26" t="s">
        <v>64</v>
      </c>
      <c r="E15" s="26" t="s">
        <v>65</v>
      </c>
      <c r="F15" s="26" t="s">
        <v>2566</v>
      </c>
      <c r="G15" s="25" t="s">
        <v>1002</v>
      </c>
      <c r="H15" s="25" t="s">
        <v>3021</v>
      </c>
      <c r="I15" s="26" t="s">
        <v>1006</v>
      </c>
      <c r="J15" s="26"/>
      <c r="K15" s="26" t="s">
        <v>3022</v>
      </c>
      <c r="L15" s="26" t="s">
        <v>3023</v>
      </c>
    </row>
    <row r="16" spans="1:13" x14ac:dyDescent="0.35">
      <c r="A16" s="24">
        <v>277</v>
      </c>
      <c r="B16" s="168">
        <v>20015</v>
      </c>
      <c r="C16" s="24" t="s">
        <v>1015</v>
      </c>
      <c r="D16" s="26" t="s">
        <v>69</v>
      </c>
      <c r="E16" s="26" t="s">
        <v>70</v>
      </c>
      <c r="F16" s="26" t="s">
        <v>2567</v>
      </c>
      <c r="G16" s="25" t="s">
        <v>1002</v>
      </c>
      <c r="H16" s="25" t="s">
        <v>3024</v>
      </c>
      <c r="I16" s="26" t="s">
        <v>1006</v>
      </c>
      <c r="J16" s="26"/>
      <c r="K16" s="26" t="s">
        <v>3025</v>
      </c>
      <c r="L16" s="26" t="s">
        <v>3026</v>
      </c>
    </row>
    <row r="17" spans="1:12" ht="29" x14ac:dyDescent="0.35">
      <c r="A17" s="24">
        <v>278</v>
      </c>
      <c r="B17" s="168">
        <v>20016</v>
      </c>
      <c r="C17" s="24" t="s">
        <v>1019</v>
      </c>
      <c r="D17" s="26" t="s">
        <v>73</v>
      </c>
      <c r="E17" s="26" t="s">
        <v>74</v>
      </c>
      <c r="F17" s="26" t="s">
        <v>2568</v>
      </c>
      <c r="G17" s="25" t="s">
        <v>1002</v>
      </c>
      <c r="H17" s="25" t="s">
        <v>3027</v>
      </c>
      <c r="I17" s="26" t="s">
        <v>1006</v>
      </c>
      <c r="J17" s="26"/>
      <c r="K17" s="26" t="s">
        <v>3028</v>
      </c>
      <c r="L17" s="26" t="s">
        <v>3029</v>
      </c>
    </row>
    <row r="18" spans="1:12" ht="29" x14ac:dyDescent="0.35">
      <c r="A18" s="24">
        <v>228</v>
      </c>
      <c r="B18" s="168">
        <v>20001</v>
      </c>
      <c r="C18" s="24">
        <v>4</v>
      </c>
      <c r="D18" s="26" t="s">
        <v>3030</v>
      </c>
      <c r="E18" s="26" t="s">
        <v>78</v>
      </c>
      <c r="F18" s="26" t="s">
        <v>2569</v>
      </c>
      <c r="G18" s="25" t="s">
        <v>1002</v>
      </c>
      <c r="H18" s="25" t="s">
        <v>3031</v>
      </c>
      <c r="I18" s="26" t="s">
        <v>1006</v>
      </c>
      <c r="J18" s="26"/>
      <c r="K18" s="26" t="s">
        <v>3032</v>
      </c>
      <c r="L18" s="26" t="s">
        <v>3033</v>
      </c>
    </row>
    <row r="19" spans="1:12" ht="29" x14ac:dyDescent="0.35">
      <c r="A19" s="24">
        <v>229</v>
      </c>
      <c r="B19" s="168">
        <v>20002</v>
      </c>
      <c r="C19" s="24">
        <v>4</v>
      </c>
      <c r="D19" s="26" t="s">
        <v>3034</v>
      </c>
      <c r="E19" s="26" t="s">
        <v>78</v>
      </c>
      <c r="F19" s="26" t="s">
        <v>2570</v>
      </c>
      <c r="G19" s="25" t="s">
        <v>1002</v>
      </c>
      <c r="H19" s="25" t="s">
        <v>3035</v>
      </c>
      <c r="I19" s="26" t="s">
        <v>1016</v>
      </c>
      <c r="J19" s="26"/>
      <c r="K19" s="26" t="s">
        <v>3036</v>
      </c>
      <c r="L19" s="26" t="s">
        <v>3037</v>
      </c>
    </row>
    <row r="20" spans="1:12" ht="29" x14ac:dyDescent="0.35">
      <c r="A20" s="24">
        <v>230</v>
      </c>
      <c r="B20" s="168">
        <v>20003</v>
      </c>
      <c r="C20" s="24">
        <v>4</v>
      </c>
      <c r="D20" s="26" t="s">
        <v>3038</v>
      </c>
      <c r="E20" s="26" t="s">
        <v>78</v>
      </c>
      <c r="F20" s="26" t="s">
        <v>2571</v>
      </c>
      <c r="G20" s="25" t="s">
        <v>1002</v>
      </c>
      <c r="H20" s="25" t="s">
        <v>3039</v>
      </c>
      <c r="I20" s="26" t="s">
        <v>1016</v>
      </c>
      <c r="J20" s="26"/>
      <c r="K20" s="26" t="s">
        <v>3040</v>
      </c>
      <c r="L20" s="26" t="s">
        <v>3041</v>
      </c>
    </row>
    <row r="21" spans="1:12" ht="29" x14ac:dyDescent="0.35">
      <c r="A21" s="24">
        <v>1604</v>
      </c>
      <c r="B21" s="168">
        <v>20001</v>
      </c>
      <c r="C21" s="24">
        <v>4</v>
      </c>
      <c r="D21" s="26" t="s">
        <v>3030</v>
      </c>
      <c r="E21" s="26" t="s">
        <v>78</v>
      </c>
      <c r="F21" s="26" t="s">
        <v>2569</v>
      </c>
      <c r="G21" s="25" t="s">
        <v>1002</v>
      </c>
      <c r="H21" s="25" t="s">
        <v>3035</v>
      </c>
      <c r="I21" s="26" t="s">
        <v>1006</v>
      </c>
      <c r="J21" s="26"/>
      <c r="K21" s="26" t="s">
        <v>3042</v>
      </c>
      <c r="L21" s="26" t="s">
        <v>3043</v>
      </c>
    </row>
    <row r="22" spans="1:12" x14ac:dyDescent="0.35">
      <c r="A22" s="24">
        <v>279</v>
      </c>
      <c r="B22" s="168">
        <v>20017</v>
      </c>
      <c r="C22" s="24">
        <v>5</v>
      </c>
      <c r="D22" s="26" t="s">
        <v>80</v>
      </c>
      <c r="E22" s="26" t="s">
        <v>81</v>
      </c>
      <c r="F22" s="26" t="s">
        <v>2572</v>
      </c>
      <c r="G22" s="25" t="s">
        <v>1002</v>
      </c>
      <c r="H22" s="25" t="s">
        <v>3044</v>
      </c>
      <c r="I22" s="26" t="s">
        <v>1016</v>
      </c>
      <c r="J22" s="26"/>
      <c r="K22" s="26"/>
      <c r="L22" s="26" t="s">
        <v>3045</v>
      </c>
    </row>
    <row r="23" spans="1:12" ht="29" x14ac:dyDescent="0.35">
      <c r="A23" s="24">
        <v>1340</v>
      </c>
      <c r="B23" s="168">
        <v>20018</v>
      </c>
      <c r="C23" s="24">
        <v>6</v>
      </c>
      <c r="D23" s="26" t="s">
        <v>83</v>
      </c>
      <c r="E23" s="26" t="s">
        <v>84</v>
      </c>
      <c r="F23" s="26" t="s">
        <v>2573</v>
      </c>
      <c r="G23" s="25" t="s">
        <v>1002</v>
      </c>
      <c r="H23" s="25" t="s">
        <v>3044</v>
      </c>
      <c r="I23" s="26" t="s">
        <v>1006</v>
      </c>
      <c r="J23" s="26" t="s">
        <v>3046</v>
      </c>
      <c r="K23" s="26" t="s">
        <v>3047</v>
      </c>
      <c r="L23" s="26" t="s">
        <v>83</v>
      </c>
    </row>
    <row r="24" spans="1:12" ht="29" x14ac:dyDescent="0.35">
      <c r="A24" s="24">
        <v>1341</v>
      </c>
      <c r="B24" s="168">
        <v>20018</v>
      </c>
      <c r="C24" s="24">
        <v>6</v>
      </c>
      <c r="D24" s="26" t="s">
        <v>83</v>
      </c>
      <c r="E24" s="26" t="s">
        <v>84</v>
      </c>
      <c r="F24" s="26" t="s">
        <v>2573</v>
      </c>
      <c r="G24" s="25" t="s">
        <v>1002</v>
      </c>
      <c r="H24" s="25" t="s">
        <v>3048</v>
      </c>
      <c r="I24" s="26" t="s">
        <v>3049</v>
      </c>
      <c r="J24" s="26" t="s">
        <v>3046</v>
      </c>
      <c r="K24" s="26"/>
      <c r="L24" s="26" t="s">
        <v>3050</v>
      </c>
    </row>
    <row r="25" spans="1:12" ht="29" x14ac:dyDescent="0.35">
      <c r="A25" s="24">
        <v>281</v>
      </c>
      <c r="B25" s="168">
        <v>20019</v>
      </c>
      <c r="C25" s="24">
        <v>6</v>
      </c>
      <c r="D25" s="26" t="s">
        <v>87</v>
      </c>
      <c r="E25" s="26" t="s">
        <v>88</v>
      </c>
      <c r="F25" s="26" t="s">
        <v>2574</v>
      </c>
      <c r="G25" s="25" t="s">
        <v>1002</v>
      </c>
      <c r="H25" s="25" t="s">
        <v>3051</v>
      </c>
      <c r="I25" s="26" t="s">
        <v>1016</v>
      </c>
      <c r="J25" s="26" t="s">
        <v>3046</v>
      </c>
      <c r="K25" s="26"/>
      <c r="L25" s="26" t="s">
        <v>87</v>
      </c>
    </row>
    <row r="26" spans="1:12" x14ac:dyDescent="0.35">
      <c r="A26" s="24">
        <v>282</v>
      </c>
      <c r="B26" s="168">
        <v>20020</v>
      </c>
      <c r="C26" s="24" t="s">
        <v>1027</v>
      </c>
      <c r="D26" s="26" t="s">
        <v>95</v>
      </c>
      <c r="E26" s="26" t="s">
        <v>96</v>
      </c>
      <c r="F26" s="26" t="s">
        <v>2576</v>
      </c>
      <c r="G26" s="25" t="s">
        <v>1002</v>
      </c>
      <c r="H26" s="25" t="s">
        <v>3052</v>
      </c>
      <c r="I26" s="26" t="s">
        <v>1016</v>
      </c>
      <c r="J26" s="26" t="s">
        <v>2776</v>
      </c>
      <c r="K26" s="26"/>
      <c r="L26" s="26" t="s">
        <v>3053</v>
      </c>
    </row>
    <row r="27" spans="1:12" x14ac:dyDescent="0.35">
      <c r="A27" s="24">
        <v>310</v>
      </c>
      <c r="B27" s="168">
        <v>20021</v>
      </c>
      <c r="C27" s="24" t="s">
        <v>1029</v>
      </c>
      <c r="D27" s="26" t="s">
        <v>101</v>
      </c>
      <c r="E27" s="26" t="s">
        <v>102</v>
      </c>
      <c r="F27" s="26" t="s">
        <v>2577</v>
      </c>
      <c r="G27" s="25" t="s">
        <v>1002</v>
      </c>
      <c r="H27" s="25" t="s">
        <v>3054</v>
      </c>
      <c r="I27" s="26" t="s">
        <v>1016</v>
      </c>
      <c r="J27" s="26"/>
      <c r="K27" s="26"/>
      <c r="L27" s="26" t="s">
        <v>3055</v>
      </c>
    </row>
    <row r="28" spans="1:12" x14ac:dyDescent="0.35">
      <c r="A28" s="24">
        <v>312</v>
      </c>
      <c r="B28" s="168">
        <v>20022</v>
      </c>
      <c r="C28" s="24" t="s">
        <v>1029</v>
      </c>
      <c r="D28" s="26" t="s">
        <v>103</v>
      </c>
      <c r="E28" s="26" t="s">
        <v>104</v>
      </c>
      <c r="F28" s="26" t="s">
        <v>2578</v>
      </c>
      <c r="G28" s="25" t="s">
        <v>1002</v>
      </c>
      <c r="H28" s="25" t="s">
        <v>3056</v>
      </c>
      <c r="I28" s="26" t="s">
        <v>1016</v>
      </c>
      <c r="J28" s="26"/>
      <c r="K28" s="26"/>
      <c r="L28" s="26" t="s">
        <v>3057</v>
      </c>
    </row>
    <row r="29" spans="1:12" x14ac:dyDescent="0.35">
      <c r="A29" s="24">
        <v>314</v>
      </c>
      <c r="B29" s="168">
        <v>20023</v>
      </c>
      <c r="C29" s="24" t="s">
        <v>1029</v>
      </c>
      <c r="D29" s="26" t="s">
        <v>105</v>
      </c>
      <c r="E29" s="26" t="s">
        <v>106</v>
      </c>
      <c r="F29" s="26" t="s">
        <v>2579</v>
      </c>
      <c r="G29" s="25" t="s">
        <v>1002</v>
      </c>
      <c r="H29" s="25" t="s">
        <v>3058</v>
      </c>
      <c r="I29" s="26" t="s">
        <v>1016</v>
      </c>
      <c r="J29" s="26"/>
      <c r="K29" s="26" t="s">
        <v>3059</v>
      </c>
      <c r="L29" s="26" t="s">
        <v>3060</v>
      </c>
    </row>
    <row r="30" spans="1:12" ht="29" x14ac:dyDescent="0.35">
      <c r="A30" s="141">
        <v>315</v>
      </c>
      <c r="B30" s="221">
        <v>20024</v>
      </c>
      <c r="C30" s="141" t="s">
        <v>1035</v>
      </c>
      <c r="D30" s="202" t="s">
        <v>115</v>
      </c>
      <c r="E30" s="202" t="s">
        <v>116</v>
      </c>
      <c r="F30" s="202" t="s">
        <v>2580</v>
      </c>
      <c r="G30" s="222" t="s">
        <v>1002</v>
      </c>
      <c r="H30" s="222" t="s">
        <v>3061</v>
      </c>
      <c r="I30" s="202" t="s">
        <v>2998</v>
      </c>
      <c r="J30" s="202"/>
      <c r="K30" s="202" t="s">
        <v>2999</v>
      </c>
      <c r="L30" s="202" t="s">
        <v>3062</v>
      </c>
    </row>
    <row r="31" spans="1:12" x14ac:dyDescent="0.35">
      <c r="A31" s="24">
        <v>316</v>
      </c>
      <c r="B31" s="168">
        <v>20025</v>
      </c>
      <c r="C31" s="24" t="s">
        <v>1037</v>
      </c>
      <c r="D31" s="26" t="s">
        <v>118</v>
      </c>
      <c r="E31" s="26" t="s">
        <v>119</v>
      </c>
      <c r="F31" s="26" t="s">
        <v>2581</v>
      </c>
      <c r="G31" s="25" t="s">
        <v>1002</v>
      </c>
      <c r="H31" s="25" t="s">
        <v>3063</v>
      </c>
      <c r="I31" s="26" t="s">
        <v>1016</v>
      </c>
      <c r="J31" s="26"/>
      <c r="K31" s="26"/>
      <c r="L31" s="26" t="s">
        <v>3064</v>
      </c>
    </row>
    <row r="32" spans="1:12" x14ac:dyDescent="0.35">
      <c r="A32" s="24">
        <v>317</v>
      </c>
      <c r="B32" s="168">
        <v>20026</v>
      </c>
      <c r="C32" s="24" t="s">
        <v>1039</v>
      </c>
      <c r="D32" s="26" t="s">
        <v>121</v>
      </c>
      <c r="E32" s="26" t="s">
        <v>122</v>
      </c>
      <c r="F32" s="26" t="s">
        <v>2582</v>
      </c>
      <c r="G32" s="25" t="s">
        <v>1002</v>
      </c>
      <c r="H32" s="25" t="s">
        <v>3065</v>
      </c>
      <c r="I32" s="26" t="s">
        <v>1016</v>
      </c>
      <c r="J32" s="26"/>
      <c r="K32" s="26"/>
      <c r="L32" s="26" t="s">
        <v>3066</v>
      </c>
    </row>
    <row r="33" spans="1:12" ht="58" x14ac:dyDescent="0.35">
      <c r="A33" s="24">
        <v>318</v>
      </c>
      <c r="B33" s="168">
        <v>20027</v>
      </c>
      <c r="C33" s="24" t="s">
        <v>1043</v>
      </c>
      <c r="D33" s="26" t="s">
        <v>124</v>
      </c>
      <c r="E33" s="26" t="s">
        <v>125</v>
      </c>
      <c r="F33" s="26" t="s">
        <v>2583</v>
      </c>
      <c r="G33" s="25" t="s">
        <v>1002</v>
      </c>
      <c r="H33" s="25" t="s">
        <v>3067</v>
      </c>
      <c r="I33" s="26" t="s">
        <v>1006</v>
      </c>
      <c r="J33" s="26"/>
      <c r="K33" s="26" t="s">
        <v>3068</v>
      </c>
      <c r="L33" s="26" t="s">
        <v>3069</v>
      </c>
    </row>
    <row r="34" spans="1:12" ht="43.5" x14ac:dyDescent="0.35">
      <c r="A34" s="24">
        <v>319</v>
      </c>
      <c r="B34" s="168">
        <v>20027</v>
      </c>
      <c r="C34" s="24" t="s">
        <v>1043</v>
      </c>
      <c r="D34" s="26" t="s">
        <v>124</v>
      </c>
      <c r="E34" s="26" t="s">
        <v>125</v>
      </c>
      <c r="F34" s="26" t="s">
        <v>2583</v>
      </c>
      <c r="G34" s="25" t="s">
        <v>1002</v>
      </c>
      <c r="H34" s="25" t="s">
        <v>3070</v>
      </c>
      <c r="I34" s="26" t="s">
        <v>1006</v>
      </c>
      <c r="J34" s="26"/>
      <c r="K34" s="26" t="s">
        <v>3071</v>
      </c>
      <c r="L34" s="26" t="s">
        <v>3069</v>
      </c>
    </row>
    <row r="35" spans="1:12" ht="29" x14ac:dyDescent="0.35">
      <c r="A35" s="24">
        <v>331</v>
      </c>
      <c r="B35" s="168">
        <v>20028</v>
      </c>
      <c r="C35" s="24">
        <v>10</v>
      </c>
      <c r="D35" s="26" t="s">
        <v>1423</v>
      </c>
      <c r="E35" s="26" t="s">
        <v>133</v>
      </c>
      <c r="F35" s="26" t="s">
        <v>2584</v>
      </c>
      <c r="G35" s="25" t="s">
        <v>1002</v>
      </c>
      <c r="H35" s="25" t="s">
        <v>3072</v>
      </c>
      <c r="I35" s="26" t="s">
        <v>1006</v>
      </c>
      <c r="J35" s="26" t="s">
        <v>3046</v>
      </c>
      <c r="K35" s="26" t="s">
        <v>3073</v>
      </c>
      <c r="L35" s="26" t="s">
        <v>132</v>
      </c>
    </row>
    <row r="36" spans="1:12" x14ac:dyDescent="0.35">
      <c r="A36" s="24">
        <v>332</v>
      </c>
      <c r="B36" s="168">
        <v>20029</v>
      </c>
      <c r="C36" s="24">
        <v>11</v>
      </c>
      <c r="D36" s="26" t="s">
        <v>136</v>
      </c>
      <c r="E36" s="26" t="s">
        <v>137</v>
      </c>
      <c r="F36" s="26" t="s">
        <v>2585</v>
      </c>
      <c r="G36" s="25" t="s">
        <v>1002</v>
      </c>
      <c r="H36" s="25" t="s">
        <v>3074</v>
      </c>
      <c r="I36" s="26" t="s">
        <v>1006</v>
      </c>
      <c r="J36" s="26"/>
      <c r="K36" s="26" t="s">
        <v>3075</v>
      </c>
      <c r="L36" s="26" t="s">
        <v>3076</v>
      </c>
    </row>
    <row r="37" spans="1:12" x14ac:dyDescent="0.35">
      <c r="A37" s="24">
        <v>335</v>
      </c>
      <c r="B37" s="168">
        <v>20031</v>
      </c>
      <c r="C37" s="24">
        <v>13</v>
      </c>
      <c r="D37" s="26" t="s">
        <v>143</v>
      </c>
      <c r="E37" s="26" t="s">
        <v>144</v>
      </c>
      <c r="F37" s="26" t="s">
        <v>2588</v>
      </c>
      <c r="G37" s="25" t="s">
        <v>1002</v>
      </c>
      <c r="H37" s="25" t="s">
        <v>3077</v>
      </c>
      <c r="I37" s="26" t="s">
        <v>1016</v>
      </c>
      <c r="J37" s="26" t="s">
        <v>3078</v>
      </c>
      <c r="K37" s="26"/>
      <c r="L37" s="26" t="s">
        <v>3079</v>
      </c>
    </row>
    <row r="38" spans="1:12" x14ac:dyDescent="0.35">
      <c r="A38" s="24">
        <v>337</v>
      </c>
      <c r="B38" s="168">
        <v>20032</v>
      </c>
      <c r="C38" s="24">
        <v>14</v>
      </c>
      <c r="D38" s="26" t="s">
        <v>148</v>
      </c>
      <c r="E38" s="26" t="s">
        <v>149</v>
      </c>
      <c r="F38" s="26" t="s">
        <v>2590</v>
      </c>
      <c r="G38" s="25" t="s">
        <v>1002</v>
      </c>
      <c r="H38" s="25" t="s">
        <v>3080</v>
      </c>
      <c r="I38" s="26" t="s">
        <v>1006</v>
      </c>
      <c r="J38" s="26"/>
      <c r="K38" s="26" t="s">
        <v>3081</v>
      </c>
      <c r="L38" s="26" t="s">
        <v>3082</v>
      </c>
    </row>
    <row r="39" spans="1:12" x14ac:dyDescent="0.35">
      <c r="A39" s="24">
        <v>338</v>
      </c>
      <c r="B39" s="168">
        <v>20033</v>
      </c>
      <c r="C39" s="24">
        <v>15</v>
      </c>
      <c r="D39" s="26" t="s">
        <v>152</v>
      </c>
      <c r="E39" s="26" t="s">
        <v>153</v>
      </c>
      <c r="F39" s="26" t="s">
        <v>2592</v>
      </c>
      <c r="G39" s="25" t="s">
        <v>1002</v>
      </c>
      <c r="H39" s="25" t="s">
        <v>3083</v>
      </c>
      <c r="I39" s="26" t="s">
        <v>1006</v>
      </c>
      <c r="J39" s="26"/>
      <c r="K39" s="26" t="s">
        <v>3084</v>
      </c>
      <c r="L39" s="26" t="s">
        <v>3085</v>
      </c>
    </row>
    <row r="40" spans="1:12" x14ac:dyDescent="0.35">
      <c r="A40" s="24">
        <v>339</v>
      </c>
      <c r="B40" s="168">
        <v>20034</v>
      </c>
      <c r="C40" s="24">
        <v>16</v>
      </c>
      <c r="D40" s="26" t="s">
        <v>156</v>
      </c>
      <c r="E40" s="26" t="s">
        <v>157</v>
      </c>
      <c r="F40" s="26" t="s">
        <v>2593</v>
      </c>
      <c r="G40" s="25" t="s">
        <v>1002</v>
      </c>
      <c r="H40" s="25" t="s">
        <v>3086</v>
      </c>
      <c r="I40" s="26" t="s">
        <v>1006</v>
      </c>
      <c r="J40" s="26" t="s">
        <v>3078</v>
      </c>
      <c r="K40" s="26" t="s">
        <v>3087</v>
      </c>
      <c r="L40" s="26" t="s">
        <v>3088</v>
      </c>
    </row>
    <row r="41" spans="1:12" ht="58" x14ac:dyDescent="0.35">
      <c r="A41" s="24">
        <v>340</v>
      </c>
      <c r="B41" s="168">
        <v>20035</v>
      </c>
      <c r="C41" s="24">
        <v>17</v>
      </c>
      <c r="D41" s="26" t="s">
        <v>159</v>
      </c>
      <c r="E41" s="26" t="s">
        <v>160</v>
      </c>
      <c r="F41" s="26" t="s">
        <v>2595</v>
      </c>
      <c r="G41" s="25" t="s">
        <v>1002</v>
      </c>
      <c r="H41" s="25" t="s">
        <v>3089</v>
      </c>
      <c r="I41" s="26" t="s">
        <v>1006</v>
      </c>
      <c r="J41" s="26"/>
      <c r="K41" s="26" t="s">
        <v>3090</v>
      </c>
      <c r="L41" s="26" t="s">
        <v>159</v>
      </c>
    </row>
    <row r="42" spans="1:12" x14ac:dyDescent="0.35">
      <c r="A42" s="24">
        <v>341</v>
      </c>
      <c r="B42" s="168">
        <v>20036</v>
      </c>
      <c r="C42" s="24">
        <v>18</v>
      </c>
      <c r="D42" s="26" t="s">
        <v>162</v>
      </c>
      <c r="E42" s="26" t="s">
        <v>163</v>
      </c>
      <c r="F42" s="26" t="s">
        <v>2597</v>
      </c>
      <c r="G42" s="25" t="s">
        <v>1002</v>
      </c>
      <c r="H42" s="25" t="s">
        <v>3091</v>
      </c>
      <c r="I42" s="26" t="s">
        <v>3092</v>
      </c>
      <c r="J42" s="26"/>
      <c r="K42" s="26"/>
      <c r="L42" s="26" t="s">
        <v>3093</v>
      </c>
    </row>
    <row r="43" spans="1:12" x14ac:dyDescent="0.35">
      <c r="A43" s="24">
        <v>350</v>
      </c>
      <c r="B43" s="168">
        <v>20037</v>
      </c>
      <c r="C43" s="24">
        <v>19</v>
      </c>
      <c r="D43" s="26" t="s">
        <v>165</v>
      </c>
      <c r="E43" s="26" t="s">
        <v>166</v>
      </c>
      <c r="F43" s="26" t="s">
        <v>2599</v>
      </c>
      <c r="G43" s="25" t="s">
        <v>1002</v>
      </c>
      <c r="H43" s="25" t="s">
        <v>3094</v>
      </c>
      <c r="I43" s="26" t="s">
        <v>3092</v>
      </c>
      <c r="J43" s="26"/>
      <c r="K43" s="26"/>
      <c r="L43" s="26" t="s">
        <v>3095</v>
      </c>
    </row>
    <row r="44" spans="1:12" x14ac:dyDescent="0.35">
      <c r="A44" s="24">
        <v>351</v>
      </c>
      <c r="B44" s="168">
        <v>20038</v>
      </c>
      <c r="C44" s="24">
        <v>20</v>
      </c>
      <c r="D44" s="26" t="s">
        <v>168</v>
      </c>
      <c r="E44" s="26" t="s">
        <v>169</v>
      </c>
      <c r="F44" s="26" t="s">
        <v>2600</v>
      </c>
      <c r="G44" s="25" t="s">
        <v>1002</v>
      </c>
      <c r="H44" s="25" t="s">
        <v>3096</v>
      </c>
      <c r="I44" s="26" t="s">
        <v>3092</v>
      </c>
      <c r="J44" s="26"/>
      <c r="K44" s="26"/>
      <c r="L44" s="26" t="s">
        <v>3097</v>
      </c>
    </row>
    <row r="45" spans="1:12" x14ac:dyDescent="0.35">
      <c r="A45" s="24">
        <v>352</v>
      </c>
      <c r="B45" s="168">
        <v>20039</v>
      </c>
      <c r="C45" s="24">
        <v>21</v>
      </c>
      <c r="D45" s="26" t="s">
        <v>171</v>
      </c>
      <c r="E45" s="26" t="s">
        <v>172</v>
      </c>
      <c r="F45" s="26" t="s">
        <v>2601</v>
      </c>
      <c r="G45" s="25" t="s">
        <v>1002</v>
      </c>
      <c r="H45" s="25" t="s">
        <v>3098</v>
      </c>
      <c r="I45" s="26" t="s">
        <v>3092</v>
      </c>
      <c r="J45" s="26"/>
      <c r="K45" s="26"/>
      <c r="L45" s="26" t="s">
        <v>3099</v>
      </c>
    </row>
    <row r="46" spans="1:12" x14ac:dyDescent="0.35">
      <c r="A46" s="24">
        <v>353</v>
      </c>
      <c r="B46" s="168">
        <v>20040</v>
      </c>
      <c r="C46" s="24">
        <v>22</v>
      </c>
      <c r="D46" s="26" t="s">
        <v>174</v>
      </c>
      <c r="E46" s="26" t="s">
        <v>175</v>
      </c>
      <c r="F46" s="26" t="s">
        <v>2602</v>
      </c>
      <c r="G46" s="25" t="s">
        <v>1002</v>
      </c>
      <c r="H46" s="25" t="s">
        <v>3100</v>
      </c>
      <c r="I46" s="26" t="s">
        <v>3092</v>
      </c>
      <c r="J46" s="26"/>
      <c r="K46" s="26"/>
      <c r="L46" s="26" t="s">
        <v>3101</v>
      </c>
    </row>
    <row r="47" spans="1:12" x14ac:dyDescent="0.35">
      <c r="A47" s="24">
        <v>354</v>
      </c>
      <c r="B47" s="168">
        <v>20041</v>
      </c>
      <c r="C47" s="24">
        <v>23</v>
      </c>
      <c r="D47" s="26" t="s">
        <v>177</v>
      </c>
      <c r="E47" s="26" t="s">
        <v>178</v>
      </c>
      <c r="F47" s="26" t="s">
        <v>2603</v>
      </c>
      <c r="G47" s="25" t="s">
        <v>1002</v>
      </c>
      <c r="H47" s="25" t="s">
        <v>3102</v>
      </c>
      <c r="I47" s="26" t="s">
        <v>3092</v>
      </c>
      <c r="J47" s="26"/>
      <c r="K47" s="26"/>
      <c r="L47" s="26" t="s">
        <v>3103</v>
      </c>
    </row>
    <row r="48" spans="1:12" x14ac:dyDescent="0.35">
      <c r="A48" s="24">
        <v>355</v>
      </c>
      <c r="B48" s="168">
        <v>20042</v>
      </c>
      <c r="C48" s="24">
        <v>24</v>
      </c>
      <c r="D48" s="26" t="s">
        <v>180</v>
      </c>
      <c r="E48" s="26" t="s">
        <v>181</v>
      </c>
      <c r="F48" s="26" t="s">
        <v>2604</v>
      </c>
      <c r="G48" s="25" t="s">
        <v>1002</v>
      </c>
      <c r="H48" s="25" t="s">
        <v>3104</v>
      </c>
      <c r="I48" s="26" t="s">
        <v>3092</v>
      </c>
      <c r="J48" s="26"/>
      <c r="K48" s="26"/>
      <c r="L48" s="26" t="s">
        <v>3105</v>
      </c>
    </row>
    <row r="49" spans="1:12" x14ac:dyDescent="0.35">
      <c r="A49" s="24">
        <v>356</v>
      </c>
      <c r="B49" s="168">
        <v>20043</v>
      </c>
      <c r="C49" s="24">
        <v>25</v>
      </c>
      <c r="D49" s="26" t="s">
        <v>183</v>
      </c>
      <c r="E49" s="26" t="s">
        <v>184</v>
      </c>
      <c r="F49" s="26" t="s">
        <v>2605</v>
      </c>
      <c r="G49" s="25" t="s">
        <v>1002</v>
      </c>
      <c r="H49" s="25" t="s">
        <v>3106</v>
      </c>
      <c r="I49" s="26" t="s">
        <v>3092</v>
      </c>
      <c r="J49" s="26"/>
      <c r="K49" s="26"/>
      <c r="L49" s="26" t="s">
        <v>3107</v>
      </c>
    </row>
    <row r="50" spans="1:12" x14ac:dyDescent="0.35">
      <c r="A50" s="24">
        <v>357</v>
      </c>
      <c r="B50" s="168">
        <v>20044</v>
      </c>
      <c r="C50" s="24">
        <v>26</v>
      </c>
      <c r="D50" s="26" t="s">
        <v>186</v>
      </c>
      <c r="E50" s="26" t="s">
        <v>187</v>
      </c>
      <c r="F50" s="26" t="s">
        <v>2606</v>
      </c>
      <c r="G50" s="25" t="s">
        <v>1002</v>
      </c>
      <c r="H50" s="25" t="s">
        <v>3108</v>
      </c>
      <c r="I50" s="26" t="s">
        <v>3092</v>
      </c>
      <c r="J50" s="26"/>
      <c r="K50" s="26"/>
      <c r="L50" s="26" t="s">
        <v>3109</v>
      </c>
    </row>
    <row r="51" spans="1:12" x14ac:dyDescent="0.35">
      <c r="A51" s="24">
        <v>358</v>
      </c>
      <c r="B51" s="168">
        <v>20045</v>
      </c>
      <c r="C51" s="24">
        <v>27</v>
      </c>
      <c r="D51" s="26" t="s">
        <v>189</v>
      </c>
      <c r="E51" s="26" t="s">
        <v>190</v>
      </c>
      <c r="F51" s="26" t="s">
        <v>2607</v>
      </c>
      <c r="G51" s="25" t="s">
        <v>1002</v>
      </c>
      <c r="H51" s="25" t="s">
        <v>3110</v>
      </c>
      <c r="I51" s="26" t="s">
        <v>3092</v>
      </c>
      <c r="J51" s="26"/>
      <c r="K51" s="26"/>
      <c r="L51" s="26" t="s">
        <v>3111</v>
      </c>
    </row>
    <row r="52" spans="1:12" x14ac:dyDescent="0.35">
      <c r="A52" s="24">
        <v>359</v>
      </c>
      <c r="B52" s="168">
        <v>20046</v>
      </c>
      <c r="C52" s="24">
        <v>28</v>
      </c>
      <c r="D52" s="26" t="s">
        <v>192</v>
      </c>
      <c r="E52" s="26" t="s">
        <v>193</v>
      </c>
      <c r="F52" s="26" t="s">
        <v>2608</v>
      </c>
      <c r="G52" s="25" t="s">
        <v>1002</v>
      </c>
      <c r="H52" s="25" t="s">
        <v>3112</v>
      </c>
      <c r="I52" s="26" t="s">
        <v>3092</v>
      </c>
      <c r="J52" s="26"/>
      <c r="K52" s="26"/>
      <c r="L52" s="26" t="s">
        <v>3113</v>
      </c>
    </row>
    <row r="53" spans="1:12" x14ac:dyDescent="0.35">
      <c r="A53" s="24">
        <v>378</v>
      </c>
      <c r="B53" s="168">
        <v>20047</v>
      </c>
      <c r="C53" s="24">
        <v>29</v>
      </c>
      <c r="D53" s="26" t="s">
        <v>195</v>
      </c>
      <c r="E53" s="26" t="s">
        <v>196</v>
      </c>
      <c r="F53" s="26" t="s">
        <v>2609</v>
      </c>
      <c r="G53" s="25" t="s">
        <v>1002</v>
      </c>
      <c r="H53" s="25" t="s">
        <v>3114</v>
      </c>
      <c r="I53" s="26" t="s">
        <v>1006</v>
      </c>
      <c r="J53" s="26"/>
      <c r="K53" s="26" t="s">
        <v>3115</v>
      </c>
      <c r="L53" s="26" t="s">
        <v>1452</v>
      </c>
    </row>
    <row r="54" spans="1:12" x14ac:dyDescent="0.35">
      <c r="A54" s="24">
        <v>379</v>
      </c>
      <c r="B54" s="168">
        <v>20048</v>
      </c>
      <c r="C54" s="24" t="s">
        <v>1063</v>
      </c>
      <c r="D54" s="26" t="s">
        <v>201</v>
      </c>
      <c r="E54" s="26" t="s">
        <v>202</v>
      </c>
      <c r="F54" s="26" t="s">
        <v>2610</v>
      </c>
      <c r="G54" s="25" t="s">
        <v>1002</v>
      </c>
      <c r="H54" s="25" t="s">
        <v>3116</v>
      </c>
      <c r="I54" s="26" t="s">
        <v>1016</v>
      </c>
      <c r="J54" s="26"/>
      <c r="K54" s="26"/>
      <c r="L54" s="26" t="s">
        <v>201</v>
      </c>
    </row>
    <row r="55" spans="1:12" x14ac:dyDescent="0.35">
      <c r="A55" s="24">
        <v>381</v>
      </c>
      <c r="B55" s="168">
        <v>20050</v>
      </c>
      <c r="C55" s="24" t="s">
        <v>1066</v>
      </c>
      <c r="D55" s="26" t="s">
        <v>207</v>
      </c>
      <c r="E55" s="26" t="s">
        <v>208</v>
      </c>
      <c r="F55" s="26" t="s">
        <v>2613</v>
      </c>
      <c r="G55" s="25" t="s">
        <v>1002</v>
      </c>
      <c r="H55" s="25" t="s">
        <v>3117</v>
      </c>
      <c r="I55" s="26" t="s">
        <v>1016</v>
      </c>
      <c r="J55" s="26"/>
      <c r="K55" s="26"/>
      <c r="L55" s="26" t="s">
        <v>207</v>
      </c>
    </row>
    <row r="56" spans="1:12" x14ac:dyDescent="0.35">
      <c r="A56" s="24">
        <v>383</v>
      </c>
      <c r="B56" s="168">
        <v>20052</v>
      </c>
      <c r="C56" s="24" t="s">
        <v>1067</v>
      </c>
      <c r="D56" s="26" t="s">
        <v>212</v>
      </c>
      <c r="E56" s="26" t="s">
        <v>213</v>
      </c>
      <c r="F56" s="26" t="s">
        <v>2615</v>
      </c>
      <c r="G56" s="25" t="s">
        <v>1002</v>
      </c>
      <c r="H56" s="25" t="s">
        <v>3118</v>
      </c>
      <c r="I56" s="26" t="s">
        <v>1016</v>
      </c>
      <c r="J56" s="26"/>
      <c r="K56" s="26"/>
      <c r="L56" s="26" t="s">
        <v>212</v>
      </c>
    </row>
    <row r="57" spans="1:12" x14ac:dyDescent="0.35">
      <c r="A57" s="24">
        <v>385</v>
      </c>
      <c r="B57" s="168">
        <v>20054</v>
      </c>
      <c r="C57" s="24" t="s">
        <v>1068</v>
      </c>
      <c r="D57" s="26" t="s">
        <v>217</v>
      </c>
      <c r="E57" s="26" t="s">
        <v>218</v>
      </c>
      <c r="F57" s="26" t="s">
        <v>2617</v>
      </c>
      <c r="G57" s="25" t="s">
        <v>1002</v>
      </c>
      <c r="H57" s="25" t="s">
        <v>3119</v>
      </c>
      <c r="I57" s="26" t="s">
        <v>1016</v>
      </c>
      <c r="J57" s="26"/>
      <c r="K57" s="26"/>
      <c r="L57" s="26" t="s">
        <v>217</v>
      </c>
    </row>
    <row r="58" spans="1:12" x14ac:dyDescent="0.35">
      <c r="A58" s="24">
        <v>387</v>
      </c>
      <c r="B58" s="168">
        <v>20056</v>
      </c>
      <c r="C58" s="24" t="s">
        <v>1069</v>
      </c>
      <c r="D58" s="26" t="s">
        <v>222</v>
      </c>
      <c r="E58" s="26" t="s">
        <v>223</v>
      </c>
      <c r="F58" s="26" t="s">
        <v>2619</v>
      </c>
      <c r="G58" s="25" t="s">
        <v>1002</v>
      </c>
      <c r="H58" s="25" t="s">
        <v>3120</v>
      </c>
      <c r="I58" s="26" t="s">
        <v>1016</v>
      </c>
      <c r="J58" s="26"/>
      <c r="K58" s="26"/>
      <c r="L58" s="26" t="s">
        <v>222</v>
      </c>
    </row>
    <row r="59" spans="1:12" x14ac:dyDescent="0.35">
      <c r="A59" s="24">
        <v>389</v>
      </c>
      <c r="B59" s="168">
        <v>20058</v>
      </c>
      <c r="C59" s="24" t="s">
        <v>1070</v>
      </c>
      <c r="D59" s="26" t="s">
        <v>227</v>
      </c>
      <c r="E59" s="26" t="s">
        <v>228</v>
      </c>
      <c r="F59" s="26" t="s">
        <v>2621</v>
      </c>
      <c r="G59" s="25" t="s">
        <v>1002</v>
      </c>
      <c r="H59" s="25" t="s">
        <v>3121</v>
      </c>
      <c r="I59" s="26" t="s">
        <v>1016</v>
      </c>
      <c r="J59" s="26"/>
      <c r="K59" s="26"/>
      <c r="L59" s="26" t="s">
        <v>227</v>
      </c>
    </row>
    <row r="60" spans="1:12" x14ac:dyDescent="0.35">
      <c r="A60" s="24">
        <v>391</v>
      </c>
      <c r="B60" s="168">
        <v>20060</v>
      </c>
      <c r="C60" s="24" t="s">
        <v>1071</v>
      </c>
      <c r="D60" s="26" t="s">
        <v>232</v>
      </c>
      <c r="E60" s="26" t="s">
        <v>233</v>
      </c>
      <c r="F60" s="26" t="s">
        <v>2623</v>
      </c>
      <c r="G60" s="25" t="s">
        <v>1002</v>
      </c>
      <c r="H60" s="25" t="s">
        <v>3122</v>
      </c>
      <c r="I60" s="26" t="s">
        <v>1016</v>
      </c>
      <c r="J60" s="26"/>
      <c r="K60" s="26"/>
      <c r="L60" s="26" t="s">
        <v>232</v>
      </c>
    </row>
    <row r="61" spans="1:12" x14ac:dyDescent="0.35">
      <c r="A61" s="24">
        <v>393</v>
      </c>
      <c r="B61" s="168">
        <v>20062</v>
      </c>
      <c r="C61" s="24" t="s">
        <v>1072</v>
      </c>
      <c r="D61" s="26" t="s">
        <v>237</v>
      </c>
      <c r="E61" s="26" t="s">
        <v>238</v>
      </c>
      <c r="F61" s="26" t="s">
        <v>2625</v>
      </c>
      <c r="G61" s="25" t="s">
        <v>1002</v>
      </c>
      <c r="H61" s="25" t="s">
        <v>3123</v>
      </c>
      <c r="I61" s="26" t="s">
        <v>1016</v>
      </c>
      <c r="J61" s="26"/>
      <c r="K61" s="26"/>
      <c r="L61" s="26" t="s">
        <v>237</v>
      </c>
    </row>
    <row r="62" spans="1:12" ht="29" x14ac:dyDescent="0.35">
      <c r="A62" s="24">
        <v>395</v>
      </c>
      <c r="B62" s="168">
        <v>20064</v>
      </c>
      <c r="C62" s="24" t="s">
        <v>1073</v>
      </c>
      <c r="D62" s="26" t="s">
        <v>242</v>
      </c>
      <c r="E62" s="26" t="s">
        <v>243</v>
      </c>
      <c r="F62" s="26" t="s">
        <v>2629</v>
      </c>
      <c r="G62" s="25" t="s">
        <v>1002</v>
      </c>
      <c r="H62" s="25" t="s">
        <v>3124</v>
      </c>
      <c r="I62" s="26" t="s">
        <v>1016</v>
      </c>
      <c r="J62" s="26"/>
      <c r="K62" s="26"/>
      <c r="L62" s="26" t="s">
        <v>242</v>
      </c>
    </row>
    <row r="63" spans="1:12" ht="29" x14ac:dyDescent="0.35">
      <c r="A63" s="24">
        <v>396</v>
      </c>
      <c r="B63" s="168">
        <v>20065</v>
      </c>
      <c r="C63" s="24" t="s">
        <v>1073</v>
      </c>
      <c r="D63" s="26" t="s">
        <v>244</v>
      </c>
      <c r="E63" s="26" t="s">
        <v>245</v>
      </c>
      <c r="F63" s="26" t="s">
        <v>2630</v>
      </c>
      <c r="G63" s="25" t="s">
        <v>1002</v>
      </c>
      <c r="H63" s="25" t="s">
        <v>3125</v>
      </c>
      <c r="I63" s="26" t="s">
        <v>1006</v>
      </c>
      <c r="J63" s="26"/>
      <c r="K63" s="26" t="s">
        <v>3126</v>
      </c>
      <c r="L63" s="26" t="s">
        <v>3127</v>
      </c>
    </row>
    <row r="64" spans="1:12" ht="29" x14ac:dyDescent="0.35">
      <c r="A64" s="24">
        <v>398</v>
      </c>
      <c r="B64" s="168">
        <v>20066</v>
      </c>
      <c r="C64" s="24" t="s">
        <v>1073</v>
      </c>
      <c r="D64" s="26" t="s">
        <v>246</v>
      </c>
      <c r="E64" s="26" t="s">
        <v>247</v>
      </c>
      <c r="F64" s="26" t="s">
        <v>2631</v>
      </c>
      <c r="G64" s="25" t="s">
        <v>1002</v>
      </c>
      <c r="H64" s="25" t="s">
        <v>3128</v>
      </c>
      <c r="I64" s="26" t="s">
        <v>1006</v>
      </c>
      <c r="J64" s="26"/>
      <c r="K64" s="26" t="s">
        <v>3126</v>
      </c>
      <c r="L64" s="26" t="s">
        <v>246</v>
      </c>
    </row>
    <row r="65" spans="1:12" ht="29" x14ac:dyDescent="0.35">
      <c r="A65" s="24">
        <v>400</v>
      </c>
      <c r="B65" s="168">
        <v>20067</v>
      </c>
      <c r="C65" s="24" t="s">
        <v>1078</v>
      </c>
      <c r="D65" s="26" t="s">
        <v>249</v>
      </c>
      <c r="E65" s="26" t="s">
        <v>250</v>
      </c>
      <c r="F65" s="26" t="s">
        <v>2632</v>
      </c>
      <c r="G65" s="25" t="s">
        <v>1002</v>
      </c>
      <c r="H65" s="25" t="s">
        <v>3129</v>
      </c>
      <c r="I65" s="26" t="s">
        <v>1016</v>
      </c>
      <c r="J65" s="26"/>
      <c r="K65" s="26"/>
      <c r="L65" s="26" t="s">
        <v>249</v>
      </c>
    </row>
    <row r="66" spans="1:12" ht="29" x14ac:dyDescent="0.35">
      <c r="A66" s="24">
        <v>401</v>
      </c>
      <c r="B66" s="168">
        <v>20068</v>
      </c>
      <c r="C66" s="24" t="s">
        <v>1078</v>
      </c>
      <c r="D66" s="26" t="s">
        <v>251</v>
      </c>
      <c r="E66" s="26" t="s">
        <v>252</v>
      </c>
      <c r="F66" s="26" t="s">
        <v>2633</v>
      </c>
      <c r="G66" s="25" t="s">
        <v>1002</v>
      </c>
      <c r="H66" s="25" t="s">
        <v>3130</v>
      </c>
      <c r="I66" s="26" t="s">
        <v>1006</v>
      </c>
      <c r="J66" s="26"/>
      <c r="K66" s="26" t="s">
        <v>3131</v>
      </c>
      <c r="L66" s="26" t="s">
        <v>251</v>
      </c>
    </row>
    <row r="67" spans="1:12" ht="29" x14ac:dyDescent="0.35">
      <c r="A67" s="24">
        <v>403</v>
      </c>
      <c r="B67" s="168">
        <v>20069</v>
      </c>
      <c r="C67" s="24" t="s">
        <v>1078</v>
      </c>
      <c r="D67" s="26" t="s">
        <v>253</v>
      </c>
      <c r="E67" s="26" t="s">
        <v>254</v>
      </c>
      <c r="F67" s="26" t="s">
        <v>2634</v>
      </c>
      <c r="G67" s="25" t="s">
        <v>1002</v>
      </c>
      <c r="H67" s="25" t="s">
        <v>3132</v>
      </c>
      <c r="I67" s="26" t="s">
        <v>1006</v>
      </c>
      <c r="J67" s="26"/>
      <c r="K67" s="26" t="s">
        <v>3131</v>
      </c>
      <c r="L67" s="26" t="s">
        <v>253</v>
      </c>
    </row>
    <row r="68" spans="1:12" ht="29" x14ac:dyDescent="0.35">
      <c r="A68" s="24">
        <v>405</v>
      </c>
      <c r="B68" s="168">
        <v>20070</v>
      </c>
      <c r="C68" s="24" t="s">
        <v>1083</v>
      </c>
      <c r="D68" s="26" t="s">
        <v>256</v>
      </c>
      <c r="E68" s="26" t="s">
        <v>257</v>
      </c>
      <c r="F68" s="26" t="s">
        <v>2635</v>
      </c>
      <c r="G68" s="25" t="s">
        <v>1002</v>
      </c>
      <c r="H68" s="25" t="s">
        <v>3133</v>
      </c>
      <c r="I68" s="26" t="s">
        <v>1016</v>
      </c>
      <c r="J68" s="26"/>
      <c r="K68" s="26"/>
      <c r="L68" s="26" t="s">
        <v>256</v>
      </c>
    </row>
    <row r="69" spans="1:12" ht="29" x14ac:dyDescent="0.35">
      <c r="A69" s="24">
        <v>406</v>
      </c>
      <c r="B69" s="168">
        <v>20071</v>
      </c>
      <c r="C69" s="24" t="s">
        <v>1083</v>
      </c>
      <c r="D69" s="26" t="s">
        <v>258</v>
      </c>
      <c r="E69" s="26" t="s">
        <v>259</v>
      </c>
      <c r="F69" s="26" t="s">
        <v>2636</v>
      </c>
      <c r="G69" s="25" t="s">
        <v>1002</v>
      </c>
      <c r="H69" s="25" t="s">
        <v>3134</v>
      </c>
      <c r="I69" s="26" t="s">
        <v>1006</v>
      </c>
      <c r="J69" s="26"/>
      <c r="K69" s="26" t="s">
        <v>3135</v>
      </c>
      <c r="L69" s="26" t="s">
        <v>258</v>
      </c>
    </row>
    <row r="70" spans="1:12" ht="29" x14ac:dyDescent="0.35">
      <c r="A70" s="24">
        <v>408</v>
      </c>
      <c r="B70" s="168">
        <v>20072</v>
      </c>
      <c r="C70" s="24" t="s">
        <v>1083</v>
      </c>
      <c r="D70" s="26" t="s">
        <v>260</v>
      </c>
      <c r="E70" s="26" t="s">
        <v>261</v>
      </c>
      <c r="F70" s="26" t="s">
        <v>2637</v>
      </c>
      <c r="G70" s="25" t="s">
        <v>1002</v>
      </c>
      <c r="H70" s="25" t="s">
        <v>3136</v>
      </c>
      <c r="I70" s="26" t="s">
        <v>1006</v>
      </c>
      <c r="J70" s="26"/>
      <c r="K70" s="26" t="s">
        <v>3135</v>
      </c>
      <c r="L70" s="26" t="s">
        <v>260</v>
      </c>
    </row>
    <row r="71" spans="1:12" ht="29" x14ac:dyDescent="0.35">
      <c r="A71" s="24">
        <v>410</v>
      </c>
      <c r="B71" s="168">
        <v>20073</v>
      </c>
      <c r="C71" s="24" t="s">
        <v>1088</v>
      </c>
      <c r="D71" s="26" t="s">
        <v>263</v>
      </c>
      <c r="E71" s="26" t="s">
        <v>264</v>
      </c>
      <c r="F71" s="26" t="s">
        <v>2638</v>
      </c>
      <c r="G71" s="25" t="s">
        <v>1002</v>
      </c>
      <c r="H71" s="25" t="s">
        <v>3137</v>
      </c>
      <c r="I71" s="26" t="s">
        <v>1016</v>
      </c>
      <c r="J71" s="26"/>
      <c r="K71" s="26"/>
      <c r="L71" s="26" t="s">
        <v>263</v>
      </c>
    </row>
    <row r="72" spans="1:12" ht="29" x14ac:dyDescent="0.35">
      <c r="A72" s="24">
        <v>411</v>
      </c>
      <c r="B72" s="168">
        <v>20074</v>
      </c>
      <c r="C72" s="24" t="s">
        <v>1088</v>
      </c>
      <c r="D72" s="26" t="s">
        <v>265</v>
      </c>
      <c r="E72" s="26" t="s">
        <v>266</v>
      </c>
      <c r="F72" s="26" t="s">
        <v>2639</v>
      </c>
      <c r="G72" s="25" t="s">
        <v>1002</v>
      </c>
      <c r="H72" s="25" t="s">
        <v>3138</v>
      </c>
      <c r="I72" s="26" t="s">
        <v>1006</v>
      </c>
      <c r="J72" s="26"/>
      <c r="K72" s="26" t="s">
        <v>3139</v>
      </c>
      <c r="L72" s="26" t="s">
        <v>265</v>
      </c>
    </row>
    <row r="73" spans="1:12" ht="29" x14ac:dyDescent="0.35">
      <c r="A73" s="24">
        <v>413</v>
      </c>
      <c r="B73" s="168">
        <v>20075</v>
      </c>
      <c r="C73" s="24" t="s">
        <v>1088</v>
      </c>
      <c r="D73" s="26" t="s">
        <v>267</v>
      </c>
      <c r="E73" s="26" t="s">
        <v>268</v>
      </c>
      <c r="F73" s="26" t="s">
        <v>2640</v>
      </c>
      <c r="G73" s="25" t="s">
        <v>1002</v>
      </c>
      <c r="H73" s="25" t="s">
        <v>3140</v>
      </c>
      <c r="I73" s="26" t="s">
        <v>1006</v>
      </c>
      <c r="J73" s="26"/>
      <c r="K73" s="26" t="s">
        <v>3139</v>
      </c>
      <c r="L73" s="26" t="s">
        <v>267</v>
      </c>
    </row>
    <row r="74" spans="1:12" ht="29" x14ac:dyDescent="0.35">
      <c r="A74" s="141">
        <v>415</v>
      </c>
      <c r="B74" s="221">
        <v>20076</v>
      </c>
      <c r="C74" s="141">
        <v>38</v>
      </c>
      <c r="D74" s="202" t="s">
        <v>286</v>
      </c>
      <c r="E74" s="202" t="s">
        <v>287</v>
      </c>
      <c r="F74" s="202" t="s">
        <v>2641</v>
      </c>
      <c r="G74" s="222" t="s">
        <v>1002</v>
      </c>
      <c r="H74" s="222" t="s">
        <v>3141</v>
      </c>
      <c r="I74" s="202" t="s">
        <v>2998</v>
      </c>
      <c r="J74" s="202"/>
      <c r="K74" s="202" t="s">
        <v>2999</v>
      </c>
      <c r="L74" s="202" t="s">
        <v>3142</v>
      </c>
    </row>
    <row r="75" spans="1:12" ht="29" x14ac:dyDescent="0.35">
      <c r="A75" s="24">
        <v>416</v>
      </c>
      <c r="B75" s="168">
        <v>20077</v>
      </c>
      <c r="C75" s="24">
        <v>38</v>
      </c>
      <c r="D75" s="26" t="s">
        <v>288</v>
      </c>
      <c r="E75" s="26" t="s">
        <v>289</v>
      </c>
      <c r="F75" s="26" t="s">
        <v>2642</v>
      </c>
      <c r="G75" s="25" t="s">
        <v>1002</v>
      </c>
      <c r="H75" s="25" t="s">
        <v>3143</v>
      </c>
      <c r="I75" s="26" t="s">
        <v>1016</v>
      </c>
      <c r="J75" s="26"/>
      <c r="K75" s="26"/>
      <c r="L75" s="26" t="s">
        <v>3144</v>
      </c>
    </row>
    <row r="76" spans="1:12" ht="29" x14ac:dyDescent="0.35">
      <c r="A76" s="24">
        <v>417</v>
      </c>
      <c r="B76" s="168">
        <v>20078</v>
      </c>
      <c r="C76" s="24">
        <v>38</v>
      </c>
      <c r="D76" s="26" t="s">
        <v>290</v>
      </c>
      <c r="E76" s="26" t="s">
        <v>291</v>
      </c>
      <c r="F76" s="26" t="s">
        <v>2643</v>
      </c>
      <c r="G76" s="25" t="s">
        <v>1002</v>
      </c>
      <c r="H76" s="25" t="s">
        <v>3145</v>
      </c>
      <c r="I76" s="26" t="s">
        <v>1016</v>
      </c>
      <c r="J76" s="26"/>
      <c r="K76" s="26"/>
      <c r="L76" s="26" t="s">
        <v>3146</v>
      </c>
    </row>
    <row r="77" spans="1:12" ht="58" x14ac:dyDescent="0.35">
      <c r="A77" s="24">
        <v>418</v>
      </c>
      <c r="B77" s="168">
        <v>20079</v>
      </c>
      <c r="C77" s="24">
        <v>38</v>
      </c>
      <c r="D77" s="26" t="s">
        <v>292</v>
      </c>
      <c r="E77" s="26" t="s">
        <v>293</v>
      </c>
      <c r="F77" s="26" t="s">
        <v>2644</v>
      </c>
      <c r="G77" s="25" t="s">
        <v>1002</v>
      </c>
      <c r="H77" s="25" t="s">
        <v>3147</v>
      </c>
      <c r="I77" s="26" t="s">
        <v>1006</v>
      </c>
      <c r="J77" s="26"/>
      <c r="K77" s="26" t="s">
        <v>3148</v>
      </c>
      <c r="L77" s="26" t="s">
        <v>3149</v>
      </c>
    </row>
    <row r="78" spans="1:12" ht="58" x14ac:dyDescent="0.35">
      <c r="A78" s="24">
        <v>419</v>
      </c>
      <c r="B78" s="168">
        <v>20079</v>
      </c>
      <c r="C78" s="24">
        <v>38</v>
      </c>
      <c r="D78" s="26" t="s">
        <v>292</v>
      </c>
      <c r="E78" s="26" t="s">
        <v>293</v>
      </c>
      <c r="F78" s="26" t="s">
        <v>2644</v>
      </c>
      <c r="G78" s="25" t="s">
        <v>1002</v>
      </c>
      <c r="H78" s="25" t="s">
        <v>3150</v>
      </c>
      <c r="I78" s="26" t="s">
        <v>1006</v>
      </c>
      <c r="J78" s="26"/>
      <c r="K78" s="26" t="s">
        <v>3151</v>
      </c>
      <c r="L78" s="26" t="s">
        <v>3149</v>
      </c>
    </row>
    <row r="79" spans="1:12" x14ac:dyDescent="0.35">
      <c r="A79" s="24">
        <v>521</v>
      </c>
      <c r="B79" s="168">
        <v>20080</v>
      </c>
      <c r="C79" s="24" t="s">
        <v>1095</v>
      </c>
      <c r="D79" s="26" t="s">
        <v>297</v>
      </c>
      <c r="E79" s="26" t="s">
        <v>298</v>
      </c>
      <c r="F79" s="26" t="s">
        <v>2645</v>
      </c>
      <c r="G79" s="25" t="s">
        <v>1002</v>
      </c>
      <c r="H79" s="25" t="s">
        <v>3152</v>
      </c>
      <c r="I79" s="26" t="s">
        <v>1016</v>
      </c>
      <c r="J79" s="26"/>
      <c r="K79" s="26"/>
      <c r="L79" s="26" t="s">
        <v>297</v>
      </c>
    </row>
    <row r="80" spans="1:12" ht="29" x14ac:dyDescent="0.35">
      <c r="A80" s="24">
        <v>522</v>
      </c>
      <c r="B80" s="168">
        <v>20081</v>
      </c>
      <c r="C80" s="24" t="s">
        <v>1095</v>
      </c>
      <c r="D80" s="26" t="s">
        <v>299</v>
      </c>
      <c r="E80" s="26" t="s">
        <v>300</v>
      </c>
      <c r="F80" s="26" t="s">
        <v>2646</v>
      </c>
      <c r="G80" s="25" t="s">
        <v>1002</v>
      </c>
      <c r="H80" s="25" t="s">
        <v>3153</v>
      </c>
      <c r="I80" s="26" t="s">
        <v>3154</v>
      </c>
      <c r="J80" s="26"/>
      <c r="K80" s="26"/>
      <c r="L80" s="26" t="s">
        <v>299</v>
      </c>
    </row>
    <row r="81" spans="1:12" x14ac:dyDescent="0.35">
      <c r="A81" s="24">
        <v>525</v>
      </c>
      <c r="B81" s="168">
        <v>20082</v>
      </c>
      <c r="C81" s="24" t="s">
        <v>1099</v>
      </c>
      <c r="D81" s="26" t="s">
        <v>302</v>
      </c>
      <c r="E81" s="26" t="s">
        <v>303</v>
      </c>
      <c r="F81" s="26" t="s">
        <v>2647</v>
      </c>
      <c r="G81" s="25" t="s">
        <v>1002</v>
      </c>
      <c r="H81" s="25" t="s">
        <v>3155</v>
      </c>
      <c r="I81" s="26" t="s">
        <v>1016</v>
      </c>
      <c r="J81" s="26"/>
      <c r="K81" s="26"/>
      <c r="L81" s="26" t="s">
        <v>302</v>
      </c>
    </row>
    <row r="82" spans="1:12" x14ac:dyDescent="0.35">
      <c r="A82" s="24">
        <v>527</v>
      </c>
      <c r="B82" s="168">
        <v>20084</v>
      </c>
      <c r="C82" s="24" t="s">
        <v>1100</v>
      </c>
      <c r="D82" s="26" t="s">
        <v>307</v>
      </c>
      <c r="E82" s="26" t="s">
        <v>308</v>
      </c>
      <c r="F82" s="26" t="s">
        <v>2649</v>
      </c>
      <c r="G82" s="25" t="s">
        <v>1002</v>
      </c>
      <c r="H82" s="25" t="s">
        <v>3156</v>
      </c>
      <c r="I82" s="26" t="s">
        <v>1016</v>
      </c>
      <c r="J82" s="26"/>
      <c r="K82" s="26"/>
      <c r="L82" s="26" t="s">
        <v>307</v>
      </c>
    </row>
    <row r="83" spans="1:12" x14ac:dyDescent="0.35">
      <c r="A83" s="24">
        <v>529</v>
      </c>
      <c r="B83" s="168">
        <v>20086</v>
      </c>
      <c r="C83" s="24" t="s">
        <v>1101</v>
      </c>
      <c r="D83" s="26" t="s">
        <v>312</v>
      </c>
      <c r="E83" s="26" t="s">
        <v>313</v>
      </c>
      <c r="F83" s="26" t="s">
        <v>2651</v>
      </c>
      <c r="G83" s="25" t="s">
        <v>1002</v>
      </c>
      <c r="H83" s="25" t="s">
        <v>3157</v>
      </c>
      <c r="I83" s="26" t="s">
        <v>1016</v>
      </c>
      <c r="J83" s="26"/>
      <c r="K83" s="26"/>
      <c r="L83" s="26" t="s">
        <v>312</v>
      </c>
    </row>
    <row r="84" spans="1:12" x14ac:dyDescent="0.35">
      <c r="A84" s="24">
        <v>531</v>
      </c>
      <c r="B84" s="168">
        <v>20088</v>
      </c>
      <c r="C84" s="24" t="s">
        <v>1102</v>
      </c>
      <c r="D84" s="26" t="s">
        <v>317</v>
      </c>
      <c r="E84" s="26" t="s">
        <v>318</v>
      </c>
      <c r="F84" s="26" t="s">
        <v>2653</v>
      </c>
      <c r="G84" s="25" t="s">
        <v>1002</v>
      </c>
      <c r="H84" s="25" t="s">
        <v>3158</v>
      </c>
      <c r="I84" s="26" t="s">
        <v>1016</v>
      </c>
      <c r="J84" s="26"/>
      <c r="K84" s="26"/>
      <c r="L84" s="26" t="s">
        <v>317</v>
      </c>
    </row>
    <row r="85" spans="1:12" x14ac:dyDescent="0.35">
      <c r="A85" s="24">
        <v>533</v>
      </c>
      <c r="B85" s="168">
        <v>20090</v>
      </c>
      <c r="C85" s="24" t="s">
        <v>1103</v>
      </c>
      <c r="D85" s="26" t="s">
        <v>322</v>
      </c>
      <c r="E85" s="26" t="s">
        <v>323</v>
      </c>
      <c r="F85" s="26" t="s">
        <v>2655</v>
      </c>
      <c r="G85" s="25" t="s">
        <v>1002</v>
      </c>
      <c r="H85" s="25" t="s">
        <v>3159</v>
      </c>
      <c r="I85" s="26" t="s">
        <v>1016</v>
      </c>
      <c r="J85" s="26"/>
      <c r="K85" s="26"/>
      <c r="L85" s="26" t="s">
        <v>322</v>
      </c>
    </row>
    <row r="86" spans="1:12" x14ac:dyDescent="0.35">
      <c r="A86" s="24">
        <v>535</v>
      </c>
      <c r="B86" s="168">
        <v>20092</v>
      </c>
      <c r="C86" s="24" t="s">
        <v>1104</v>
      </c>
      <c r="D86" s="26" t="s">
        <v>327</v>
      </c>
      <c r="E86" s="26" t="s">
        <v>328</v>
      </c>
      <c r="F86" s="26" t="s">
        <v>2657</v>
      </c>
      <c r="G86" s="25" t="s">
        <v>1002</v>
      </c>
      <c r="H86" s="25" t="s">
        <v>3160</v>
      </c>
      <c r="I86" s="26" t="s">
        <v>1016</v>
      </c>
      <c r="J86" s="26"/>
      <c r="K86" s="26"/>
      <c r="L86" s="26" t="s">
        <v>327</v>
      </c>
    </row>
    <row r="87" spans="1:12" x14ac:dyDescent="0.35">
      <c r="A87" s="24">
        <v>537</v>
      </c>
      <c r="B87" s="168">
        <v>20094</v>
      </c>
      <c r="C87" s="24" t="s">
        <v>1105</v>
      </c>
      <c r="D87" s="26" t="s">
        <v>332</v>
      </c>
      <c r="E87" s="26" t="s">
        <v>333</v>
      </c>
      <c r="F87" s="26" t="s">
        <v>2659</v>
      </c>
      <c r="G87" s="25" t="s">
        <v>1002</v>
      </c>
      <c r="H87" s="25" t="s">
        <v>3161</v>
      </c>
      <c r="I87" s="26" t="s">
        <v>1016</v>
      </c>
      <c r="J87" s="26"/>
      <c r="K87" s="26"/>
      <c r="L87" s="26" t="s">
        <v>332</v>
      </c>
    </row>
    <row r="88" spans="1:12" x14ac:dyDescent="0.35">
      <c r="A88" s="24">
        <v>539</v>
      </c>
      <c r="B88" s="168">
        <v>20096</v>
      </c>
      <c r="C88" s="24" t="s">
        <v>1106</v>
      </c>
      <c r="D88" s="26" t="s">
        <v>337</v>
      </c>
      <c r="E88" s="26" t="s">
        <v>338</v>
      </c>
      <c r="F88" s="26" t="s">
        <v>2661</v>
      </c>
      <c r="G88" s="25" t="s">
        <v>1002</v>
      </c>
      <c r="H88" s="25" t="s">
        <v>3162</v>
      </c>
      <c r="I88" s="26" t="s">
        <v>1016</v>
      </c>
      <c r="J88" s="26"/>
      <c r="K88" s="26"/>
      <c r="L88" s="26" t="s">
        <v>337</v>
      </c>
    </row>
    <row r="89" spans="1:12" x14ac:dyDescent="0.35">
      <c r="A89" s="24">
        <v>541</v>
      </c>
      <c r="B89" s="168">
        <v>20098</v>
      </c>
      <c r="C89" s="24" t="s">
        <v>1107</v>
      </c>
      <c r="D89" s="26" t="s">
        <v>342</v>
      </c>
      <c r="E89" s="26" t="s">
        <v>343</v>
      </c>
      <c r="F89" s="26" t="s">
        <v>2663</v>
      </c>
      <c r="G89" s="25" t="s">
        <v>1002</v>
      </c>
      <c r="H89" s="25" t="s">
        <v>3163</v>
      </c>
      <c r="I89" s="26" t="s">
        <v>1016</v>
      </c>
      <c r="J89" s="26"/>
      <c r="K89" s="26"/>
      <c r="L89" s="26" t="s">
        <v>342</v>
      </c>
    </row>
    <row r="90" spans="1:12" x14ac:dyDescent="0.35">
      <c r="A90" s="24">
        <v>543</v>
      </c>
      <c r="B90" s="168">
        <v>20100</v>
      </c>
      <c r="C90" s="24" t="s">
        <v>1108</v>
      </c>
      <c r="D90" s="26" t="s">
        <v>347</v>
      </c>
      <c r="E90" s="26" t="s">
        <v>348</v>
      </c>
      <c r="F90" s="26" t="s">
        <v>2665</v>
      </c>
      <c r="G90" s="25" t="s">
        <v>1002</v>
      </c>
      <c r="H90" s="25" t="s">
        <v>3164</v>
      </c>
      <c r="I90" s="26" t="s">
        <v>1016</v>
      </c>
      <c r="J90" s="26"/>
      <c r="K90" s="26"/>
      <c r="L90" s="26" t="s">
        <v>347</v>
      </c>
    </row>
    <row r="91" spans="1:12" x14ac:dyDescent="0.35">
      <c r="A91" s="24">
        <v>545</v>
      </c>
      <c r="B91" s="168">
        <v>20102</v>
      </c>
      <c r="C91" s="24" t="s">
        <v>1109</v>
      </c>
      <c r="D91" s="26" t="s">
        <v>352</v>
      </c>
      <c r="E91" s="26" t="s">
        <v>353</v>
      </c>
      <c r="F91" s="26" t="s">
        <v>2667</v>
      </c>
      <c r="G91" s="25" t="s">
        <v>1002</v>
      </c>
      <c r="H91" s="25" t="s">
        <v>3165</v>
      </c>
      <c r="I91" s="26" t="s">
        <v>1016</v>
      </c>
      <c r="J91" s="26"/>
      <c r="K91" s="26"/>
      <c r="L91" s="26" t="s">
        <v>352</v>
      </c>
    </row>
    <row r="92" spans="1:12" ht="4.9000000000000004" customHeight="1" x14ac:dyDescent="0.35">
      <c r="A92" s="88"/>
      <c r="B92" s="89"/>
      <c r="C92" s="88"/>
      <c r="D92" s="219"/>
      <c r="E92" s="219"/>
      <c r="F92" s="219"/>
      <c r="G92" s="220"/>
      <c r="H92" s="220"/>
      <c r="I92" s="219"/>
      <c r="J92" s="219"/>
      <c r="K92" s="219"/>
      <c r="L92" s="219"/>
    </row>
    <row r="93" spans="1:12" ht="43.5" x14ac:dyDescent="0.35">
      <c r="A93" s="24">
        <v>594</v>
      </c>
      <c r="B93" s="168">
        <v>21001</v>
      </c>
      <c r="C93" s="24">
        <v>42</v>
      </c>
      <c r="D93" s="26" t="s">
        <v>357</v>
      </c>
      <c r="E93" s="26" t="s">
        <v>358</v>
      </c>
      <c r="F93" s="26" t="s">
        <v>3166</v>
      </c>
      <c r="G93" s="25" t="s">
        <v>1110</v>
      </c>
      <c r="H93" s="25" t="s">
        <v>3167</v>
      </c>
      <c r="I93" s="26" t="s">
        <v>1006</v>
      </c>
      <c r="J93" s="26"/>
      <c r="K93" s="26" t="s">
        <v>3168</v>
      </c>
      <c r="L93" s="26" t="s">
        <v>3169</v>
      </c>
    </row>
    <row r="94" spans="1:12" ht="43.5" x14ac:dyDescent="0.35">
      <c r="A94" s="24">
        <v>595</v>
      </c>
      <c r="B94" s="168">
        <v>21001</v>
      </c>
      <c r="C94" s="24">
        <v>42</v>
      </c>
      <c r="D94" s="26" t="s">
        <v>357</v>
      </c>
      <c r="E94" s="26" t="s">
        <v>358</v>
      </c>
      <c r="F94" s="26" t="s">
        <v>3166</v>
      </c>
      <c r="G94" s="25" t="s">
        <v>1110</v>
      </c>
      <c r="H94" s="25" t="s">
        <v>3170</v>
      </c>
      <c r="I94" s="26" t="s">
        <v>1006</v>
      </c>
      <c r="J94" s="26"/>
      <c r="K94" s="26" t="s">
        <v>3171</v>
      </c>
      <c r="L94" s="26" t="s">
        <v>3169</v>
      </c>
    </row>
    <row r="95" spans="1:12" ht="29" x14ac:dyDescent="0.35">
      <c r="A95" s="24">
        <v>596</v>
      </c>
      <c r="B95" s="168">
        <v>21002</v>
      </c>
      <c r="C95" s="24">
        <v>42</v>
      </c>
      <c r="D95" s="26" t="s">
        <v>357</v>
      </c>
      <c r="E95" s="26" t="s">
        <v>358</v>
      </c>
      <c r="F95" s="26" t="s">
        <v>3172</v>
      </c>
      <c r="G95" s="25" t="s">
        <v>1110</v>
      </c>
      <c r="H95" s="25" t="s">
        <v>3173</v>
      </c>
      <c r="I95" s="26" t="s">
        <v>1006</v>
      </c>
      <c r="J95" s="26"/>
      <c r="K95" s="26" t="s">
        <v>3174</v>
      </c>
      <c r="L95" s="26" t="s">
        <v>3175</v>
      </c>
    </row>
    <row r="96" spans="1:12" ht="58" x14ac:dyDescent="0.35">
      <c r="A96" s="24">
        <v>597</v>
      </c>
      <c r="B96" s="168">
        <v>21002</v>
      </c>
      <c r="C96" s="24">
        <v>42</v>
      </c>
      <c r="D96" s="26" t="s">
        <v>357</v>
      </c>
      <c r="E96" s="26" t="s">
        <v>358</v>
      </c>
      <c r="F96" s="26" t="s">
        <v>3172</v>
      </c>
      <c r="G96" s="25" t="s">
        <v>1110</v>
      </c>
      <c r="H96" s="25" t="s">
        <v>3176</v>
      </c>
      <c r="I96" s="26" t="s">
        <v>1006</v>
      </c>
      <c r="J96" s="26"/>
      <c r="K96" s="26" t="s">
        <v>3177</v>
      </c>
      <c r="L96" s="26" t="s">
        <v>3175</v>
      </c>
    </row>
    <row r="97" spans="1:12" x14ac:dyDescent="0.35">
      <c r="A97" s="24">
        <v>1349</v>
      </c>
      <c r="B97" s="168">
        <v>21001</v>
      </c>
      <c r="C97" s="24">
        <v>42</v>
      </c>
      <c r="D97" s="26" t="s">
        <v>357</v>
      </c>
      <c r="E97" s="26" t="s">
        <v>358</v>
      </c>
      <c r="F97" s="26" t="s">
        <v>3166</v>
      </c>
      <c r="G97" s="25" t="s">
        <v>1110</v>
      </c>
      <c r="H97" s="25" t="s">
        <v>3178</v>
      </c>
      <c r="I97" s="26" t="s">
        <v>3179</v>
      </c>
      <c r="J97" s="26"/>
      <c r="K97" s="26"/>
      <c r="L97" s="26" t="s">
        <v>3180</v>
      </c>
    </row>
    <row r="98" spans="1:12" ht="29" x14ac:dyDescent="0.35">
      <c r="A98" s="24">
        <v>1753</v>
      </c>
      <c r="B98" s="168">
        <v>21001</v>
      </c>
      <c r="C98" s="24">
        <v>42</v>
      </c>
      <c r="D98" s="26" t="s">
        <v>357</v>
      </c>
      <c r="E98" s="26" t="s">
        <v>358</v>
      </c>
      <c r="F98" s="26" t="s">
        <v>3166</v>
      </c>
      <c r="G98" s="25" t="s">
        <v>1110</v>
      </c>
      <c r="H98" s="25" t="s">
        <v>3181</v>
      </c>
      <c r="I98" s="26" t="s">
        <v>1006</v>
      </c>
      <c r="J98" s="26"/>
      <c r="K98" s="26" t="s">
        <v>3182</v>
      </c>
      <c r="L98" s="26" t="s">
        <v>3169</v>
      </c>
    </row>
    <row r="99" spans="1:12" ht="58" x14ac:dyDescent="0.35">
      <c r="A99" s="24">
        <v>1764</v>
      </c>
      <c r="B99" s="168">
        <v>21001</v>
      </c>
      <c r="C99" s="24">
        <v>42</v>
      </c>
      <c r="D99" s="26" t="s">
        <v>357</v>
      </c>
      <c r="E99" s="26" t="s">
        <v>358</v>
      </c>
      <c r="F99" s="26" t="s">
        <v>3166</v>
      </c>
      <c r="G99" s="25" t="s">
        <v>1110</v>
      </c>
      <c r="H99" s="25" t="s">
        <v>3183</v>
      </c>
      <c r="I99" s="26" t="s">
        <v>1006</v>
      </c>
      <c r="J99" s="26"/>
      <c r="K99" s="26" t="s">
        <v>3184</v>
      </c>
      <c r="L99" s="26" t="s">
        <v>3185</v>
      </c>
    </row>
    <row r="100" spans="1:12" ht="29" x14ac:dyDescent="0.35">
      <c r="A100" s="24">
        <v>1771</v>
      </c>
      <c r="B100" s="168">
        <v>21001</v>
      </c>
      <c r="C100" s="24">
        <v>42</v>
      </c>
      <c r="D100" s="26" t="s">
        <v>357</v>
      </c>
      <c r="E100" s="26" t="s">
        <v>358</v>
      </c>
      <c r="F100" s="26" t="s">
        <v>3166</v>
      </c>
      <c r="G100" s="25" t="s">
        <v>1110</v>
      </c>
      <c r="H100" s="25" t="s">
        <v>3186</v>
      </c>
      <c r="I100" s="26" t="s">
        <v>1006</v>
      </c>
      <c r="J100" s="26"/>
      <c r="K100" s="26" t="s">
        <v>3187</v>
      </c>
      <c r="L100" s="26" t="s">
        <v>3188</v>
      </c>
    </row>
    <row r="101" spans="1:12" ht="43.5" x14ac:dyDescent="0.35">
      <c r="A101" s="24">
        <v>1772</v>
      </c>
      <c r="B101" s="168">
        <v>21001</v>
      </c>
      <c r="C101" s="24">
        <v>42</v>
      </c>
      <c r="D101" s="26" t="s">
        <v>357</v>
      </c>
      <c r="E101" s="26" t="s">
        <v>358</v>
      </c>
      <c r="F101" s="26" t="s">
        <v>3166</v>
      </c>
      <c r="G101" s="25" t="s">
        <v>1110</v>
      </c>
      <c r="H101" s="25" t="s">
        <v>3186</v>
      </c>
      <c r="I101" s="26" t="s">
        <v>1006</v>
      </c>
      <c r="J101" s="26"/>
      <c r="K101" s="26" t="s">
        <v>3189</v>
      </c>
      <c r="L101" s="26" t="s">
        <v>3188</v>
      </c>
    </row>
    <row r="102" spans="1:12" x14ac:dyDescent="0.35">
      <c r="A102" s="24">
        <v>654</v>
      </c>
      <c r="B102" s="168">
        <v>21003</v>
      </c>
      <c r="C102" s="24">
        <v>43</v>
      </c>
      <c r="D102" s="26" t="s">
        <v>366</v>
      </c>
      <c r="E102" s="26" t="s">
        <v>367</v>
      </c>
      <c r="F102" s="26" t="s">
        <v>2671</v>
      </c>
      <c r="G102" s="25" t="s">
        <v>1110</v>
      </c>
      <c r="H102" s="25" t="s">
        <v>3190</v>
      </c>
      <c r="I102" s="26" t="s">
        <v>1006</v>
      </c>
      <c r="J102" s="26" t="s">
        <v>3191</v>
      </c>
      <c r="K102" s="26" t="s">
        <v>3192</v>
      </c>
      <c r="L102" s="26" t="s">
        <v>3193</v>
      </c>
    </row>
    <row r="103" spans="1:12" ht="29" x14ac:dyDescent="0.35">
      <c r="A103" s="24">
        <v>656</v>
      </c>
      <c r="B103" s="168">
        <v>21005</v>
      </c>
      <c r="C103" s="24">
        <v>43</v>
      </c>
      <c r="D103" s="26" t="s">
        <v>371</v>
      </c>
      <c r="E103" s="26" t="s">
        <v>372</v>
      </c>
      <c r="F103" s="26" t="s">
        <v>2675</v>
      </c>
      <c r="G103" s="25" t="s">
        <v>1110</v>
      </c>
      <c r="H103" s="25" t="s">
        <v>3194</v>
      </c>
      <c r="I103" s="26" t="s">
        <v>1006</v>
      </c>
      <c r="J103" s="26"/>
      <c r="K103" s="26" t="s">
        <v>3195</v>
      </c>
      <c r="L103" s="26" t="s">
        <v>3196</v>
      </c>
    </row>
    <row r="104" spans="1:12" ht="29" x14ac:dyDescent="0.35">
      <c r="A104" s="24">
        <v>655</v>
      </c>
      <c r="B104" s="168">
        <v>21004</v>
      </c>
      <c r="C104" s="24">
        <v>43</v>
      </c>
      <c r="D104" s="26" t="s">
        <v>368</v>
      </c>
      <c r="E104" s="26" t="s">
        <v>369</v>
      </c>
      <c r="F104" s="26" t="s">
        <v>2674</v>
      </c>
      <c r="G104" s="25" t="s">
        <v>1110</v>
      </c>
      <c r="H104" s="25" t="s">
        <v>3197</v>
      </c>
      <c r="I104" s="26" t="s">
        <v>1006</v>
      </c>
      <c r="J104" s="26"/>
      <c r="K104" s="26" t="s">
        <v>3198</v>
      </c>
      <c r="L104" s="26" t="s">
        <v>3199</v>
      </c>
    </row>
    <row r="105" spans="1:12" ht="29" x14ac:dyDescent="0.35">
      <c r="A105" s="24">
        <v>1390</v>
      </c>
      <c r="B105" s="168">
        <v>21004</v>
      </c>
      <c r="C105" s="24">
        <v>43</v>
      </c>
      <c r="D105" s="26" t="s">
        <v>368</v>
      </c>
      <c r="E105" s="26" t="s">
        <v>369</v>
      </c>
      <c r="F105" s="26" t="s">
        <v>2674</v>
      </c>
      <c r="G105" s="25" t="s">
        <v>1110</v>
      </c>
      <c r="H105" s="25" t="s">
        <v>3200</v>
      </c>
      <c r="I105" s="26" t="s">
        <v>1006</v>
      </c>
      <c r="J105" s="26"/>
      <c r="K105" s="26" t="s">
        <v>3201</v>
      </c>
      <c r="L105" s="26" t="s">
        <v>3193</v>
      </c>
    </row>
    <row r="106" spans="1:12" ht="29" x14ac:dyDescent="0.35">
      <c r="A106" s="24">
        <v>1391</v>
      </c>
      <c r="B106" s="168">
        <v>21004</v>
      </c>
      <c r="C106" s="24">
        <v>43</v>
      </c>
      <c r="D106" s="26" t="s">
        <v>368</v>
      </c>
      <c r="E106" s="26" t="s">
        <v>369</v>
      </c>
      <c r="F106" s="26" t="s">
        <v>2674</v>
      </c>
      <c r="G106" s="25" t="s">
        <v>1110</v>
      </c>
      <c r="H106" s="25" t="s">
        <v>3202</v>
      </c>
      <c r="I106" s="26" t="s">
        <v>1006</v>
      </c>
      <c r="J106" s="26"/>
      <c r="K106" s="26" t="s">
        <v>3203</v>
      </c>
      <c r="L106" s="26" t="s">
        <v>3193</v>
      </c>
    </row>
    <row r="107" spans="1:12" ht="29" x14ac:dyDescent="0.35">
      <c r="A107" s="24">
        <v>1392</v>
      </c>
      <c r="B107" s="168">
        <v>21004</v>
      </c>
      <c r="C107" s="24">
        <v>43</v>
      </c>
      <c r="D107" s="26" t="s">
        <v>368</v>
      </c>
      <c r="E107" s="26" t="s">
        <v>369</v>
      </c>
      <c r="F107" s="26" t="s">
        <v>2674</v>
      </c>
      <c r="G107" s="25" t="s">
        <v>1110</v>
      </c>
      <c r="H107" s="25" t="s">
        <v>3204</v>
      </c>
      <c r="I107" s="26" t="s">
        <v>1006</v>
      </c>
      <c r="J107" s="26"/>
      <c r="K107" s="26" t="s">
        <v>3205</v>
      </c>
      <c r="L107" s="26" t="s">
        <v>3193</v>
      </c>
    </row>
    <row r="108" spans="1:12" ht="58" x14ac:dyDescent="0.35">
      <c r="A108" s="24">
        <v>1393</v>
      </c>
      <c r="B108" s="168">
        <v>21004</v>
      </c>
      <c r="C108" s="24">
        <v>43</v>
      </c>
      <c r="D108" s="26" t="s">
        <v>368</v>
      </c>
      <c r="E108" s="26" t="s">
        <v>369</v>
      </c>
      <c r="F108" s="26" t="s">
        <v>2674</v>
      </c>
      <c r="G108" s="25" t="s">
        <v>1110</v>
      </c>
      <c r="H108" s="25" t="s">
        <v>3206</v>
      </c>
      <c r="I108" s="26" t="s">
        <v>1006</v>
      </c>
      <c r="J108" s="26"/>
      <c r="K108" s="26" t="s">
        <v>3207</v>
      </c>
      <c r="L108" s="26" t="s">
        <v>3193</v>
      </c>
    </row>
    <row r="109" spans="1:12" ht="29" x14ac:dyDescent="0.35">
      <c r="A109" s="24">
        <v>1620</v>
      </c>
      <c r="B109" s="168">
        <v>21004</v>
      </c>
      <c r="C109" s="24">
        <v>43</v>
      </c>
      <c r="D109" s="26" t="s">
        <v>368</v>
      </c>
      <c r="E109" s="26" t="s">
        <v>369</v>
      </c>
      <c r="F109" s="26" t="s">
        <v>2674</v>
      </c>
      <c r="G109" s="25" t="s">
        <v>1110</v>
      </c>
      <c r="H109" s="25" t="s">
        <v>3206</v>
      </c>
      <c r="I109" s="26" t="s">
        <v>1006</v>
      </c>
      <c r="J109" s="26"/>
      <c r="K109" s="26" t="s">
        <v>3208</v>
      </c>
      <c r="L109" s="26" t="s">
        <v>3209</v>
      </c>
    </row>
    <row r="110" spans="1:12" x14ac:dyDescent="0.35">
      <c r="A110" s="24">
        <v>1737</v>
      </c>
      <c r="B110" s="168">
        <v>21004</v>
      </c>
      <c r="C110" s="24">
        <v>43</v>
      </c>
      <c r="D110" s="26" t="s">
        <v>368</v>
      </c>
      <c r="E110" s="26" t="s">
        <v>369</v>
      </c>
      <c r="F110" s="26" t="s">
        <v>2674</v>
      </c>
      <c r="G110" s="25" t="s">
        <v>1110</v>
      </c>
      <c r="H110" s="25" t="s">
        <v>3190</v>
      </c>
      <c r="I110" s="26" t="s">
        <v>1016</v>
      </c>
      <c r="J110" s="26"/>
      <c r="K110" s="26"/>
      <c r="L110" s="26" t="s">
        <v>3210</v>
      </c>
    </row>
    <row r="111" spans="1:12" ht="29" x14ac:dyDescent="0.35">
      <c r="A111" s="24">
        <v>657</v>
      </c>
      <c r="B111" s="168">
        <v>21006</v>
      </c>
      <c r="C111" s="24">
        <v>44</v>
      </c>
      <c r="D111" s="26" t="s">
        <v>375</v>
      </c>
      <c r="E111" s="26" t="s">
        <v>376</v>
      </c>
      <c r="F111" s="26" t="s">
        <v>2676</v>
      </c>
      <c r="G111" s="25" t="s">
        <v>1110</v>
      </c>
      <c r="H111" s="25" t="s">
        <v>3211</v>
      </c>
      <c r="I111" s="26" t="s">
        <v>1006</v>
      </c>
      <c r="J111" s="26"/>
      <c r="K111" s="26" t="s">
        <v>3212</v>
      </c>
      <c r="L111" s="26" t="s">
        <v>3213</v>
      </c>
    </row>
    <row r="112" spans="1:12" ht="29" x14ac:dyDescent="0.35">
      <c r="A112" s="24">
        <v>658</v>
      </c>
      <c r="B112" s="168">
        <v>21007</v>
      </c>
      <c r="C112" s="24">
        <v>44</v>
      </c>
      <c r="D112" s="26" t="s">
        <v>375</v>
      </c>
      <c r="E112" s="26" t="s">
        <v>381</v>
      </c>
      <c r="F112" s="26" t="s">
        <v>2677</v>
      </c>
      <c r="G112" s="25" t="s">
        <v>1110</v>
      </c>
      <c r="H112" s="25" t="s">
        <v>3214</v>
      </c>
      <c r="I112" s="26" t="s">
        <v>1016</v>
      </c>
      <c r="J112" s="26"/>
      <c r="K112" s="26"/>
      <c r="L112" s="26" t="s">
        <v>3215</v>
      </c>
    </row>
    <row r="113" spans="1:13" ht="29" x14ac:dyDescent="0.35">
      <c r="A113" s="24">
        <v>659</v>
      </c>
      <c r="B113" s="168">
        <v>21008</v>
      </c>
      <c r="C113" s="24">
        <v>44</v>
      </c>
      <c r="D113" s="26" t="s">
        <v>375</v>
      </c>
      <c r="E113" s="26" t="s">
        <v>383</v>
      </c>
      <c r="F113" s="26" t="s">
        <v>2678</v>
      </c>
      <c r="G113" s="25" t="s">
        <v>1110</v>
      </c>
      <c r="H113" s="25" t="s">
        <v>3216</v>
      </c>
      <c r="I113" s="26" t="s">
        <v>1016</v>
      </c>
      <c r="J113" s="26"/>
      <c r="K113" s="26"/>
      <c r="L113" s="26" t="s">
        <v>3217</v>
      </c>
    </row>
    <row r="114" spans="1:13" ht="29" x14ac:dyDescent="0.35">
      <c r="A114" s="24">
        <v>660</v>
      </c>
      <c r="B114" s="168">
        <v>21009</v>
      </c>
      <c r="C114" s="24">
        <v>44</v>
      </c>
      <c r="D114" s="26" t="s">
        <v>375</v>
      </c>
      <c r="E114" s="26" t="s">
        <v>385</v>
      </c>
      <c r="F114" s="26" t="s">
        <v>2679</v>
      </c>
      <c r="G114" s="25" t="s">
        <v>1110</v>
      </c>
      <c r="H114" s="25" t="s">
        <v>3218</v>
      </c>
      <c r="I114" s="26" t="s">
        <v>1016</v>
      </c>
      <c r="J114" s="26"/>
      <c r="K114" s="26"/>
      <c r="L114" s="26" t="s">
        <v>3219</v>
      </c>
    </row>
    <row r="115" spans="1:13" ht="29" x14ac:dyDescent="0.35">
      <c r="A115" s="24">
        <v>661</v>
      </c>
      <c r="B115" s="168">
        <v>21010</v>
      </c>
      <c r="C115" s="24">
        <v>44</v>
      </c>
      <c r="D115" s="26" t="s">
        <v>375</v>
      </c>
      <c r="E115" s="26" t="s">
        <v>387</v>
      </c>
      <c r="F115" s="26" t="s">
        <v>2680</v>
      </c>
      <c r="G115" s="25" t="s">
        <v>1110</v>
      </c>
      <c r="H115" s="25" t="s">
        <v>3218</v>
      </c>
      <c r="I115" s="26" t="s">
        <v>1016</v>
      </c>
      <c r="J115" s="26"/>
      <c r="K115" s="26"/>
      <c r="L115" s="26" t="s">
        <v>3220</v>
      </c>
    </row>
    <row r="116" spans="1:13" x14ac:dyDescent="0.35">
      <c r="A116" s="24">
        <v>760</v>
      </c>
      <c r="B116" s="168">
        <v>21011</v>
      </c>
      <c r="C116" s="24">
        <v>45</v>
      </c>
      <c r="D116" s="26" t="s">
        <v>389</v>
      </c>
      <c r="E116" s="26" t="s">
        <v>390</v>
      </c>
      <c r="F116" s="26" t="s">
        <v>2681</v>
      </c>
      <c r="G116" s="25" t="s">
        <v>1110</v>
      </c>
      <c r="H116" s="25" t="s">
        <v>3221</v>
      </c>
      <c r="I116" s="26" t="s">
        <v>1016</v>
      </c>
      <c r="J116" s="26"/>
      <c r="K116" s="26"/>
      <c r="L116" s="26" t="s">
        <v>3222</v>
      </c>
    </row>
    <row r="117" spans="1:13" ht="29" x14ac:dyDescent="0.35">
      <c r="A117" s="24">
        <v>766</v>
      </c>
      <c r="B117" s="168">
        <v>21012</v>
      </c>
      <c r="C117" s="24">
        <v>46</v>
      </c>
      <c r="D117" s="26" t="s">
        <v>392</v>
      </c>
      <c r="E117" s="26" t="s">
        <v>393</v>
      </c>
      <c r="F117" s="26" t="s">
        <v>2682</v>
      </c>
      <c r="G117" s="25" t="s">
        <v>1110</v>
      </c>
      <c r="H117" s="25" t="s">
        <v>3223</v>
      </c>
      <c r="I117" s="26" t="s">
        <v>1006</v>
      </c>
      <c r="J117" s="26" t="s">
        <v>3224</v>
      </c>
      <c r="K117" s="26" t="s">
        <v>3225</v>
      </c>
      <c r="L117" s="26" t="s">
        <v>3226</v>
      </c>
    </row>
    <row r="118" spans="1:13" x14ac:dyDescent="0.35">
      <c r="A118" s="24">
        <v>767</v>
      </c>
      <c r="B118" s="168">
        <v>21012</v>
      </c>
      <c r="C118" s="24">
        <v>46</v>
      </c>
      <c r="D118" s="26" t="s">
        <v>392</v>
      </c>
      <c r="E118" s="26" t="s">
        <v>393</v>
      </c>
      <c r="F118" s="26" t="s">
        <v>2682</v>
      </c>
      <c r="G118" s="25" t="s">
        <v>1110</v>
      </c>
      <c r="H118" s="25" t="s">
        <v>3227</v>
      </c>
      <c r="I118" s="26" t="s">
        <v>1006</v>
      </c>
      <c r="J118" s="26" t="s">
        <v>3224</v>
      </c>
      <c r="K118" s="26" t="s">
        <v>3228</v>
      </c>
      <c r="L118" s="26" t="s">
        <v>3226</v>
      </c>
    </row>
    <row r="119" spans="1:13" x14ac:dyDescent="0.35">
      <c r="A119" s="24">
        <v>787</v>
      </c>
      <c r="B119" s="168">
        <v>21014</v>
      </c>
      <c r="C119" s="24">
        <v>47</v>
      </c>
      <c r="D119" s="26" t="s">
        <v>396</v>
      </c>
      <c r="E119" s="26" t="s">
        <v>397</v>
      </c>
      <c r="F119" s="26" t="s">
        <v>2683</v>
      </c>
      <c r="G119" s="25" t="s">
        <v>1110</v>
      </c>
      <c r="H119" s="25" t="s">
        <v>3229</v>
      </c>
      <c r="I119" s="26" t="s">
        <v>1016</v>
      </c>
      <c r="J119" s="26" t="s">
        <v>2684</v>
      </c>
      <c r="K119" s="26"/>
      <c r="L119" s="26" t="s">
        <v>3230</v>
      </c>
    </row>
    <row r="120" spans="1:13" ht="29" x14ac:dyDescent="0.35">
      <c r="A120" s="24">
        <v>788</v>
      </c>
      <c r="B120" s="168">
        <v>21015</v>
      </c>
      <c r="C120" s="24">
        <v>48</v>
      </c>
      <c r="D120" s="26" t="s">
        <v>400</v>
      </c>
      <c r="E120" s="26" t="s">
        <v>401</v>
      </c>
      <c r="F120" s="26" t="s">
        <v>2685</v>
      </c>
      <c r="G120" s="25" t="s">
        <v>1110</v>
      </c>
      <c r="H120" s="25" t="s">
        <v>3231</v>
      </c>
      <c r="I120" s="26" t="s">
        <v>1016</v>
      </c>
      <c r="J120" s="26" t="s">
        <v>2684</v>
      </c>
      <c r="K120" s="26"/>
      <c r="L120" s="26" t="s">
        <v>3232</v>
      </c>
    </row>
    <row r="121" spans="1:13" ht="4.9000000000000004" customHeight="1" x14ac:dyDescent="0.35">
      <c r="A121" s="88"/>
      <c r="B121" s="89"/>
      <c r="C121" s="88"/>
      <c r="D121" s="219"/>
      <c r="E121" s="219"/>
      <c r="F121" s="219"/>
      <c r="G121" s="220"/>
      <c r="H121" s="220"/>
      <c r="I121" s="219"/>
      <c r="J121" s="219"/>
      <c r="K121" s="219"/>
      <c r="L121" s="219"/>
    </row>
    <row r="122" spans="1:13" ht="29" x14ac:dyDescent="0.35">
      <c r="A122" s="24">
        <v>1464</v>
      </c>
      <c r="B122" s="168">
        <v>20298</v>
      </c>
      <c r="C122" s="24">
        <v>50</v>
      </c>
      <c r="D122" s="26" t="s">
        <v>2706</v>
      </c>
      <c r="E122" s="26" t="s">
        <v>429</v>
      </c>
      <c r="F122" s="26" t="s">
        <v>2708</v>
      </c>
      <c r="G122" s="25" t="s">
        <v>1002</v>
      </c>
      <c r="H122" s="25" t="s">
        <v>3233</v>
      </c>
      <c r="I122" s="26" t="s">
        <v>1006</v>
      </c>
      <c r="J122" s="26"/>
      <c r="K122" s="26" t="s">
        <v>3234</v>
      </c>
      <c r="L122" s="26" t="s">
        <v>3235</v>
      </c>
    </row>
    <row r="123" spans="1:13" x14ac:dyDescent="0.35">
      <c r="A123" s="24">
        <v>1465</v>
      </c>
      <c r="B123" s="168">
        <v>20299</v>
      </c>
      <c r="C123" s="24">
        <v>50</v>
      </c>
      <c r="D123" s="26" t="s">
        <v>2709</v>
      </c>
      <c r="E123" s="26" t="s">
        <v>431</v>
      </c>
      <c r="F123" s="26" t="s">
        <v>2710</v>
      </c>
      <c r="G123" s="25" t="s">
        <v>1002</v>
      </c>
      <c r="H123" s="25" t="s">
        <v>3236</v>
      </c>
      <c r="I123" s="26" t="s">
        <v>1006</v>
      </c>
      <c r="J123" s="26"/>
      <c r="K123" s="26" t="s">
        <v>3237</v>
      </c>
      <c r="L123" s="26" t="s">
        <v>3238</v>
      </c>
    </row>
    <row r="124" spans="1:13" ht="29" x14ac:dyDescent="0.35">
      <c r="A124" s="235" t="s">
        <v>270</v>
      </c>
      <c r="B124" s="236">
        <v>20113</v>
      </c>
      <c r="C124" s="237">
        <v>51</v>
      </c>
      <c r="D124" s="238" t="s">
        <v>3239</v>
      </c>
      <c r="E124" s="238" t="s">
        <v>1377</v>
      </c>
      <c r="F124" s="238" t="s">
        <v>2716</v>
      </c>
      <c r="G124" s="237" t="s">
        <v>1002</v>
      </c>
      <c r="H124" s="237">
        <v>1320</v>
      </c>
      <c r="I124" s="239" t="s">
        <v>3240</v>
      </c>
      <c r="J124" s="240" t="s">
        <v>3241</v>
      </c>
      <c r="K124" s="240" t="s">
        <v>3241</v>
      </c>
      <c r="L124" s="241" t="s">
        <v>433</v>
      </c>
      <c r="M124" s="242" t="s">
        <v>3242</v>
      </c>
    </row>
    <row r="125" spans="1:13" ht="58" x14ac:dyDescent="0.35">
      <c r="A125" s="243">
        <v>1469</v>
      </c>
      <c r="B125" s="244">
        <v>20301</v>
      </c>
      <c r="C125" s="245">
        <v>52</v>
      </c>
      <c r="D125" s="246" t="s">
        <v>2721</v>
      </c>
      <c r="E125" s="246" t="s">
        <v>1377</v>
      </c>
      <c r="F125" s="246" t="s">
        <v>2722</v>
      </c>
      <c r="G125" s="245" t="s">
        <v>1002</v>
      </c>
      <c r="H125" s="245">
        <v>2200</v>
      </c>
      <c r="I125" s="247" t="s">
        <v>3243</v>
      </c>
      <c r="J125" s="247" t="s">
        <v>3241</v>
      </c>
      <c r="K125" s="247" t="s">
        <v>3244</v>
      </c>
      <c r="L125" s="246" t="s">
        <v>3245</v>
      </c>
      <c r="M125" s="248" t="s">
        <v>3246</v>
      </c>
    </row>
    <row r="126" spans="1:13" ht="58" x14ac:dyDescent="0.35">
      <c r="A126" s="243">
        <v>1472</v>
      </c>
      <c r="B126" s="244">
        <v>20302</v>
      </c>
      <c r="C126" s="245">
        <v>53</v>
      </c>
      <c r="D126" s="246" t="s">
        <v>2728</v>
      </c>
      <c r="E126" s="246" t="s">
        <v>1377</v>
      </c>
      <c r="F126" s="246" t="s">
        <v>2730</v>
      </c>
      <c r="G126" s="245" t="s">
        <v>1002</v>
      </c>
      <c r="H126" s="245">
        <v>2215</v>
      </c>
      <c r="I126" s="246" t="s">
        <v>1006</v>
      </c>
      <c r="J126" s="246" t="s">
        <v>3241</v>
      </c>
      <c r="K126" s="246" t="s">
        <v>3247</v>
      </c>
      <c r="L126" s="246" t="s">
        <v>3248</v>
      </c>
      <c r="M126" s="248" t="s">
        <v>3246</v>
      </c>
    </row>
    <row r="127" spans="1:13" ht="58" x14ac:dyDescent="0.35">
      <c r="A127" s="243">
        <v>1473</v>
      </c>
      <c r="B127" s="244">
        <v>20302</v>
      </c>
      <c r="C127" s="245">
        <v>53</v>
      </c>
      <c r="D127" s="246" t="s">
        <v>2728</v>
      </c>
      <c r="E127" s="246" t="s">
        <v>1377</v>
      </c>
      <c r="F127" s="246" t="s">
        <v>2730</v>
      </c>
      <c r="G127" s="245" t="s">
        <v>1002</v>
      </c>
      <c r="H127" s="245">
        <v>2220</v>
      </c>
      <c r="I127" s="246" t="s">
        <v>1006</v>
      </c>
      <c r="J127" s="246" t="s">
        <v>3241</v>
      </c>
      <c r="K127" s="246" t="s">
        <v>3249</v>
      </c>
      <c r="L127" s="246" t="s">
        <v>3248</v>
      </c>
      <c r="M127" s="248" t="s">
        <v>3246</v>
      </c>
    </row>
    <row r="128" spans="1:13" ht="58" x14ac:dyDescent="0.35">
      <c r="A128" s="243">
        <v>1474</v>
      </c>
      <c r="B128" s="244">
        <v>20302</v>
      </c>
      <c r="C128" s="245">
        <v>53</v>
      </c>
      <c r="D128" s="246" t="s">
        <v>2728</v>
      </c>
      <c r="E128" s="246" t="s">
        <v>1377</v>
      </c>
      <c r="F128" s="246" t="s">
        <v>2730</v>
      </c>
      <c r="G128" s="245" t="s">
        <v>1002</v>
      </c>
      <c r="H128" s="245">
        <v>2225</v>
      </c>
      <c r="I128" s="246" t="s">
        <v>1006</v>
      </c>
      <c r="J128" s="246" t="s">
        <v>3241</v>
      </c>
      <c r="K128" s="246" t="s">
        <v>3250</v>
      </c>
      <c r="L128" s="246" t="s">
        <v>3248</v>
      </c>
      <c r="M128" s="248" t="s">
        <v>3246</v>
      </c>
    </row>
    <row r="129" spans="1:13" ht="43.5" x14ac:dyDescent="0.35">
      <c r="A129" s="243">
        <v>1475</v>
      </c>
      <c r="B129" s="244">
        <v>20303</v>
      </c>
      <c r="C129" s="245">
        <v>54</v>
      </c>
      <c r="D129" s="246" t="s">
        <v>2735</v>
      </c>
      <c r="E129" s="246" t="s">
        <v>1377</v>
      </c>
      <c r="F129" s="246" t="s">
        <v>2736</v>
      </c>
      <c r="G129" s="245" t="s">
        <v>1002</v>
      </c>
      <c r="H129" s="245">
        <v>2230</v>
      </c>
      <c r="I129" s="246" t="s">
        <v>1006</v>
      </c>
      <c r="J129" s="246" t="s">
        <v>3241</v>
      </c>
      <c r="K129" s="246" t="s">
        <v>3251</v>
      </c>
      <c r="L129" s="246" t="s">
        <v>3252</v>
      </c>
      <c r="M129" s="242" t="s">
        <v>3242</v>
      </c>
    </row>
    <row r="130" spans="1:13" ht="58" x14ac:dyDescent="0.35">
      <c r="A130" s="243">
        <v>1481</v>
      </c>
      <c r="B130" s="244">
        <v>20305</v>
      </c>
      <c r="C130" s="245">
        <v>55</v>
      </c>
      <c r="D130" s="246" t="s">
        <v>2746</v>
      </c>
      <c r="E130" s="246" t="s">
        <v>1377</v>
      </c>
      <c r="F130" s="246" t="s">
        <v>2745</v>
      </c>
      <c r="G130" s="245" t="s">
        <v>1002</v>
      </c>
      <c r="H130" s="245">
        <v>2245</v>
      </c>
      <c r="I130" s="246" t="s">
        <v>1006</v>
      </c>
      <c r="J130" s="246" t="s">
        <v>3241</v>
      </c>
      <c r="K130" s="246" t="s">
        <v>3253</v>
      </c>
      <c r="L130" s="246" t="s">
        <v>2746</v>
      </c>
      <c r="M130" s="248" t="s">
        <v>3246</v>
      </c>
    </row>
    <row r="131" spans="1:13" ht="58" x14ac:dyDescent="0.35">
      <c r="A131" s="243">
        <v>1482</v>
      </c>
      <c r="B131" s="244">
        <v>20305</v>
      </c>
      <c r="C131" s="245">
        <v>55</v>
      </c>
      <c r="D131" s="246" t="s">
        <v>2746</v>
      </c>
      <c r="E131" s="246" t="s">
        <v>1377</v>
      </c>
      <c r="F131" s="246" t="s">
        <v>2745</v>
      </c>
      <c r="G131" s="245" t="s">
        <v>1002</v>
      </c>
      <c r="H131" s="245">
        <v>2250</v>
      </c>
      <c r="I131" s="246" t="s">
        <v>1006</v>
      </c>
      <c r="J131" s="246" t="s">
        <v>3241</v>
      </c>
      <c r="K131" s="246" t="s">
        <v>3254</v>
      </c>
      <c r="L131" s="246" t="s">
        <v>2746</v>
      </c>
      <c r="M131" s="248" t="s">
        <v>3246</v>
      </c>
    </row>
    <row r="132" spans="1:13" ht="58" x14ac:dyDescent="0.35">
      <c r="A132" s="243">
        <v>1483</v>
      </c>
      <c r="B132" s="244">
        <v>20305</v>
      </c>
      <c r="C132" s="245">
        <v>55</v>
      </c>
      <c r="D132" s="246" t="s">
        <v>2746</v>
      </c>
      <c r="E132" s="246" t="s">
        <v>1377</v>
      </c>
      <c r="F132" s="246" t="s">
        <v>2745</v>
      </c>
      <c r="G132" s="245" t="s">
        <v>1002</v>
      </c>
      <c r="H132" s="245">
        <v>2255</v>
      </c>
      <c r="I132" s="246" t="s">
        <v>1006</v>
      </c>
      <c r="J132" s="246" t="s">
        <v>3241</v>
      </c>
      <c r="K132" s="246" t="s">
        <v>3255</v>
      </c>
      <c r="L132" s="246" t="s">
        <v>2746</v>
      </c>
      <c r="M132" s="248" t="s">
        <v>3246</v>
      </c>
    </row>
    <row r="133" spans="1:13" x14ac:dyDescent="0.35">
      <c r="A133" s="249">
        <v>828</v>
      </c>
      <c r="B133" s="236">
        <v>20131</v>
      </c>
      <c r="C133" s="237">
        <v>56</v>
      </c>
      <c r="D133" s="238" t="s">
        <v>478</v>
      </c>
      <c r="E133" s="238" t="s">
        <v>479</v>
      </c>
      <c r="F133" s="238" t="s">
        <v>2749</v>
      </c>
      <c r="G133" s="237" t="s">
        <v>1002</v>
      </c>
      <c r="H133" s="237">
        <v>1495</v>
      </c>
      <c r="I133" s="238" t="s">
        <v>1016</v>
      </c>
      <c r="J133" s="238" t="s">
        <v>3256</v>
      </c>
      <c r="K133" s="238" t="s">
        <v>3241</v>
      </c>
      <c r="L133" s="238" t="s">
        <v>478</v>
      </c>
      <c r="M133" s="242"/>
    </row>
    <row r="134" spans="1:13" ht="58" x14ac:dyDescent="0.35">
      <c r="A134" s="243">
        <v>1484</v>
      </c>
      <c r="B134" s="244">
        <v>20306</v>
      </c>
      <c r="C134" s="245">
        <v>58</v>
      </c>
      <c r="D134" s="246" t="s">
        <v>2758</v>
      </c>
      <c r="E134" s="246" t="s">
        <v>1377</v>
      </c>
      <c r="F134" s="246" t="s">
        <v>2759</v>
      </c>
      <c r="G134" s="245" t="s">
        <v>1002</v>
      </c>
      <c r="H134" s="245">
        <v>2275</v>
      </c>
      <c r="I134" s="250" t="s">
        <v>3243</v>
      </c>
      <c r="J134" s="239" t="s">
        <v>3241</v>
      </c>
      <c r="K134" s="251" t="s">
        <v>3257</v>
      </c>
      <c r="L134" s="246" t="s">
        <v>3258</v>
      </c>
      <c r="M134" s="248" t="s">
        <v>3246</v>
      </c>
    </row>
    <row r="135" spans="1:13" ht="58" x14ac:dyDescent="0.35">
      <c r="A135" s="243">
        <v>1487</v>
      </c>
      <c r="B135" s="244">
        <v>20307</v>
      </c>
      <c r="C135" s="245">
        <v>58</v>
      </c>
      <c r="D135" s="246" t="s">
        <v>2760</v>
      </c>
      <c r="E135" s="246" t="s">
        <v>1377</v>
      </c>
      <c r="F135" s="246" t="s">
        <v>2761</v>
      </c>
      <c r="G135" s="245" t="s">
        <v>1002</v>
      </c>
      <c r="H135" s="245">
        <v>2290</v>
      </c>
      <c r="I135" s="250" t="s">
        <v>3243</v>
      </c>
      <c r="J135" s="252" t="s">
        <v>3241</v>
      </c>
      <c r="K135" s="251" t="s">
        <v>3259</v>
      </c>
      <c r="L135" s="246" t="s">
        <v>3260</v>
      </c>
      <c r="M135" s="248" t="s">
        <v>3246</v>
      </c>
    </row>
    <row r="136" spans="1:13" ht="58" x14ac:dyDescent="0.35">
      <c r="A136" s="243">
        <v>1490</v>
      </c>
      <c r="B136" s="244">
        <v>20308</v>
      </c>
      <c r="C136" s="245">
        <v>59</v>
      </c>
      <c r="D136" s="246" t="s">
        <v>2767</v>
      </c>
      <c r="E136" s="246" t="s">
        <v>1377</v>
      </c>
      <c r="F136" s="246" t="s">
        <v>2768</v>
      </c>
      <c r="G136" s="245" t="s">
        <v>1002</v>
      </c>
      <c r="H136" s="245">
        <v>2305</v>
      </c>
      <c r="I136" s="250" t="s">
        <v>3243</v>
      </c>
      <c r="J136" s="252" t="s">
        <v>3241</v>
      </c>
      <c r="K136" s="251" t="s">
        <v>3261</v>
      </c>
      <c r="L136" s="246" t="s">
        <v>3262</v>
      </c>
      <c r="M136" s="248" t="s">
        <v>3246</v>
      </c>
    </row>
    <row r="137" spans="1:13" ht="58" x14ac:dyDescent="0.35">
      <c r="A137" s="253">
        <v>1445</v>
      </c>
      <c r="B137" s="254">
        <v>20309</v>
      </c>
      <c r="C137" s="254">
        <v>60</v>
      </c>
      <c r="D137" s="240" t="s">
        <v>557</v>
      </c>
      <c r="E137" s="240" t="s">
        <v>558</v>
      </c>
      <c r="F137" s="240" t="s">
        <v>2775</v>
      </c>
      <c r="G137" s="255" t="s">
        <v>1002</v>
      </c>
      <c r="H137" s="256">
        <v>2185</v>
      </c>
      <c r="I137" s="240" t="s">
        <v>1198</v>
      </c>
      <c r="J137" s="257" t="s">
        <v>3241</v>
      </c>
      <c r="K137" s="240" t="s">
        <v>1199</v>
      </c>
      <c r="L137" s="240" t="s">
        <v>1200</v>
      </c>
      <c r="M137" s="242"/>
    </row>
    <row r="138" spans="1:13" ht="58" x14ac:dyDescent="0.35">
      <c r="A138" s="258">
        <v>1037</v>
      </c>
      <c r="B138" s="259">
        <v>20310</v>
      </c>
      <c r="C138" s="260">
        <v>61</v>
      </c>
      <c r="D138" s="247" t="s">
        <v>2781</v>
      </c>
      <c r="E138" s="247" t="s">
        <v>563</v>
      </c>
      <c r="F138" s="247" t="s">
        <v>2782</v>
      </c>
      <c r="G138" s="260" t="s">
        <v>1002</v>
      </c>
      <c r="H138" s="260">
        <v>6101</v>
      </c>
      <c r="I138" s="247" t="s">
        <v>3243</v>
      </c>
      <c r="J138" s="247" t="s">
        <v>3241</v>
      </c>
      <c r="K138" s="247" t="s">
        <v>3263</v>
      </c>
      <c r="L138" s="247" t="s">
        <v>3264</v>
      </c>
      <c r="M138" s="242"/>
    </row>
    <row r="139" spans="1:13" ht="58" x14ac:dyDescent="0.35">
      <c r="A139" s="243">
        <v>1499</v>
      </c>
      <c r="B139" s="244">
        <v>20310</v>
      </c>
      <c r="C139" s="245">
        <v>61</v>
      </c>
      <c r="D139" s="246" t="s">
        <v>2781</v>
      </c>
      <c r="E139" s="246" t="s">
        <v>1377</v>
      </c>
      <c r="F139" s="246" t="s">
        <v>2782</v>
      </c>
      <c r="G139" s="245" t="s">
        <v>1002</v>
      </c>
      <c r="H139" s="245">
        <v>2350</v>
      </c>
      <c r="I139" s="250" t="s">
        <v>3243</v>
      </c>
      <c r="J139" s="250" t="s">
        <v>3241</v>
      </c>
      <c r="K139" s="250" t="s">
        <v>3265</v>
      </c>
      <c r="L139" s="246" t="s">
        <v>3266</v>
      </c>
      <c r="M139" s="248" t="s">
        <v>3267</v>
      </c>
    </row>
    <row r="140" spans="1:13" x14ac:dyDescent="0.35">
      <c r="A140" s="249">
        <v>1550</v>
      </c>
      <c r="B140" s="236">
        <v>20311</v>
      </c>
      <c r="C140" s="237">
        <v>62</v>
      </c>
      <c r="D140" s="238" t="s">
        <v>2787</v>
      </c>
      <c r="E140" s="238" t="s">
        <v>1377</v>
      </c>
      <c r="F140" s="238" t="s">
        <v>2788</v>
      </c>
      <c r="G140" s="237" t="s">
        <v>1002</v>
      </c>
      <c r="H140" s="237">
        <v>2600</v>
      </c>
      <c r="I140" s="238" t="s">
        <v>3268</v>
      </c>
      <c r="J140" s="238" t="s">
        <v>3241</v>
      </c>
      <c r="K140" s="238" t="s">
        <v>3269</v>
      </c>
      <c r="L140" s="238" t="s">
        <v>3270</v>
      </c>
      <c r="M140" s="242" t="s">
        <v>198</v>
      </c>
    </row>
    <row r="141" spans="1:13" ht="58" x14ac:dyDescent="0.35">
      <c r="A141" s="243">
        <v>1511</v>
      </c>
      <c r="B141" s="244">
        <v>20313</v>
      </c>
      <c r="C141" s="245">
        <v>63</v>
      </c>
      <c r="D141" s="246" t="s">
        <v>2793</v>
      </c>
      <c r="E141" s="246" t="s">
        <v>1377</v>
      </c>
      <c r="F141" s="246" t="s">
        <v>2794</v>
      </c>
      <c r="G141" s="245" t="s">
        <v>1002</v>
      </c>
      <c r="H141" s="245">
        <v>2410</v>
      </c>
      <c r="I141" s="250" t="s">
        <v>3243</v>
      </c>
      <c r="J141" s="239" t="s">
        <v>3241</v>
      </c>
      <c r="K141" s="251" t="s">
        <v>3271</v>
      </c>
      <c r="L141" s="246" t="s">
        <v>3272</v>
      </c>
      <c r="M141" s="248" t="s">
        <v>3246</v>
      </c>
    </row>
    <row r="142" spans="1:13" ht="58" x14ac:dyDescent="0.35">
      <c r="A142" s="243">
        <v>1508</v>
      </c>
      <c r="B142" s="244">
        <v>20312</v>
      </c>
      <c r="C142" s="245">
        <v>64</v>
      </c>
      <c r="D142" s="246" t="s">
        <v>2799</v>
      </c>
      <c r="E142" s="246" t="s">
        <v>1377</v>
      </c>
      <c r="F142" s="246" t="s">
        <v>2800</v>
      </c>
      <c r="G142" s="245" t="s">
        <v>1002</v>
      </c>
      <c r="H142" s="245">
        <v>2395</v>
      </c>
      <c r="I142" s="250" t="s">
        <v>3243</v>
      </c>
      <c r="J142" s="252" t="s">
        <v>3241</v>
      </c>
      <c r="K142" s="251" t="s">
        <v>3273</v>
      </c>
      <c r="L142" s="246" t="s">
        <v>3274</v>
      </c>
      <c r="M142" s="248" t="s">
        <v>3246</v>
      </c>
    </row>
    <row r="143" spans="1:13" ht="72.5" x14ac:dyDescent="0.35">
      <c r="A143" s="24">
        <v>860</v>
      </c>
      <c r="B143" s="168">
        <v>20156</v>
      </c>
      <c r="C143" s="24">
        <v>66</v>
      </c>
      <c r="D143" s="26" t="s">
        <v>609</v>
      </c>
      <c r="E143" s="26" t="s">
        <v>610</v>
      </c>
      <c r="F143" s="26" t="s">
        <v>2801</v>
      </c>
      <c r="G143" s="25" t="s">
        <v>1002</v>
      </c>
      <c r="H143" s="25" t="s">
        <v>3275</v>
      </c>
      <c r="I143" s="26" t="s">
        <v>1006</v>
      </c>
      <c r="J143" s="26"/>
      <c r="K143" s="26" t="s">
        <v>3276</v>
      </c>
      <c r="L143" s="26" t="s">
        <v>609</v>
      </c>
    </row>
    <row r="144" spans="1:13" ht="43.5" x14ac:dyDescent="0.35">
      <c r="A144" s="24">
        <v>861</v>
      </c>
      <c r="B144" s="168">
        <v>20157</v>
      </c>
      <c r="C144" s="24">
        <v>67</v>
      </c>
      <c r="D144" s="26" t="s">
        <v>614</v>
      </c>
      <c r="E144" s="26" t="s">
        <v>894</v>
      </c>
      <c r="F144" s="26" t="s">
        <v>2802</v>
      </c>
      <c r="G144" s="25" t="s">
        <v>1002</v>
      </c>
      <c r="H144" s="25" t="s">
        <v>3277</v>
      </c>
      <c r="I144" s="26" t="s">
        <v>1016</v>
      </c>
      <c r="J144" s="26"/>
      <c r="K144" s="26"/>
      <c r="L144" s="26" t="s">
        <v>3278</v>
      </c>
      <c r="M144" s="4" t="s">
        <v>3279</v>
      </c>
    </row>
    <row r="145" spans="1:12" ht="29" x14ac:dyDescent="0.35">
      <c r="A145" s="24">
        <v>871</v>
      </c>
      <c r="B145" s="168">
        <v>20159</v>
      </c>
      <c r="C145" s="24">
        <v>67</v>
      </c>
      <c r="D145" s="26" t="s">
        <v>616</v>
      </c>
      <c r="E145" s="26" t="s">
        <v>617</v>
      </c>
      <c r="F145" s="26" t="s">
        <v>2806</v>
      </c>
      <c r="G145" s="25" t="s">
        <v>1002</v>
      </c>
      <c r="H145" s="25" t="s">
        <v>3280</v>
      </c>
      <c r="I145" s="26" t="s">
        <v>1006</v>
      </c>
      <c r="J145" s="26"/>
      <c r="K145" s="26" t="s">
        <v>3281</v>
      </c>
      <c r="L145" s="26" t="s">
        <v>616</v>
      </c>
    </row>
    <row r="146" spans="1:12" ht="29" x14ac:dyDescent="0.35">
      <c r="A146" s="24">
        <v>1523</v>
      </c>
      <c r="B146" s="168">
        <v>20158</v>
      </c>
      <c r="C146" s="24">
        <v>67</v>
      </c>
      <c r="D146" s="26" t="s">
        <v>2803</v>
      </c>
      <c r="E146" s="26" t="s">
        <v>615</v>
      </c>
      <c r="F146" s="26" t="s">
        <v>2804</v>
      </c>
      <c r="G146" s="25" t="s">
        <v>1002</v>
      </c>
      <c r="H146" s="25" t="s">
        <v>3282</v>
      </c>
      <c r="I146" s="26" t="s">
        <v>1006</v>
      </c>
      <c r="J146" s="26"/>
      <c r="K146" s="26" t="s">
        <v>3283</v>
      </c>
      <c r="L146" s="26" t="s">
        <v>3284</v>
      </c>
    </row>
    <row r="147" spans="1:12" ht="304.5" x14ac:dyDescent="0.35">
      <c r="A147" s="131">
        <v>1610</v>
      </c>
      <c r="B147" s="232">
        <v>20157</v>
      </c>
      <c r="C147" s="131">
        <v>67</v>
      </c>
      <c r="D147" s="197" t="s">
        <v>614</v>
      </c>
      <c r="E147" s="197" t="s">
        <v>615</v>
      </c>
      <c r="F147" s="197" t="s">
        <v>2802</v>
      </c>
      <c r="G147" s="233" t="s">
        <v>1002</v>
      </c>
      <c r="H147" s="233" t="s">
        <v>3285</v>
      </c>
      <c r="I147" s="197" t="s">
        <v>3286</v>
      </c>
      <c r="J147" s="197"/>
      <c r="K147" s="197" t="s">
        <v>3287</v>
      </c>
      <c r="L147" s="197" t="s">
        <v>3288</v>
      </c>
    </row>
    <row r="148" spans="1:12" x14ac:dyDescent="0.35">
      <c r="A148" s="24">
        <v>1538</v>
      </c>
      <c r="B148" s="168">
        <v>20203</v>
      </c>
      <c r="C148" s="24" t="s">
        <v>3289</v>
      </c>
      <c r="D148" s="26" t="s">
        <v>701</v>
      </c>
      <c r="E148" s="26" t="s">
        <v>702</v>
      </c>
      <c r="F148" s="26" t="s">
        <v>2851</v>
      </c>
      <c r="G148" s="25" t="s">
        <v>1002</v>
      </c>
      <c r="H148" s="25" t="s">
        <v>3290</v>
      </c>
      <c r="I148" s="26" t="s">
        <v>1006</v>
      </c>
      <c r="J148" s="26"/>
      <c r="K148" s="26" t="s">
        <v>3291</v>
      </c>
      <c r="L148" s="26" t="s">
        <v>3284</v>
      </c>
    </row>
    <row r="149" spans="1:12" x14ac:dyDescent="0.35">
      <c r="A149" s="24">
        <v>914</v>
      </c>
      <c r="B149" s="168">
        <v>20202</v>
      </c>
      <c r="C149" s="24" t="s">
        <v>3289</v>
      </c>
      <c r="D149" s="26" t="s">
        <v>701</v>
      </c>
      <c r="E149" s="26" t="s">
        <v>702</v>
      </c>
      <c r="F149" s="26" t="s">
        <v>2850</v>
      </c>
      <c r="G149" s="25" t="s">
        <v>1002</v>
      </c>
      <c r="H149" s="25" t="s">
        <v>3292</v>
      </c>
      <c r="I149" s="26" t="s">
        <v>1016</v>
      </c>
      <c r="J149" s="26"/>
      <c r="K149" s="26"/>
      <c r="L149" s="26" t="s">
        <v>704</v>
      </c>
    </row>
    <row r="150" spans="1:12" ht="29" x14ac:dyDescent="0.35">
      <c r="A150" s="24">
        <v>916</v>
      </c>
      <c r="B150" s="168">
        <v>20204</v>
      </c>
      <c r="C150" s="24" t="s">
        <v>3289</v>
      </c>
      <c r="D150" s="26" t="s">
        <v>704</v>
      </c>
      <c r="E150" s="26" t="s">
        <v>705</v>
      </c>
      <c r="F150" s="26" t="s">
        <v>2852</v>
      </c>
      <c r="G150" s="25" t="s">
        <v>1002</v>
      </c>
      <c r="H150" s="25" t="s">
        <v>3293</v>
      </c>
      <c r="I150" s="26" t="s">
        <v>1006</v>
      </c>
      <c r="J150" s="26"/>
      <c r="K150" s="26" t="s">
        <v>3294</v>
      </c>
      <c r="L150" s="26" t="s">
        <v>3295</v>
      </c>
    </row>
    <row r="151" spans="1:12" x14ac:dyDescent="0.35">
      <c r="A151" s="24">
        <v>872</v>
      </c>
      <c r="B151" s="168">
        <v>20160</v>
      </c>
      <c r="C151" s="24" t="s">
        <v>1245</v>
      </c>
      <c r="D151" s="26" t="s">
        <v>620</v>
      </c>
      <c r="E151" s="26" t="s">
        <v>621</v>
      </c>
      <c r="F151" s="26" t="s">
        <v>2807</v>
      </c>
      <c r="G151" s="25" t="s">
        <v>1002</v>
      </c>
      <c r="H151" s="25" t="s">
        <v>3296</v>
      </c>
      <c r="I151" s="26" t="s">
        <v>1016</v>
      </c>
      <c r="J151" s="26"/>
      <c r="K151" s="26"/>
      <c r="L151" s="26" t="s">
        <v>622</v>
      </c>
    </row>
    <row r="152" spans="1:12" ht="29" x14ac:dyDescent="0.35">
      <c r="A152" s="24">
        <v>874</v>
      </c>
      <c r="B152" s="168">
        <v>20162</v>
      </c>
      <c r="C152" s="24" t="s">
        <v>1245</v>
      </c>
      <c r="D152" s="26" t="s">
        <v>622</v>
      </c>
      <c r="E152" s="26" t="s">
        <v>623</v>
      </c>
      <c r="F152" s="26" t="s">
        <v>2810</v>
      </c>
      <c r="G152" s="25" t="s">
        <v>1002</v>
      </c>
      <c r="H152" s="25" t="s">
        <v>3297</v>
      </c>
      <c r="I152" s="26" t="s">
        <v>1006</v>
      </c>
      <c r="J152" s="26"/>
      <c r="K152" s="26" t="s">
        <v>3298</v>
      </c>
      <c r="L152" s="26" t="s">
        <v>3299</v>
      </c>
    </row>
    <row r="153" spans="1:12" ht="29" x14ac:dyDescent="0.35">
      <c r="A153" s="24">
        <v>1524</v>
      </c>
      <c r="B153" s="168">
        <v>20161</v>
      </c>
      <c r="C153" s="24" t="s">
        <v>1245</v>
      </c>
      <c r="D153" s="26" t="s">
        <v>2808</v>
      </c>
      <c r="E153" s="26" t="s">
        <v>621</v>
      </c>
      <c r="F153" s="26" t="s">
        <v>2809</v>
      </c>
      <c r="G153" s="25" t="s">
        <v>1002</v>
      </c>
      <c r="H153" s="25" t="s">
        <v>3300</v>
      </c>
      <c r="I153" s="26" t="s">
        <v>1006</v>
      </c>
      <c r="J153" s="26"/>
      <c r="K153" s="26" t="s">
        <v>3301</v>
      </c>
      <c r="L153" s="26" t="s">
        <v>3284</v>
      </c>
    </row>
    <row r="154" spans="1:12" ht="304.5" x14ac:dyDescent="0.35">
      <c r="A154" s="24">
        <v>1525</v>
      </c>
      <c r="B154" s="168">
        <v>20164</v>
      </c>
      <c r="C154" s="24" t="s">
        <v>1248</v>
      </c>
      <c r="D154" s="26" t="s">
        <v>625</v>
      </c>
      <c r="E154" s="26" t="s">
        <v>626</v>
      </c>
      <c r="F154" s="26" t="s">
        <v>2812</v>
      </c>
      <c r="G154" s="25" t="s">
        <v>1002</v>
      </c>
      <c r="H154" s="25" t="s">
        <v>3302</v>
      </c>
      <c r="I154" s="26" t="s">
        <v>1006</v>
      </c>
      <c r="J154" s="26"/>
      <c r="K154" s="26" t="s">
        <v>3303</v>
      </c>
      <c r="L154" s="26" t="s">
        <v>3288</v>
      </c>
    </row>
    <row r="155" spans="1:12" x14ac:dyDescent="0.35">
      <c r="A155" s="24">
        <v>875</v>
      </c>
      <c r="B155" s="168">
        <v>20163</v>
      </c>
      <c r="C155" s="24" t="s">
        <v>1248</v>
      </c>
      <c r="D155" s="26" t="s">
        <v>625</v>
      </c>
      <c r="E155" s="26" t="s">
        <v>626</v>
      </c>
      <c r="F155" s="26" t="s">
        <v>2811</v>
      </c>
      <c r="G155" s="25" t="s">
        <v>1002</v>
      </c>
      <c r="H155" s="25" t="s">
        <v>3304</v>
      </c>
      <c r="I155" s="26" t="s">
        <v>1016</v>
      </c>
      <c r="J155" s="26"/>
      <c r="K155" s="26"/>
      <c r="L155" s="26" t="s">
        <v>627</v>
      </c>
    </row>
    <row r="156" spans="1:12" ht="29" x14ac:dyDescent="0.35">
      <c r="A156" s="24">
        <v>877</v>
      </c>
      <c r="B156" s="168">
        <v>20165</v>
      </c>
      <c r="C156" s="24" t="s">
        <v>1248</v>
      </c>
      <c r="D156" s="26" t="s">
        <v>627</v>
      </c>
      <c r="E156" s="26" t="s">
        <v>628</v>
      </c>
      <c r="F156" s="26" t="s">
        <v>2813</v>
      </c>
      <c r="G156" s="25" t="s">
        <v>1002</v>
      </c>
      <c r="H156" s="25" t="s">
        <v>3305</v>
      </c>
      <c r="I156" s="26" t="s">
        <v>1006</v>
      </c>
      <c r="J156" s="26"/>
      <c r="K156" s="26" t="s">
        <v>3306</v>
      </c>
      <c r="L156" s="26" t="s">
        <v>3307</v>
      </c>
    </row>
    <row r="157" spans="1:12" x14ac:dyDescent="0.35">
      <c r="A157" s="24">
        <v>878</v>
      </c>
      <c r="B157" s="168">
        <v>20166</v>
      </c>
      <c r="C157" s="24" t="s">
        <v>1251</v>
      </c>
      <c r="D157" s="26" t="s">
        <v>630</v>
      </c>
      <c r="E157" s="26" t="s">
        <v>631</v>
      </c>
      <c r="F157" s="26" t="s">
        <v>2814</v>
      </c>
      <c r="G157" s="25" t="s">
        <v>1002</v>
      </c>
      <c r="H157" s="25" t="s">
        <v>3308</v>
      </c>
      <c r="I157" s="26" t="s">
        <v>1016</v>
      </c>
      <c r="J157" s="26"/>
      <c r="K157" s="26"/>
      <c r="L157" s="26" t="s">
        <v>632</v>
      </c>
    </row>
    <row r="158" spans="1:12" ht="29" x14ac:dyDescent="0.35">
      <c r="A158" s="24">
        <v>880</v>
      </c>
      <c r="B158" s="168">
        <v>20168</v>
      </c>
      <c r="C158" s="24" t="s">
        <v>1251</v>
      </c>
      <c r="D158" s="26" t="s">
        <v>632</v>
      </c>
      <c r="E158" s="26" t="s">
        <v>633</v>
      </c>
      <c r="F158" s="26" t="s">
        <v>2816</v>
      </c>
      <c r="G158" s="25" t="s">
        <v>1002</v>
      </c>
      <c r="H158" s="25" t="s">
        <v>3309</v>
      </c>
      <c r="I158" s="26" t="s">
        <v>1006</v>
      </c>
      <c r="J158" s="26"/>
      <c r="K158" s="26" t="s">
        <v>3310</v>
      </c>
      <c r="L158" s="26" t="s">
        <v>3307</v>
      </c>
    </row>
    <row r="159" spans="1:12" x14ac:dyDescent="0.35">
      <c r="A159" s="24">
        <v>1526</v>
      </c>
      <c r="B159" s="168">
        <v>20167</v>
      </c>
      <c r="C159" s="24" t="s">
        <v>1251</v>
      </c>
      <c r="D159" s="26" t="s">
        <v>630</v>
      </c>
      <c r="E159" s="26" t="s">
        <v>631</v>
      </c>
      <c r="F159" s="26" t="s">
        <v>2815</v>
      </c>
      <c r="G159" s="25" t="s">
        <v>1002</v>
      </c>
      <c r="H159" s="25" t="s">
        <v>3311</v>
      </c>
      <c r="I159" s="26" t="s">
        <v>1006</v>
      </c>
      <c r="J159" s="26"/>
      <c r="K159" s="26" t="s">
        <v>3312</v>
      </c>
      <c r="L159" s="26" t="s">
        <v>3284</v>
      </c>
    </row>
    <row r="160" spans="1:12" x14ac:dyDescent="0.35">
      <c r="A160" s="24">
        <v>1527</v>
      </c>
      <c r="B160" s="168">
        <v>20170</v>
      </c>
      <c r="C160" s="24" t="s">
        <v>1254</v>
      </c>
      <c r="D160" s="26" t="s">
        <v>635</v>
      </c>
      <c r="E160" s="26" t="s">
        <v>636</v>
      </c>
      <c r="F160" s="26" t="s">
        <v>2818</v>
      </c>
      <c r="G160" s="25" t="s">
        <v>1002</v>
      </c>
      <c r="H160" s="25" t="s">
        <v>3313</v>
      </c>
      <c r="I160" s="26" t="s">
        <v>1006</v>
      </c>
      <c r="J160" s="26"/>
      <c r="K160" s="26" t="s">
        <v>3314</v>
      </c>
      <c r="L160" s="26" t="s">
        <v>3284</v>
      </c>
    </row>
    <row r="161" spans="1:12" x14ac:dyDescent="0.35">
      <c r="A161" s="24">
        <v>881</v>
      </c>
      <c r="B161" s="168">
        <v>20169</v>
      </c>
      <c r="C161" s="24" t="s">
        <v>1254</v>
      </c>
      <c r="D161" s="26" t="s">
        <v>635</v>
      </c>
      <c r="E161" s="26" t="s">
        <v>636</v>
      </c>
      <c r="F161" s="26" t="s">
        <v>2817</v>
      </c>
      <c r="G161" s="25" t="s">
        <v>1002</v>
      </c>
      <c r="H161" s="25" t="s">
        <v>3315</v>
      </c>
      <c r="I161" s="26" t="s">
        <v>1016</v>
      </c>
      <c r="J161" s="26"/>
      <c r="K161" s="26"/>
      <c r="L161" s="26" t="s">
        <v>637</v>
      </c>
    </row>
    <row r="162" spans="1:12" ht="29" x14ac:dyDescent="0.35">
      <c r="A162" s="24">
        <v>883</v>
      </c>
      <c r="B162" s="168">
        <v>20171</v>
      </c>
      <c r="C162" s="24" t="s">
        <v>1254</v>
      </c>
      <c r="D162" s="26" t="s">
        <v>637</v>
      </c>
      <c r="E162" s="26" t="s">
        <v>638</v>
      </c>
      <c r="F162" s="26" t="s">
        <v>2819</v>
      </c>
      <c r="G162" s="25" t="s">
        <v>1002</v>
      </c>
      <c r="H162" s="25" t="s">
        <v>3316</v>
      </c>
      <c r="I162" s="26" t="s">
        <v>1006</v>
      </c>
      <c r="J162" s="26"/>
      <c r="K162" s="26" t="s">
        <v>3317</v>
      </c>
      <c r="L162" s="26" t="s">
        <v>3318</v>
      </c>
    </row>
    <row r="163" spans="1:12" x14ac:dyDescent="0.35">
      <c r="A163" s="24">
        <v>884</v>
      </c>
      <c r="B163" s="168">
        <v>20172</v>
      </c>
      <c r="C163" s="24" t="s">
        <v>1257</v>
      </c>
      <c r="D163" s="26" t="s">
        <v>640</v>
      </c>
      <c r="E163" s="26" t="s">
        <v>641</v>
      </c>
      <c r="F163" s="26" t="s">
        <v>2820</v>
      </c>
      <c r="G163" s="25" t="s">
        <v>1002</v>
      </c>
      <c r="H163" s="25" t="s">
        <v>3319</v>
      </c>
      <c r="I163" s="26" t="s">
        <v>1016</v>
      </c>
      <c r="J163" s="26"/>
      <c r="K163" s="26"/>
      <c r="L163" s="26" t="s">
        <v>642</v>
      </c>
    </row>
    <row r="164" spans="1:12" ht="29" x14ac:dyDescent="0.35">
      <c r="A164" s="24">
        <v>886</v>
      </c>
      <c r="B164" s="168">
        <v>20174</v>
      </c>
      <c r="C164" s="24" t="s">
        <v>1257</v>
      </c>
      <c r="D164" s="26" t="s">
        <v>642</v>
      </c>
      <c r="E164" s="26" t="s">
        <v>643</v>
      </c>
      <c r="F164" s="26" t="s">
        <v>2822</v>
      </c>
      <c r="G164" s="25" t="s">
        <v>1002</v>
      </c>
      <c r="H164" s="25" t="s">
        <v>3320</v>
      </c>
      <c r="I164" s="26" t="s">
        <v>1006</v>
      </c>
      <c r="J164" s="26"/>
      <c r="K164" s="26" t="s">
        <v>3321</v>
      </c>
      <c r="L164" s="26" t="s">
        <v>3322</v>
      </c>
    </row>
    <row r="165" spans="1:12" x14ac:dyDescent="0.35">
      <c r="A165" s="24">
        <v>1528</v>
      </c>
      <c r="B165" s="168">
        <v>20173</v>
      </c>
      <c r="C165" s="24" t="s">
        <v>1257</v>
      </c>
      <c r="D165" s="26" t="s">
        <v>640</v>
      </c>
      <c r="E165" s="26" t="s">
        <v>641</v>
      </c>
      <c r="F165" s="26" t="s">
        <v>2821</v>
      </c>
      <c r="G165" s="25" t="s">
        <v>1002</v>
      </c>
      <c r="H165" s="25" t="s">
        <v>3323</v>
      </c>
      <c r="I165" s="26" t="s">
        <v>1006</v>
      </c>
      <c r="J165" s="26"/>
      <c r="K165" s="26" t="s">
        <v>3324</v>
      </c>
      <c r="L165" s="26" t="s">
        <v>3284</v>
      </c>
    </row>
    <row r="166" spans="1:12" x14ac:dyDescent="0.35">
      <c r="A166" s="24">
        <v>1529</v>
      </c>
      <c r="B166" s="168">
        <v>20176</v>
      </c>
      <c r="C166" s="24" t="s">
        <v>1260</v>
      </c>
      <c r="D166" s="26" t="s">
        <v>645</v>
      </c>
      <c r="E166" s="26" t="s">
        <v>646</v>
      </c>
      <c r="F166" s="26" t="s">
        <v>2824</v>
      </c>
      <c r="G166" s="25" t="s">
        <v>1002</v>
      </c>
      <c r="H166" s="25" t="s">
        <v>3325</v>
      </c>
      <c r="I166" s="26" t="s">
        <v>1006</v>
      </c>
      <c r="J166" s="26"/>
      <c r="K166" s="26" t="s">
        <v>3326</v>
      </c>
      <c r="L166" s="26" t="s">
        <v>3284</v>
      </c>
    </row>
    <row r="167" spans="1:12" x14ac:dyDescent="0.35">
      <c r="A167" s="24">
        <v>887</v>
      </c>
      <c r="B167" s="168">
        <v>20175</v>
      </c>
      <c r="C167" s="24" t="s">
        <v>1260</v>
      </c>
      <c r="D167" s="26" t="s">
        <v>645</v>
      </c>
      <c r="E167" s="26" t="s">
        <v>646</v>
      </c>
      <c r="F167" s="26" t="s">
        <v>2823</v>
      </c>
      <c r="G167" s="25" t="s">
        <v>1002</v>
      </c>
      <c r="H167" s="25" t="s">
        <v>3327</v>
      </c>
      <c r="I167" s="26" t="s">
        <v>1016</v>
      </c>
      <c r="J167" s="26"/>
      <c r="K167" s="26"/>
      <c r="L167" s="26" t="s">
        <v>647</v>
      </c>
    </row>
    <row r="168" spans="1:12" ht="29" x14ac:dyDescent="0.35">
      <c r="A168" s="24">
        <v>889</v>
      </c>
      <c r="B168" s="168">
        <v>20177</v>
      </c>
      <c r="C168" s="24" t="s">
        <v>1260</v>
      </c>
      <c r="D168" s="26" t="s">
        <v>647</v>
      </c>
      <c r="E168" s="26" t="s">
        <v>648</v>
      </c>
      <c r="F168" s="26" t="s">
        <v>2825</v>
      </c>
      <c r="G168" s="25" t="s">
        <v>1002</v>
      </c>
      <c r="H168" s="25" t="s">
        <v>3328</v>
      </c>
      <c r="I168" s="26" t="s">
        <v>1006</v>
      </c>
      <c r="J168" s="26"/>
      <c r="K168" s="26" t="s">
        <v>3329</v>
      </c>
      <c r="L168" s="26" t="s">
        <v>3330</v>
      </c>
    </row>
    <row r="169" spans="1:12" x14ac:dyDescent="0.35">
      <c r="A169" s="24">
        <v>890</v>
      </c>
      <c r="B169" s="168">
        <v>20178</v>
      </c>
      <c r="C169" s="24" t="s">
        <v>1263</v>
      </c>
      <c r="D169" s="26" t="s">
        <v>650</v>
      </c>
      <c r="E169" s="26" t="s">
        <v>651</v>
      </c>
      <c r="F169" s="26" t="s">
        <v>2826</v>
      </c>
      <c r="G169" s="25" t="s">
        <v>1002</v>
      </c>
      <c r="H169" s="25" t="s">
        <v>3331</v>
      </c>
      <c r="I169" s="26" t="s">
        <v>1016</v>
      </c>
      <c r="J169" s="26"/>
      <c r="K169" s="26"/>
      <c r="L169" s="26" t="s">
        <v>652</v>
      </c>
    </row>
    <row r="170" spans="1:12" ht="29" x14ac:dyDescent="0.35">
      <c r="A170" s="24">
        <v>892</v>
      </c>
      <c r="B170" s="168">
        <v>20180</v>
      </c>
      <c r="C170" s="24" t="s">
        <v>1263</v>
      </c>
      <c r="D170" s="26" t="s">
        <v>652</v>
      </c>
      <c r="E170" s="26" t="s">
        <v>653</v>
      </c>
      <c r="F170" s="26" t="s">
        <v>2828</v>
      </c>
      <c r="G170" s="25" t="s">
        <v>1002</v>
      </c>
      <c r="H170" s="25" t="s">
        <v>3332</v>
      </c>
      <c r="I170" s="26" t="s">
        <v>1006</v>
      </c>
      <c r="J170" s="26"/>
      <c r="K170" s="26" t="s">
        <v>3333</v>
      </c>
      <c r="L170" s="26" t="s">
        <v>3334</v>
      </c>
    </row>
    <row r="171" spans="1:12" x14ac:dyDescent="0.35">
      <c r="A171" s="24">
        <v>1530</v>
      </c>
      <c r="B171" s="168">
        <v>20179</v>
      </c>
      <c r="C171" s="24" t="s">
        <v>1263</v>
      </c>
      <c r="D171" s="26" t="s">
        <v>650</v>
      </c>
      <c r="E171" s="26" t="s">
        <v>651</v>
      </c>
      <c r="F171" s="26" t="s">
        <v>2827</v>
      </c>
      <c r="G171" s="25" t="s">
        <v>1002</v>
      </c>
      <c r="H171" s="25" t="s">
        <v>3335</v>
      </c>
      <c r="I171" s="26" t="s">
        <v>1006</v>
      </c>
      <c r="J171" s="26"/>
      <c r="K171" s="26" t="s">
        <v>3336</v>
      </c>
      <c r="L171" s="26" t="s">
        <v>3284</v>
      </c>
    </row>
    <row r="172" spans="1:12" x14ac:dyDescent="0.35">
      <c r="A172" s="24">
        <v>1531</v>
      </c>
      <c r="B172" s="168">
        <v>20182</v>
      </c>
      <c r="C172" s="24" t="s">
        <v>1266</v>
      </c>
      <c r="D172" s="26" t="s">
        <v>655</v>
      </c>
      <c r="E172" s="26" t="s">
        <v>656</v>
      </c>
      <c r="F172" s="26" t="s">
        <v>2830</v>
      </c>
      <c r="G172" s="25" t="s">
        <v>1002</v>
      </c>
      <c r="H172" s="25" t="s">
        <v>3337</v>
      </c>
      <c r="I172" s="26" t="s">
        <v>1006</v>
      </c>
      <c r="J172" s="26"/>
      <c r="K172" s="26" t="s">
        <v>3338</v>
      </c>
      <c r="L172" s="26" t="s">
        <v>3284</v>
      </c>
    </row>
    <row r="173" spans="1:12" x14ac:dyDescent="0.35">
      <c r="A173" s="24">
        <v>893</v>
      </c>
      <c r="B173" s="168">
        <v>20181</v>
      </c>
      <c r="C173" s="24" t="s">
        <v>1266</v>
      </c>
      <c r="D173" s="26" t="s">
        <v>655</v>
      </c>
      <c r="E173" s="26" t="s">
        <v>656</v>
      </c>
      <c r="F173" s="26" t="s">
        <v>2829</v>
      </c>
      <c r="G173" s="25" t="s">
        <v>1002</v>
      </c>
      <c r="H173" s="25" t="s">
        <v>3339</v>
      </c>
      <c r="I173" s="26" t="s">
        <v>1016</v>
      </c>
      <c r="J173" s="26"/>
      <c r="K173" s="26"/>
      <c r="L173" s="26" t="s">
        <v>657</v>
      </c>
    </row>
    <row r="174" spans="1:12" ht="29" x14ac:dyDescent="0.35">
      <c r="A174" s="24">
        <v>895</v>
      </c>
      <c r="B174" s="168">
        <v>20183</v>
      </c>
      <c r="C174" s="24" t="s">
        <v>1266</v>
      </c>
      <c r="D174" s="26" t="s">
        <v>657</v>
      </c>
      <c r="E174" s="26" t="s">
        <v>658</v>
      </c>
      <c r="F174" s="26" t="s">
        <v>2831</v>
      </c>
      <c r="G174" s="25" t="s">
        <v>1002</v>
      </c>
      <c r="H174" s="25" t="s">
        <v>3340</v>
      </c>
      <c r="I174" s="26" t="s">
        <v>1006</v>
      </c>
      <c r="J174" s="26"/>
      <c r="K174" s="26" t="s">
        <v>3341</v>
      </c>
      <c r="L174" s="26" t="s">
        <v>3342</v>
      </c>
    </row>
    <row r="175" spans="1:12" x14ac:dyDescent="0.35">
      <c r="A175" s="24">
        <v>896</v>
      </c>
      <c r="B175" s="168">
        <v>20184</v>
      </c>
      <c r="C175" s="24" t="s">
        <v>1269</v>
      </c>
      <c r="D175" s="26" t="s">
        <v>660</v>
      </c>
      <c r="E175" s="26" t="s">
        <v>661</v>
      </c>
      <c r="F175" s="26" t="s">
        <v>2832</v>
      </c>
      <c r="G175" s="25" t="s">
        <v>1002</v>
      </c>
      <c r="H175" s="25" t="s">
        <v>3343</v>
      </c>
      <c r="I175" s="26" t="s">
        <v>1016</v>
      </c>
      <c r="J175" s="26"/>
      <c r="K175" s="26"/>
      <c r="L175" s="26" t="s">
        <v>663</v>
      </c>
    </row>
    <row r="176" spans="1:12" ht="29" x14ac:dyDescent="0.35">
      <c r="A176" s="24">
        <v>898</v>
      </c>
      <c r="B176" s="168">
        <v>20186</v>
      </c>
      <c r="C176" s="24" t="s">
        <v>1269</v>
      </c>
      <c r="D176" s="26" t="s">
        <v>663</v>
      </c>
      <c r="E176" s="26" t="s">
        <v>664</v>
      </c>
      <c r="F176" s="26" t="s">
        <v>2834</v>
      </c>
      <c r="G176" s="25" t="s">
        <v>1002</v>
      </c>
      <c r="H176" s="25" t="s">
        <v>3344</v>
      </c>
      <c r="I176" s="26" t="s">
        <v>1006</v>
      </c>
      <c r="J176" s="26"/>
      <c r="K176" s="26" t="s">
        <v>3345</v>
      </c>
      <c r="L176" s="26" t="s">
        <v>3346</v>
      </c>
    </row>
    <row r="177" spans="1:12" x14ac:dyDescent="0.35">
      <c r="A177" s="24">
        <v>1532</v>
      </c>
      <c r="B177" s="168">
        <v>20185</v>
      </c>
      <c r="C177" s="24" t="s">
        <v>1269</v>
      </c>
      <c r="D177" s="26" t="s">
        <v>660</v>
      </c>
      <c r="E177" s="26" t="s">
        <v>661</v>
      </c>
      <c r="F177" s="26" t="s">
        <v>2833</v>
      </c>
      <c r="G177" s="25" t="s">
        <v>1002</v>
      </c>
      <c r="H177" s="25" t="s">
        <v>3347</v>
      </c>
      <c r="I177" s="26" t="s">
        <v>1006</v>
      </c>
      <c r="J177" s="26"/>
      <c r="K177" s="26" t="s">
        <v>3348</v>
      </c>
      <c r="L177" s="26" t="s">
        <v>3284</v>
      </c>
    </row>
    <row r="178" spans="1:12" x14ac:dyDescent="0.35">
      <c r="A178" s="24">
        <v>1533</v>
      </c>
      <c r="B178" s="168">
        <v>20188</v>
      </c>
      <c r="C178" s="24" t="s">
        <v>1272</v>
      </c>
      <c r="D178" s="26" t="s">
        <v>667</v>
      </c>
      <c r="E178" s="26" t="s">
        <v>668</v>
      </c>
      <c r="F178" s="26" t="s">
        <v>2836</v>
      </c>
      <c r="G178" s="25" t="s">
        <v>1002</v>
      </c>
      <c r="H178" s="25" t="s">
        <v>3349</v>
      </c>
      <c r="I178" s="26" t="s">
        <v>1006</v>
      </c>
      <c r="J178" s="26"/>
      <c r="K178" s="26" t="s">
        <v>3350</v>
      </c>
      <c r="L178" s="26" t="s">
        <v>3284</v>
      </c>
    </row>
    <row r="179" spans="1:12" x14ac:dyDescent="0.35">
      <c r="A179" s="24">
        <v>899</v>
      </c>
      <c r="B179" s="168">
        <v>20187</v>
      </c>
      <c r="C179" s="24" t="s">
        <v>1272</v>
      </c>
      <c r="D179" s="26" t="s">
        <v>667</v>
      </c>
      <c r="E179" s="26" t="s">
        <v>668</v>
      </c>
      <c r="F179" s="26" t="s">
        <v>2835</v>
      </c>
      <c r="G179" s="25" t="s">
        <v>1002</v>
      </c>
      <c r="H179" s="25" t="s">
        <v>3351</v>
      </c>
      <c r="I179" s="26" t="s">
        <v>1016</v>
      </c>
      <c r="J179" s="26"/>
      <c r="K179" s="26"/>
      <c r="L179" s="26" t="s">
        <v>670</v>
      </c>
    </row>
    <row r="180" spans="1:12" ht="29" x14ac:dyDescent="0.35">
      <c r="A180" s="24">
        <v>901</v>
      </c>
      <c r="B180" s="168">
        <v>20189</v>
      </c>
      <c r="C180" s="24" t="s">
        <v>1272</v>
      </c>
      <c r="D180" s="26" t="s">
        <v>670</v>
      </c>
      <c r="E180" s="26" t="s">
        <v>671</v>
      </c>
      <c r="F180" s="26" t="s">
        <v>2837</v>
      </c>
      <c r="G180" s="25" t="s">
        <v>1002</v>
      </c>
      <c r="H180" s="25" t="s">
        <v>3352</v>
      </c>
      <c r="I180" s="26" t="s">
        <v>1006</v>
      </c>
      <c r="J180" s="26"/>
      <c r="K180" s="26" t="s">
        <v>3353</v>
      </c>
      <c r="L180" s="26" t="s">
        <v>3354</v>
      </c>
    </row>
    <row r="181" spans="1:12" x14ac:dyDescent="0.35">
      <c r="A181" s="24">
        <v>902</v>
      </c>
      <c r="B181" s="168">
        <v>20190</v>
      </c>
      <c r="C181" s="24" t="s">
        <v>1275</v>
      </c>
      <c r="D181" s="26" t="s">
        <v>674</v>
      </c>
      <c r="E181" s="26" t="s">
        <v>675</v>
      </c>
      <c r="F181" s="26" t="s">
        <v>2838</v>
      </c>
      <c r="G181" s="25" t="s">
        <v>1002</v>
      </c>
      <c r="H181" s="25" t="s">
        <v>3355</v>
      </c>
      <c r="I181" s="26" t="s">
        <v>1016</v>
      </c>
      <c r="J181" s="26"/>
      <c r="K181" s="26"/>
      <c r="L181" s="26" t="s">
        <v>677</v>
      </c>
    </row>
    <row r="182" spans="1:12" ht="29" x14ac:dyDescent="0.35">
      <c r="A182" s="24">
        <v>904</v>
      </c>
      <c r="B182" s="168">
        <v>20192</v>
      </c>
      <c r="C182" s="24" t="s">
        <v>1275</v>
      </c>
      <c r="D182" s="26" t="s">
        <v>677</v>
      </c>
      <c r="E182" s="26" t="s">
        <v>678</v>
      </c>
      <c r="F182" s="26" t="s">
        <v>2840</v>
      </c>
      <c r="G182" s="25" t="s">
        <v>1002</v>
      </c>
      <c r="H182" s="25" t="s">
        <v>3356</v>
      </c>
      <c r="I182" s="26" t="s">
        <v>1006</v>
      </c>
      <c r="J182" s="26"/>
      <c r="K182" s="26" t="s">
        <v>3357</v>
      </c>
      <c r="L182" s="26" t="s">
        <v>3358</v>
      </c>
    </row>
    <row r="183" spans="1:12" x14ac:dyDescent="0.35">
      <c r="A183" s="24">
        <v>1534</v>
      </c>
      <c r="B183" s="168">
        <v>20191</v>
      </c>
      <c r="C183" s="24" t="s">
        <v>1275</v>
      </c>
      <c r="D183" s="26" t="s">
        <v>674</v>
      </c>
      <c r="E183" s="26" t="s">
        <v>675</v>
      </c>
      <c r="F183" s="26" t="s">
        <v>2839</v>
      </c>
      <c r="G183" s="25" t="s">
        <v>1002</v>
      </c>
      <c r="H183" s="25" t="s">
        <v>3359</v>
      </c>
      <c r="I183" s="26" t="s">
        <v>1006</v>
      </c>
      <c r="J183" s="26"/>
      <c r="K183" s="26" t="s">
        <v>3360</v>
      </c>
      <c r="L183" s="26" t="s">
        <v>3284</v>
      </c>
    </row>
    <row r="184" spans="1:12" x14ac:dyDescent="0.35">
      <c r="A184" s="24">
        <v>1535</v>
      </c>
      <c r="B184" s="168">
        <v>20194</v>
      </c>
      <c r="C184" s="24" t="s">
        <v>1278</v>
      </c>
      <c r="D184" s="26" t="s">
        <v>681</v>
      </c>
      <c r="E184" s="26" t="s">
        <v>682</v>
      </c>
      <c r="F184" s="26" t="s">
        <v>2842</v>
      </c>
      <c r="G184" s="25" t="s">
        <v>1002</v>
      </c>
      <c r="H184" s="25" t="s">
        <v>3361</v>
      </c>
      <c r="I184" s="26" t="s">
        <v>1006</v>
      </c>
      <c r="J184" s="26"/>
      <c r="K184" s="26" t="s">
        <v>3362</v>
      </c>
      <c r="L184" s="26" t="s">
        <v>3284</v>
      </c>
    </row>
    <row r="185" spans="1:12" x14ac:dyDescent="0.35">
      <c r="A185" s="24">
        <v>905</v>
      </c>
      <c r="B185" s="168">
        <v>20193</v>
      </c>
      <c r="C185" s="24" t="s">
        <v>1278</v>
      </c>
      <c r="D185" s="26" t="s">
        <v>681</v>
      </c>
      <c r="E185" s="26" t="s">
        <v>682</v>
      </c>
      <c r="F185" s="26" t="s">
        <v>2841</v>
      </c>
      <c r="G185" s="25" t="s">
        <v>1002</v>
      </c>
      <c r="H185" s="25" t="s">
        <v>3363</v>
      </c>
      <c r="I185" s="26" t="s">
        <v>1016</v>
      </c>
      <c r="J185" s="26"/>
      <c r="K185" s="26"/>
      <c r="L185" s="26" t="s">
        <v>684</v>
      </c>
    </row>
    <row r="186" spans="1:12" ht="29" x14ac:dyDescent="0.35">
      <c r="A186" s="24">
        <v>907</v>
      </c>
      <c r="B186" s="168">
        <v>20195</v>
      </c>
      <c r="C186" s="24" t="s">
        <v>1278</v>
      </c>
      <c r="D186" s="26" t="s">
        <v>684</v>
      </c>
      <c r="E186" s="26" t="s">
        <v>685</v>
      </c>
      <c r="F186" s="26" t="s">
        <v>2843</v>
      </c>
      <c r="G186" s="25" t="s">
        <v>1002</v>
      </c>
      <c r="H186" s="25" t="s">
        <v>3364</v>
      </c>
      <c r="I186" s="26" t="s">
        <v>1006</v>
      </c>
      <c r="J186" s="26"/>
      <c r="K186" s="26" t="s">
        <v>3365</v>
      </c>
      <c r="L186" s="26" t="s">
        <v>3366</v>
      </c>
    </row>
    <row r="187" spans="1:12" x14ac:dyDescent="0.35">
      <c r="A187" s="24">
        <v>908</v>
      </c>
      <c r="B187" s="168">
        <v>20196</v>
      </c>
      <c r="C187" s="24" t="s">
        <v>1281</v>
      </c>
      <c r="D187" s="26" t="s">
        <v>688</v>
      </c>
      <c r="E187" s="26" t="s">
        <v>689</v>
      </c>
      <c r="F187" s="26" t="s">
        <v>2844</v>
      </c>
      <c r="G187" s="25" t="s">
        <v>1002</v>
      </c>
      <c r="H187" s="25" t="s">
        <v>3367</v>
      </c>
      <c r="I187" s="26" t="s">
        <v>1016</v>
      </c>
      <c r="J187" s="26"/>
      <c r="K187" s="26"/>
      <c r="L187" s="26" t="s">
        <v>2183</v>
      </c>
    </row>
    <row r="188" spans="1:12" ht="29" x14ac:dyDescent="0.35">
      <c r="A188" s="24">
        <v>910</v>
      </c>
      <c r="B188" s="168">
        <v>20198</v>
      </c>
      <c r="C188" s="24" t="s">
        <v>1281</v>
      </c>
      <c r="D188" s="26" t="s">
        <v>684</v>
      </c>
      <c r="E188" s="26" t="s">
        <v>691</v>
      </c>
      <c r="F188" s="26" t="s">
        <v>2846</v>
      </c>
      <c r="G188" s="25" t="s">
        <v>1002</v>
      </c>
      <c r="H188" s="25" t="s">
        <v>3368</v>
      </c>
      <c r="I188" s="26" t="s">
        <v>1006</v>
      </c>
      <c r="J188" s="26"/>
      <c r="K188" s="26" t="s">
        <v>3369</v>
      </c>
      <c r="L188" s="26" t="s">
        <v>3370</v>
      </c>
    </row>
    <row r="189" spans="1:12" x14ac:dyDescent="0.35">
      <c r="A189" s="24">
        <v>1536</v>
      </c>
      <c r="B189" s="168">
        <v>20197</v>
      </c>
      <c r="C189" s="24" t="s">
        <v>1281</v>
      </c>
      <c r="D189" s="26" t="s">
        <v>688</v>
      </c>
      <c r="E189" s="26" t="s">
        <v>689</v>
      </c>
      <c r="F189" s="26" t="s">
        <v>2845</v>
      </c>
      <c r="G189" s="25" t="s">
        <v>1002</v>
      </c>
      <c r="H189" s="25" t="s">
        <v>3371</v>
      </c>
      <c r="I189" s="26" t="s">
        <v>1006</v>
      </c>
      <c r="J189" s="26"/>
      <c r="K189" s="26" t="s">
        <v>3372</v>
      </c>
      <c r="L189" s="26" t="s">
        <v>3284</v>
      </c>
    </row>
    <row r="190" spans="1:12" x14ac:dyDescent="0.35">
      <c r="A190" s="24">
        <v>1537</v>
      </c>
      <c r="B190" s="168">
        <v>20200</v>
      </c>
      <c r="C190" s="24" t="s">
        <v>1284</v>
      </c>
      <c r="D190" s="26" t="s">
        <v>694</v>
      </c>
      <c r="E190" s="26" t="s">
        <v>695</v>
      </c>
      <c r="F190" s="26" t="s">
        <v>2848</v>
      </c>
      <c r="G190" s="25" t="s">
        <v>1002</v>
      </c>
      <c r="H190" s="25" t="s">
        <v>3373</v>
      </c>
      <c r="I190" s="26" t="s">
        <v>1006</v>
      </c>
      <c r="J190" s="26"/>
      <c r="K190" s="26" t="s">
        <v>3374</v>
      </c>
      <c r="L190" s="26" t="s">
        <v>3284</v>
      </c>
    </row>
    <row r="191" spans="1:12" x14ac:dyDescent="0.35">
      <c r="A191" s="24">
        <v>911</v>
      </c>
      <c r="B191" s="168">
        <v>20199</v>
      </c>
      <c r="C191" s="24" t="s">
        <v>1284</v>
      </c>
      <c r="D191" s="26" t="s">
        <v>694</v>
      </c>
      <c r="E191" s="26" t="s">
        <v>695</v>
      </c>
      <c r="F191" s="26" t="s">
        <v>2847</v>
      </c>
      <c r="G191" s="25" t="s">
        <v>1002</v>
      </c>
      <c r="H191" s="25" t="s">
        <v>3375</v>
      </c>
      <c r="I191" s="26" t="s">
        <v>1016</v>
      </c>
      <c r="J191" s="26"/>
      <c r="K191" s="26"/>
      <c r="L191" s="26" t="s">
        <v>697</v>
      </c>
    </row>
    <row r="192" spans="1:12" ht="29" x14ac:dyDescent="0.35">
      <c r="A192" s="24">
        <v>913</v>
      </c>
      <c r="B192" s="168">
        <v>20201</v>
      </c>
      <c r="C192" s="24" t="s">
        <v>1284</v>
      </c>
      <c r="D192" s="26" t="s">
        <v>697</v>
      </c>
      <c r="E192" s="26" t="s">
        <v>698</v>
      </c>
      <c r="F192" s="26" t="s">
        <v>2849</v>
      </c>
      <c r="G192" s="25" t="s">
        <v>1002</v>
      </c>
      <c r="H192" s="25" t="s">
        <v>3376</v>
      </c>
      <c r="I192" s="26" t="s">
        <v>1006</v>
      </c>
      <c r="J192" s="26"/>
      <c r="K192" s="26" t="s">
        <v>3377</v>
      </c>
      <c r="L192" s="26" t="s">
        <v>3378</v>
      </c>
    </row>
    <row r="193" spans="1:12" x14ac:dyDescent="0.35">
      <c r="A193" s="24">
        <v>917</v>
      </c>
      <c r="B193" s="168">
        <v>20205</v>
      </c>
      <c r="C193" s="24" t="s">
        <v>1290</v>
      </c>
      <c r="D193" s="26" t="s">
        <v>708</v>
      </c>
      <c r="E193" s="26" t="s">
        <v>709</v>
      </c>
      <c r="F193" s="26" t="s">
        <v>2853</v>
      </c>
      <c r="G193" s="25" t="s">
        <v>1002</v>
      </c>
      <c r="H193" s="25" t="s">
        <v>3379</v>
      </c>
      <c r="I193" s="26" t="s">
        <v>1016</v>
      </c>
      <c r="J193" s="26"/>
      <c r="K193" s="26"/>
      <c r="L193" s="26" t="s">
        <v>711</v>
      </c>
    </row>
    <row r="194" spans="1:12" ht="29" x14ac:dyDescent="0.35">
      <c r="A194" s="24">
        <v>919</v>
      </c>
      <c r="B194" s="168">
        <v>20207</v>
      </c>
      <c r="C194" s="24" t="s">
        <v>1290</v>
      </c>
      <c r="D194" s="26" t="s">
        <v>711</v>
      </c>
      <c r="E194" s="26" t="s">
        <v>712</v>
      </c>
      <c r="F194" s="26" t="s">
        <v>2855</v>
      </c>
      <c r="G194" s="25" t="s">
        <v>1002</v>
      </c>
      <c r="H194" s="25" t="s">
        <v>3380</v>
      </c>
      <c r="I194" s="26" t="s">
        <v>1006</v>
      </c>
      <c r="J194" s="26"/>
      <c r="K194" s="26" t="s">
        <v>3381</v>
      </c>
      <c r="L194" s="26" t="s">
        <v>3382</v>
      </c>
    </row>
    <row r="195" spans="1:12" x14ac:dyDescent="0.35">
      <c r="A195" s="24">
        <v>1539</v>
      </c>
      <c r="B195" s="168">
        <v>20206</v>
      </c>
      <c r="C195" s="24" t="s">
        <v>1290</v>
      </c>
      <c r="D195" s="26" t="s">
        <v>708</v>
      </c>
      <c r="E195" s="26" t="s">
        <v>709</v>
      </c>
      <c r="F195" s="26" t="s">
        <v>2854</v>
      </c>
      <c r="G195" s="25" t="s">
        <v>1002</v>
      </c>
      <c r="H195" s="25" t="s">
        <v>3383</v>
      </c>
      <c r="I195" s="26" t="s">
        <v>1006</v>
      </c>
      <c r="J195" s="26"/>
      <c r="K195" s="26" t="s">
        <v>3384</v>
      </c>
      <c r="L195" s="26" t="s">
        <v>3284</v>
      </c>
    </row>
    <row r="196" spans="1:12" x14ac:dyDescent="0.35">
      <c r="A196" s="24">
        <v>1540</v>
      </c>
      <c r="B196" s="168">
        <v>20209</v>
      </c>
      <c r="C196" s="24" t="s">
        <v>1293</v>
      </c>
      <c r="D196" s="26" t="s">
        <v>715</v>
      </c>
      <c r="E196" s="26" t="s">
        <v>716</v>
      </c>
      <c r="F196" s="26" t="s">
        <v>2857</v>
      </c>
      <c r="G196" s="25" t="s">
        <v>1002</v>
      </c>
      <c r="H196" s="25" t="s">
        <v>3385</v>
      </c>
      <c r="I196" s="26" t="s">
        <v>1006</v>
      </c>
      <c r="J196" s="26"/>
      <c r="K196" s="26" t="s">
        <v>3386</v>
      </c>
      <c r="L196" s="26" t="s">
        <v>3284</v>
      </c>
    </row>
    <row r="197" spans="1:12" x14ac:dyDescent="0.35">
      <c r="A197" s="24">
        <v>920</v>
      </c>
      <c r="B197" s="168">
        <v>20208</v>
      </c>
      <c r="C197" s="24" t="s">
        <v>1293</v>
      </c>
      <c r="D197" s="26" t="s">
        <v>715</v>
      </c>
      <c r="E197" s="26" t="s">
        <v>716</v>
      </c>
      <c r="F197" s="26" t="s">
        <v>2856</v>
      </c>
      <c r="G197" s="25" t="s">
        <v>1002</v>
      </c>
      <c r="H197" s="25" t="s">
        <v>3387</v>
      </c>
      <c r="I197" s="26" t="s">
        <v>1016</v>
      </c>
      <c r="J197" s="26"/>
      <c r="K197" s="26"/>
      <c r="L197" s="26" t="s">
        <v>718</v>
      </c>
    </row>
    <row r="198" spans="1:12" ht="29" x14ac:dyDescent="0.35">
      <c r="A198" s="24">
        <v>922</v>
      </c>
      <c r="B198" s="168">
        <v>20210</v>
      </c>
      <c r="C198" s="24" t="s">
        <v>1293</v>
      </c>
      <c r="D198" s="26" t="s">
        <v>718</v>
      </c>
      <c r="E198" s="26" t="s">
        <v>719</v>
      </c>
      <c r="F198" s="26" t="s">
        <v>2858</v>
      </c>
      <c r="G198" s="25" t="s">
        <v>1002</v>
      </c>
      <c r="H198" s="25" t="s">
        <v>3388</v>
      </c>
      <c r="I198" s="26" t="s">
        <v>1006</v>
      </c>
      <c r="J198" s="26"/>
      <c r="K198" s="26" t="s">
        <v>3389</v>
      </c>
      <c r="L198" s="26" t="s">
        <v>3390</v>
      </c>
    </row>
    <row r="199" spans="1:12" ht="29" x14ac:dyDescent="0.35">
      <c r="A199" s="24">
        <v>927</v>
      </c>
      <c r="B199" s="168">
        <v>20211</v>
      </c>
      <c r="C199" s="24">
        <v>69</v>
      </c>
      <c r="D199" s="26" t="s">
        <v>728</v>
      </c>
      <c r="E199" s="26" t="s">
        <v>729</v>
      </c>
      <c r="F199" s="26" t="s">
        <v>2859</v>
      </c>
      <c r="G199" s="25" t="s">
        <v>1002</v>
      </c>
      <c r="H199" s="25" t="s">
        <v>3391</v>
      </c>
      <c r="I199" s="26" t="s">
        <v>1016</v>
      </c>
      <c r="J199" s="26"/>
      <c r="K199" s="26"/>
      <c r="L199" s="26" t="s">
        <v>728</v>
      </c>
    </row>
    <row r="200" spans="1:12" ht="29" x14ac:dyDescent="0.35">
      <c r="A200" s="24">
        <v>1551</v>
      </c>
      <c r="B200" s="168">
        <v>20212</v>
      </c>
      <c r="C200" s="24">
        <v>69</v>
      </c>
      <c r="D200" s="26" t="s">
        <v>728</v>
      </c>
      <c r="E200" s="26" t="s">
        <v>729</v>
      </c>
      <c r="F200" s="26" t="s">
        <v>2860</v>
      </c>
      <c r="G200" s="25" t="s">
        <v>1002</v>
      </c>
      <c r="H200" s="25" t="s">
        <v>3392</v>
      </c>
      <c r="I200" s="26" t="s">
        <v>1006</v>
      </c>
      <c r="J200" s="26"/>
      <c r="K200" s="26" t="s">
        <v>3393</v>
      </c>
      <c r="L200" s="26" t="s">
        <v>3394</v>
      </c>
    </row>
    <row r="201" spans="1:12" ht="29" x14ac:dyDescent="0.35">
      <c r="A201" s="24">
        <v>1541</v>
      </c>
      <c r="B201" s="168">
        <v>20314</v>
      </c>
      <c r="C201" s="24">
        <v>70</v>
      </c>
      <c r="D201" s="26" t="s">
        <v>2868</v>
      </c>
      <c r="E201" s="26" t="s">
        <v>1377</v>
      </c>
      <c r="F201" s="26" t="s">
        <v>2862</v>
      </c>
      <c r="G201" s="25" t="s">
        <v>1002</v>
      </c>
      <c r="H201" s="25" t="s">
        <v>3395</v>
      </c>
      <c r="I201" s="26" t="s">
        <v>1006</v>
      </c>
      <c r="J201" s="26"/>
      <c r="K201" s="26" t="s">
        <v>3396</v>
      </c>
      <c r="L201" s="26" t="s">
        <v>3397</v>
      </c>
    </row>
    <row r="202" spans="1:12" ht="29" x14ac:dyDescent="0.35">
      <c r="A202" s="24">
        <v>1542</v>
      </c>
      <c r="B202" s="168">
        <v>20315</v>
      </c>
      <c r="C202" s="24">
        <v>70</v>
      </c>
      <c r="D202" s="26" t="s">
        <v>2868</v>
      </c>
      <c r="E202" s="26" t="s">
        <v>1377</v>
      </c>
      <c r="F202" s="26" t="s">
        <v>2864</v>
      </c>
      <c r="G202" s="25" t="s">
        <v>1002</v>
      </c>
      <c r="H202" s="25" t="s">
        <v>3398</v>
      </c>
      <c r="I202" s="26" t="s">
        <v>1006</v>
      </c>
      <c r="J202" s="26"/>
      <c r="K202" s="26" t="s">
        <v>3399</v>
      </c>
      <c r="L202" s="26" t="s">
        <v>3397</v>
      </c>
    </row>
    <row r="203" spans="1:12" ht="29" x14ac:dyDescent="0.35">
      <c r="A203" s="24">
        <v>1543</v>
      </c>
      <c r="B203" s="168">
        <v>20316</v>
      </c>
      <c r="C203" s="24">
        <v>70</v>
      </c>
      <c r="D203" s="26" t="s">
        <v>2868</v>
      </c>
      <c r="E203" s="26" t="s">
        <v>1377</v>
      </c>
      <c r="F203" s="26" t="s">
        <v>2866</v>
      </c>
      <c r="G203" s="25" t="s">
        <v>1002</v>
      </c>
      <c r="H203" s="25" t="s">
        <v>3400</v>
      </c>
      <c r="I203" s="26" t="s">
        <v>1006</v>
      </c>
      <c r="J203" s="26"/>
      <c r="K203" s="26" t="s">
        <v>3401</v>
      </c>
      <c r="L203" s="26" t="s">
        <v>3397</v>
      </c>
    </row>
    <row r="204" spans="1:12" ht="29" x14ac:dyDescent="0.35">
      <c r="A204" s="24">
        <v>928</v>
      </c>
      <c r="B204" s="168">
        <v>20213</v>
      </c>
      <c r="C204" s="24" t="s">
        <v>1297</v>
      </c>
      <c r="D204" s="26" t="s">
        <v>731</v>
      </c>
      <c r="E204" s="26" t="s">
        <v>732</v>
      </c>
      <c r="F204" s="26" t="s">
        <v>2861</v>
      </c>
      <c r="G204" s="25" t="s">
        <v>1002</v>
      </c>
      <c r="H204" s="25" t="s">
        <v>3402</v>
      </c>
      <c r="I204" s="26" t="s">
        <v>1016</v>
      </c>
      <c r="J204" s="26"/>
      <c r="K204" s="26"/>
      <c r="L204" s="26" t="s">
        <v>731</v>
      </c>
    </row>
    <row r="205" spans="1:12" ht="29" x14ac:dyDescent="0.35">
      <c r="A205" s="24">
        <v>929</v>
      </c>
      <c r="B205" s="168">
        <v>20215</v>
      </c>
      <c r="C205" s="24" t="s">
        <v>1299</v>
      </c>
      <c r="D205" s="26" t="s">
        <v>734</v>
      </c>
      <c r="E205" s="26" t="s">
        <v>735</v>
      </c>
      <c r="F205" s="26" t="s">
        <v>2863</v>
      </c>
      <c r="G205" s="25" t="s">
        <v>1002</v>
      </c>
      <c r="H205" s="25" t="s">
        <v>3403</v>
      </c>
      <c r="I205" s="26" t="s">
        <v>1016</v>
      </c>
      <c r="J205" s="26"/>
      <c r="K205" s="26"/>
      <c r="L205" s="26" t="s">
        <v>734</v>
      </c>
    </row>
    <row r="206" spans="1:12" ht="29" x14ac:dyDescent="0.35">
      <c r="A206" s="24">
        <v>930</v>
      </c>
      <c r="B206" s="168">
        <v>20217</v>
      </c>
      <c r="C206" s="24" t="s">
        <v>1301</v>
      </c>
      <c r="D206" s="26" t="s">
        <v>737</v>
      </c>
      <c r="E206" s="26" t="s">
        <v>738</v>
      </c>
      <c r="F206" s="26" t="s">
        <v>2865</v>
      </c>
      <c r="G206" s="25" t="s">
        <v>1002</v>
      </c>
      <c r="H206" s="25" t="s">
        <v>3404</v>
      </c>
      <c r="I206" s="26" t="s">
        <v>1016</v>
      </c>
      <c r="J206" s="26"/>
      <c r="K206" s="26"/>
      <c r="L206" s="26" t="s">
        <v>737</v>
      </c>
    </row>
    <row r="207" spans="1:12" ht="29" x14ac:dyDescent="0.35">
      <c r="A207" s="24">
        <v>931</v>
      </c>
      <c r="B207" s="168">
        <v>20219</v>
      </c>
      <c r="C207" s="24">
        <v>71</v>
      </c>
      <c r="D207" s="26" t="s">
        <v>740</v>
      </c>
      <c r="E207" s="26" t="s">
        <v>741</v>
      </c>
      <c r="F207" s="26" t="s">
        <v>2869</v>
      </c>
      <c r="G207" s="25" t="s">
        <v>1002</v>
      </c>
      <c r="H207" s="25" t="s">
        <v>3405</v>
      </c>
      <c r="I207" s="26" t="s">
        <v>1006</v>
      </c>
      <c r="J207" s="26"/>
      <c r="K207" s="26" t="s">
        <v>3406</v>
      </c>
      <c r="L207" s="26" t="s">
        <v>740</v>
      </c>
    </row>
    <row r="208" spans="1:12" ht="29" x14ac:dyDescent="0.35">
      <c r="A208" s="24">
        <v>932</v>
      </c>
      <c r="B208" s="168">
        <v>20220</v>
      </c>
      <c r="C208" s="24" t="s">
        <v>1305</v>
      </c>
      <c r="D208" s="26" t="s">
        <v>2870</v>
      </c>
      <c r="E208" s="26" t="s">
        <v>744</v>
      </c>
      <c r="F208" s="26" t="s">
        <v>2871</v>
      </c>
      <c r="G208" s="25" t="s">
        <v>1002</v>
      </c>
      <c r="H208" s="25" t="s">
        <v>3407</v>
      </c>
      <c r="I208" s="26" t="s">
        <v>1016</v>
      </c>
      <c r="J208" s="26"/>
      <c r="K208" s="26"/>
      <c r="L208" s="26" t="s">
        <v>2870</v>
      </c>
    </row>
    <row r="209" spans="1:12" ht="29" x14ac:dyDescent="0.35">
      <c r="A209" s="24">
        <v>933</v>
      </c>
      <c r="B209" s="168">
        <v>20223</v>
      </c>
      <c r="C209" s="24" t="s">
        <v>1305</v>
      </c>
      <c r="D209" s="26" t="s">
        <v>2876</v>
      </c>
      <c r="E209" s="26" t="s">
        <v>746</v>
      </c>
      <c r="F209" s="26" t="s">
        <v>2878</v>
      </c>
      <c r="G209" s="25" t="s">
        <v>1002</v>
      </c>
      <c r="H209" s="25" t="s">
        <v>3408</v>
      </c>
      <c r="I209" s="26" t="s">
        <v>1016</v>
      </c>
      <c r="J209" s="26"/>
      <c r="K209" s="26"/>
      <c r="L209" s="26" t="s">
        <v>3409</v>
      </c>
    </row>
    <row r="210" spans="1:12" ht="29" x14ac:dyDescent="0.35">
      <c r="A210" s="24">
        <v>1520</v>
      </c>
      <c r="B210" s="168">
        <v>20221</v>
      </c>
      <c r="C210" s="24" t="s">
        <v>1305</v>
      </c>
      <c r="D210" s="26" t="s">
        <v>2872</v>
      </c>
      <c r="E210" s="26" t="s">
        <v>744</v>
      </c>
      <c r="F210" s="26" t="s">
        <v>2873</v>
      </c>
      <c r="G210" s="25" t="s">
        <v>1002</v>
      </c>
      <c r="H210" s="25" t="s">
        <v>3410</v>
      </c>
      <c r="I210" s="26" t="s">
        <v>1006</v>
      </c>
      <c r="J210" s="26"/>
      <c r="K210" s="26" t="s">
        <v>3411</v>
      </c>
      <c r="L210" s="26" t="s">
        <v>3412</v>
      </c>
    </row>
    <row r="211" spans="1:12" ht="29" x14ac:dyDescent="0.35">
      <c r="A211" s="24">
        <v>1521</v>
      </c>
      <c r="B211" s="168">
        <v>20225</v>
      </c>
      <c r="C211" s="24" t="s">
        <v>1308</v>
      </c>
      <c r="D211" s="26" t="s">
        <v>2872</v>
      </c>
      <c r="E211" s="26" t="s">
        <v>749</v>
      </c>
      <c r="F211" s="26" t="s">
        <v>2880</v>
      </c>
      <c r="G211" s="25" t="s">
        <v>1002</v>
      </c>
      <c r="H211" s="25" t="s">
        <v>3410</v>
      </c>
      <c r="I211" s="26" t="s">
        <v>1006</v>
      </c>
      <c r="J211" s="26"/>
      <c r="K211" s="26" t="s">
        <v>3413</v>
      </c>
      <c r="L211" s="26" t="s">
        <v>3412</v>
      </c>
    </row>
    <row r="212" spans="1:12" ht="29" x14ac:dyDescent="0.35">
      <c r="A212" s="24">
        <v>934</v>
      </c>
      <c r="B212" s="168">
        <v>20224</v>
      </c>
      <c r="C212" s="24" t="s">
        <v>1308</v>
      </c>
      <c r="D212" s="26" t="s">
        <v>2870</v>
      </c>
      <c r="E212" s="26" t="s">
        <v>749</v>
      </c>
      <c r="F212" s="26" t="s">
        <v>2879</v>
      </c>
      <c r="G212" s="25" t="s">
        <v>1002</v>
      </c>
      <c r="H212" s="25" t="s">
        <v>3414</v>
      </c>
      <c r="I212" s="26" t="s">
        <v>1016</v>
      </c>
      <c r="J212" s="26"/>
      <c r="K212" s="26"/>
      <c r="L212" s="26" t="s">
        <v>2870</v>
      </c>
    </row>
    <row r="213" spans="1:12" ht="29" x14ac:dyDescent="0.35">
      <c r="A213" s="24">
        <v>935</v>
      </c>
      <c r="B213" s="168">
        <v>20227</v>
      </c>
      <c r="C213" s="24" t="s">
        <v>1308</v>
      </c>
      <c r="D213" s="26" t="s">
        <v>2876</v>
      </c>
      <c r="E213" s="26" t="s">
        <v>751</v>
      </c>
      <c r="F213" s="26" t="s">
        <v>2882</v>
      </c>
      <c r="G213" s="25" t="s">
        <v>1002</v>
      </c>
      <c r="H213" s="25" t="s">
        <v>3415</v>
      </c>
      <c r="I213" s="26" t="s">
        <v>1016</v>
      </c>
      <c r="J213" s="26"/>
      <c r="K213" s="26"/>
      <c r="L213" s="26" t="s">
        <v>3416</v>
      </c>
    </row>
    <row r="214" spans="1:12" ht="29" x14ac:dyDescent="0.35">
      <c r="A214" s="24">
        <v>936</v>
      </c>
      <c r="B214" s="168">
        <v>20228</v>
      </c>
      <c r="C214" s="24" t="s">
        <v>1311</v>
      </c>
      <c r="D214" s="26" t="s">
        <v>2870</v>
      </c>
      <c r="E214" s="26" t="s">
        <v>754</v>
      </c>
      <c r="F214" s="26" t="s">
        <v>2883</v>
      </c>
      <c r="G214" s="25" t="s">
        <v>1002</v>
      </c>
      <c r="H214" s="25" t="s">
        <v>3417</v>
      </c>
      <c r="I214" s="26" t="s">
        <v>1016</v>
      </c>
      <c r="J214" s="26"/>
      <c r="K214" s="26"/>
      <c r="L214" s="26" t="s">
        <v>2870</v>
      </c>
    </row>
    <row r="215" spans="1:12" ht="29" x14ac:dyDescent="0.35">
      <c r="A215" s="24">
        <v>937</v>
      </c>
      <c r="B215" s="168">
        <v>20231</v>
      </c>
      <c r="C215" s="24" t="s">
        <v>1311</v>
      </c>
      <c r="D215" s="26" t="s">
        <v>2876</v>
      </c>
      <c r="E215" s="26" t="s">
        <v>756</v>
      </c>
      <c r="F215" s="26" t="s">
        <v>2886</v>
      </c>
      <c r="G215" s="25" t="s">
        <v>1002</v>
      </c>
      <c r="H215" s="25" t="s">
        <v>3418</v>
      </c>
      <c r="I215" s="26" t="s">
        <v>1016</v>
      </c>
      <c r="J215" s="26"/>
      <c r="K215" s="26"/>
      <c r="L215" s="26" t="s">
        <v>3419</v>
      </c>
    </row>
    <row r="216" spans="1:12" ht="29" x14ac:dyDescent="0.35">
      <c r="A216" s="24">
        <v>1522</v>
      </c>
      <c r="B216" s="168">
        <v>20229</v>
      </c>
      <c r="C216" s="24" t="s">
        <v>1311</v>
      </c>
      <c r="D216" s="26" t="s">
        <v>2872</v>
      </c>
      <c r="E216" s="26" t="s">
        <v>754</v>
      </c>
      <c r="F216" s="26" t="s">
        <v>2884</v>
      </c>
      <c r="G216" s="25" t="s">
        <v>1002</v>
      </c>
      <c r="H216" s="25" t="s">
        <v>3410</v>
      </c>
      <c r="I216" s="26" t="s">
        <v>1006</v>
      </c>
      <c r="J216" s="26"/>
      <c r="K216" s="26" t="s">
        <v>3420</v>
      </c>
      <c r="L216" s="26" t="s">
        <v>3412</v>
      </c>
    </row>
    <row r="217" spans="1:12" ht="29" x14ac:dyDescent="0.35">
      <c r="A217" s="24">
        <v>1514</v>
      </c>
      <c r="B217" s="168">
        <v>20233</v>
      </c>
      <c r="C217" s="24">
        <v>74</v>
      </c>
      <c r="D217" s="26" t="s">
        <v>2888</v>
      </c>
      <c r="E217" s="26" t="s">
        <v>762</v>
      </c>
      <c r="F217" s="26" t="s">
        <v>2889</v>
      </c>
      <c r="G217" s="25" t="s">
        <v>1002</v>
      </c>
      <c r="H217" s="25" t="s">
        <v>3421</v>
      </c>
      <c r="I217" s="26" t="s">
        <v>1006</v>
      </c>
      <c r="J217" s="26"/>
      <c r="K217" s="26" t="s">
        <v>3422</v>
      </c>
      <c r="L217" s="26" t="s">
        <v>3423</v>
      </c>
    </row>
    <row r="218" spans="1:12" ht="29" x14ac:dyDescent="0.35">
      <c r="A218" s="24">
        <v>938</v>
      </c>
      <c r="B218" s="168">
        <v>20232</v>
      </c>
      <c r="C218" s="24">
        <v>74</v>
      </c>
      <c r="D218" s="26" t="s">
        <v>761</v>
      </c>
      <c r="E218" s="26" t="s">
        <v>762</v>
      </c>
      <c r="F218" s="26" t="s">
        <v>2887</v>
      </c>
      <c r="G218" s="25" t="s">
        <v>1002</v>
      </c>
      <c r="H218" s="25" t="s">
        <v>3424</v>
      </c>
      <c r="I218" s="26" t="s">
        <v>1016</v>
      </c>
      <c r="J218" s="26"/>
      <c r="K218" s="26"/>
      <c r="L218" s="26" t="s">
        <v>761</v>
      </c>
    </row>
    <row r="219" spans="1:12" ht="29" x14ac:dyDescent="0.35">
      <c r="A219" s="24">
        <v>939</v>
      </c>
      <c r="B219" s="168">
        <v>20234</v>
      </c>
      <c r="C219" s="24">
        <v>74</v>
      </c>
      <c r="D219" s="26" t="s">
        <v>763</v>
      </c>
      <c r="E219" s="26" t="s">
        <v>764</v>
      </c>
      <c r="F219" s="26" t="s">
        <v>2890</v>
      </c>
      <c r="G219" s="25" t="s">
        <v>1002</v>
      </c>
      <c r="H219" s="25" t="s">
        <v>3425</v>
      </c>
      <c r="I219" s="26" t="s">
        <v>1006</v>
      </c>
      <c r="J219" s="26" t="s">
        <v>3046</v>
      </c>
      <c r="K219" s="26" t="s">
        <v>3426</v>
      </c>
      <c r="L219" s="26" t="s">
        <v>763</v>
      </c>
    </row>
    <row r="220" spans="1:12" ht="87" x14ac:dyDescent="0.35">
      <c r="A220" s="131">
        <v>1731</v>
      </c>
      <c r="B220" s="232">
        <v>20232</v>
      </c>
      <c r="C220" s="131">
        <v>74</v>
      </c>
      <c r="D220" s="197" t="s">
        <v>761</v>
      </c>
      <c r="E220" s="197" t="s">
        <v>762</v>
      </c>
      <c r="F220" s="197" t="s">
        <v>2887</v>
      </c>
      <c r="G220" s="233" t="s">
        <v>1002</v>
      </c>
      <c r="H220" s="233" t="s">
        <v>3427</v>
      </c>
      <c r="I220" s="197" t="s">
        <v>3286</v>
      </c>
      <c r="J220" s="197"/>
      <c r="K220" s="197" t="s">
        <v>3428</v>
      </c>
      <c r="L220" s="197" t="s">
        <v>3429</v>
      </c>
    </row>
    <row r="221" spans="1:12" ht="29" x14ac:dyDescent="0.35">
      <c r="A221" s="24">
        <v>941</v>
      </c>
      <c r="B221" s="168">
        <v>20235</v>
      </c>
      <c r="C221" s="24" t="s">
        <v>1317</v>
      </c>
      <c r="D221" s="26" t="s">
        <v>766</v>
      </c>
      <c r="E221" s="26" t="s">
        <v>767</v>
      </c>
      <c r="F221" s="26" t="s">
        <v>2891</v>
      </c>
      <c r="G221" s="25" t="s">
        <v>1002</v>
      </c>
      <c r="H221" s="25" t="s">
        <v>3430</v>
      </c>
      <c r="I221" s="26" t="s">
        <v>1016</v>
      </c>
      <c r="J221" s="26"/>
      <c r="K221" s="26"/>
      <c r="L221" s="26" t="s">
        <v>766</v>
      </c>
    </row>
    <row r="222" spans="1:12" ht="29" x14ac:dyDescent="0.35">
      <c r="A222" s="24">
        <v>943</v>
      </c>
      <c r="B222" s="168">
        <v>20237</v>
      </c>
      <c r="C222" s="24" t="s">
        <v>1317</v>
      </c>
      <c r="D222" s="26" t="s">
        <v>768</v>
      </c>
      <c r="E222" s="26" t="s">
        <v>769</v>
      </c>
      <c r="F222" s="26" t="s">
        <v>2893</v>
      </c>
      <c r="G222" s="25" t="s">
        <v>1002</v>
      </c>
      <c r="H222" s="25" t="s">
        <v>3431</v>
      </c>
      <c r="I222" s="26" t="s">
        <v>1006</v>
      </c>
      <c r="J222" s="26" t="s">
        <v>3046</v>
      </c>
      <c r="K222" s="26" t="s">
        <v>3432</v>
      </c>
      <c r="L222" s="26" t="s">
        <v>768</v>
      </c>
    </row>
    <row r="223" spans="1:12" ht="29" x14ac:dyDescent="0.35">
      <c r="A223" s="24">
        <v>1515</v>
      </c>
      <c r="B223" s="168">
        <v>20236</v>
      </c>
      <c r="C223" s="24" t="s">
        <v>1317</v>
      </c>
      <c r="D223" s="26" t="s">
        <v>766</v>
      </c>
      <c r="E223" s="26" t="s">
        <v>767</v>
      </c>
      <c r="F223" s="26" t="s">
        <v>2892</v>
      </c>
      <c r="G223" s="25" t="s">
        <v>1002</v>
      </c>
      <c r="H223" s="25" t="s">
        <v>3433</v>
      </c>
      <c r="I223" s="26" t="s">
        <v>1006</v>
      </c>
      <c r="J223" s="26"/>
      <c r="K223" s="26" t="s">
        <v>3434</v>
      </c>
      <c r="L223" s="26" t="s">
        <v>3423</v>
      </c>
    </row>
    <row r="224" spans="1:12" ht="29" x14ac:dyDescent="0.35">
      <c r="A224" s="24">
        <v>1516</v>
      </c>
      <c r="B224" s="168">
        <v>20239</v>
      </c>
      <c r="C224" s="24" t="s">
        <v>1320</v>
      </c>
      <c r="D224" s="26" t="s">
        <v>771</v>
      </c>
      <c r="E224" s="26" t="s">
        <v>772</v>
      </c>
      <c r="F224" s="26" t="s">
        <v>2895</v>
      </c>
      <c r="G224" s="25" t="s">
        <v>1002</v>
      </c>
      <c r="H224" s="25" t="s">
        <v>3435</v>
      </c>
      <c r="I224" s="26" t="s">
        <v>1006</v>
      </c>
      <c r="J224" s="26"/>
      <c r="K224" s="26" t="s">
        <v>3436</v>
      </c>
      <c r="L224" s="26" t="s">
        <v>3423</v>
      </c>
    </row>
    <row r="225" spans="1:12" ht="29" x14ac:dyDescent="0.35">
      <c r="A225" s="24">
        <v>945</v>
      </c>
      <c r="B225" s="168">
        <v>20238</v>
      </c>
      <c r="C225" s="24" t="s">
        <v>1320</v>
      </c>
      <c r="D225" s="26" t="s">
        <v>771</v>
      </c>
      <c r="E225" s="26" t="s">
        <v>772</v>
      </c>
      <c r="F225" s="26" t="s">
        <v>2894</v>
      </c>
      <c r="G225" s="25" t="s">
        <v>1002</v>
      </c>
      <c r="H225" s="25" t="s">
        <v>3437</v>
      </c>
      <c r="I225" s="26" t="s">
        <v>1016</v>
      </c>
      <c r="J225" s="26"/>
      <c r="K225" s="26"/>
      <c r="L225" s="26" t="s">
        <v>771</v>
      </c>
    </row>
    <row r="226" spans="1:12" ht="29" x14ac:dyDescent="0.35">
      <c r="A226" s="24">
        <v>946</v>
      </c>
      <c r="B226" s="168">
        <v>20240</v>
      </c>
      <c r="C226" s="24" t="s">
        <v>3438</v>
      </c>
      <c r="D226" s="26" t="s">
        <v>773</v>
      </c>
      <c r="E226" s="26" t="s">
        <v>774</v>
      </c>
      <c r="F226" s="26" t="s">
        <v>2896</v>
      </c>
      <c r="G226" s="25" t="s">
        <v>1002</v>
      </c>
      <c r="H226" s="25" t="s">
        <v>3439</v>
      </c>
      <c r="I226" s="26" t="s">
        <v>1006</v>
      </c>
      <c r="J226" s="26" t="s">
        <v>3046</v>
      </c>
      <c r="K226" s="26" t="s">
        <v>3440</v>
      </c>
      <c r="L226" s="26" t="s">
        <v>773</v>
      </c>
    </row>
    <row r="227" spans="1:12" ht="29" x14ac:dyDescent="0.35">
      <c r="A227" s="24">
        <v>948</v>
      </c>
      <c r="B227" s="168">
        <v>20241</v>
      </c>
      <c r="C227" s="24" t="s">
        <v>1323</v>
      </c>
      <c r="D227" s="26" t="s">
        <v>776</v>
      </c>
      <c r="E227" s="26" t="s">
        <v>777</v>
      </c>
      <c r="F227" s="26" t="s">
        <v>2897</v>
      </c>
      <c r="G227" s="25" t="s">
        <v>1002</v>
      </c>
      <c r="H227" s="25" t="s">
        <v>3441</v>
      </c>
      <c r="I227" s="26" t="s">
        <v>1016</v>
      </c>
      <c r="J227" s="26"/>
      <c r="K227" s="26"/>
      <c r="L227" s="26" t="s">
        <v>776</v>
      </c>
    </row>
    <row r="228" spans="1:12" ht="29" x14ac:dyDescent="0.35">
      <c r="A228" s="24">
        <v>949</v>
      </c>
      <c r="B228" s="168">
        <v>20243</v>
      </c>
      <c r="C228" s="24" t="s">
        <v>1323</v>
      </c>
      <c r="D228" s="26" t="s">
        <v>778</v>
      </c>
      <c r="E228" s="26" t="s">
        <v>779</v>
      </c>
      <c r="F228" s="26" t="s">
        <v>2899</v>
      </c>
      <c r="G228" s="25" t="s">
        <v>1002</v>
      </c>
      <c r="H228" s="25" t="s">
        <v>3442</v>
      </c>
      <c r="I228" s="26" t="s">
        <v>1006</v>
      </c>
      <c r="J228" s="26" t="s">
        <v>3046</v>
      </c>
      <c r="K228" s="26" t="s">
        <v>3443</v>
      </c>
      <c r="L228" s="26" t="s">
        <v>778</v>
      </c>
    </row>
    <row r="229" spans="1:12" ht="29" x14ac:dyDescent="0.35">
      <c r="A229" s="24">
        <v>1517</v>
      </c>
      <c r="B229" s="168">
        <v>20242</v>
      </c>
      <c r="C229" s="24" t="s">
        <v>1323</v>
      </c>
      <c r="D229" s="26" t="s">
        <v>776</v>
      </c>
      <c r="E229" s="26" t="s">
        <v>777</v>
      </c>
      <c r="F229" s="26" t="s">
        <v>2898</v>
      </c>
      <c r="G229" s="25" t="s">
        <v>1002</v>
      </c>
      <c r="H229" s="25" t="s">
        <v>3444</v>
      </c>
      <c r="I229" s="26" t="s">
        <v>1006</v>
      </c>
      <c r="J229" s="26"/>
      <c r="K229" s="26" t="s">
        <v>3445</v>
      </c>
      <c r="L229" s="26" t="s">
        <v>3423</v>
      </c>
    </row>
    <row r="230" spans="1:12" ht="29" x14ac:dyDescent="0.35">
      <c r="A230" s="24">
        <v>1518</v>
      </c>
      <c r="B230" s="168">
        <v>20245</v>
      </c>
      <c r="C230" s="24" t="s">
        <v>1326</v>
      </c>
      <c r="D230" s="26" t="s">
        <v>781</v>
      </c>
      <c r="E230" s="26" t="s">
        <v>782</v>
      </c>
      <c r="F230" s="26" t="s">
        <v>2901</v>
      </c>
      <c r="G230" s="25" t="s">
        <v>1002</v>
      </c>
      <c r="H230" s="25" t="s">
        <v>3446</v>
      </c>
      <c r="I230" s="26" t="s">
        <v>1006</v>
      </c>
      <c r="J230" s="26"/>
      <c r="K230" s="26" t="s">
        <v>3447</v>
      </c>
      <c r="L230" s="26" t="s">
        <v>3423</v>
      </c>
    </row>
    <row r="231" spans="1:12" ht="29" x14ac:dyDescent="0.35">
      <c r="A231" s="24">
        <v>951</v>
      </c>
      <c r="B231" s="168">
        <v>20244</v>
      </c>
      <c r="C231" s="24" t="s">
        <v>1326</v>
      </c>
      <c r="D231" s="26" t="s">
        <v>781</v>
      </c>
      <c r="E231" s="26" t="s">
        <v>782</v>
      </c>
      <c r="F231" s="26" t="s">
        <v>2900</v>
      </c>
      <c r="G231" s="25" t="s">
        <v>1002</v>
      </c>
      <c r="H231" s="25" t="s">
        <v>3448</v>
      </c>
      <c r="I231" s="26" t="s">
        <v>1016</v>
      </c>
      <c r="J231" s="26"/>
      <c r="K231" s="26"/>
      <c r="L231" s="26" t="s">
        <v>781</v>
      </c>
    </row>
    <row r="232" spans="1:12" ht="29" x14ac:dyDescent="0.35">
      <c r="A232" s="24">
        <v>952</v>
      </c>
      <c r="B232" s="168">
        <v>20246</v>
      </c>
      <c r="C232" s="24" t="s">
        <v>1326</v>
      </c>
      <c r="D232" s="26" t="s">
        <v>783</v>
      </c>
      <c r="E232" s="26" t="s">
        <v>784</v>
      </c>
      <c r="F232" s="26" t="s">
        <v>2902</v>
      </c>
      <c r="G232" s="25" t="s">
        <v>1002</v>
      </c>
      <c r="H232" s="25" t="s">
        <v>3449</v>
      </c>
      <c r="I232" s="26" t="s">
        <v>1006</v>
      </c>
      <c r="J232" s="26" t="s">
        <v>3046</v>
      </c>
      <c r="K232" s="26" t="s">
        <v>3450</v>
      </c>
      <c r="L232" s="26" t="s">
        <v>783</v>
      </c>
    </row>
    <row r="233" spans="1:12" ht="29" x14ac:dyDescent="0.35">
      <c r="A233" s="24">
        <v>954</v>
      </c>
      <c r="B233" s="168">
        <v>20247</v>
      </c>
      <c r="C233" s="24" t="s">
        <v>1329</v>
      </c>
      <c r="D233" s="26" t="s">
        <v>786</v>
      </c>
      <c r="E233" s="26" t="s">
        <v>787</v>
      </c>
      <c r="F233" s="26" t="s">
        <v>2903</v>
      </c>
      <c r="G233" s="25" t="s">
        <v>1002</v>
      </c>
      <c r="H233" s="25" t="s">
        <v>3451</v>
      </c>
      <c r="I233" s="26" t="s">
        <v>1016</v>
      </c>
      <c r="J233" s="26"/>
      <c r="K233" s="26"/>
      <c r="L233" s="26" t="s">
        <v>786</v>
      </c>
    </row>
    <row r="234" spans="1:12" ht="29" x14ac:dyDescent="0.35">
      <c r="A234" s="24">
        <v>955</v>
      </c>
      <c r="B234" s="168">
        <v>20249</v>
      </c>
      <c r="C234" s="24" t="s">
        <v>1329</v>
      </c>
      <c r="D234" s="26" t="s">
        <v>788</v>
      </c>
      <c r="E234" s="26" t="s">
        <v>789</v>
      </c>
      <c r="F234" s="26" t="s">
        <v>2905</v>
      </c>
      <c r="G234" s="25" t="s">
        <v>1002</v>
      </c>
      <c r="H234" s="25" t="s">
        <v>3452</v>
      </c>
      <c r="I234" s="26" t="s">
        <v>1006</v>
      </c>
      <c r="J234" s="26" t="s">
        <v>3046</v>
      </c>
      <c r="K234" s="26" t="s">
        <v>3453</v>
      </c>
      <c r="L234" s="26" t="s">
        <v>788</v>
      </c>
    </row>
    <row r="235" spans="1:12" ht="29" x14ac:dyDescent="0.35">
      <c r="A235" s="24">
        <v>1519</v>
      </c>
      <c r="B235" s="168">
        <v>20248</v>
      </c>
      <c r="C235" s="24" t="s">
        <v>1329</v>
      </c>
      <c r="D235" s="26" t="s">
        <v>786</v>
      </c>
      <c r="E235" s="26" t="s">
        <v>787</v>
      </c>
      <c r="F235" s="26" t="s">
        <v>2904</v>
      </c>
      <c r="G235" s="25" t="s">
        <v>1002</v>
      </c>
      <c r="H235" s="25" t="s">
        <v>3410</v>
      </c>
      <c r="I235" s="26" t="s">
        <v>1006</v>
      </c>
      <c r="J235" s="26"/>
      <c r="K235" s="26" t="s">
        <v>3454</v>
      </c>
      <c r="L235" s="26" t="s">
        <v>3423</v>
      </c>
    </row>
    <row r="236" spans="1:12" ht="43.5" x14ac:dyDescent="0.35">
      <c r="A236" s="24">
        <v>957</v>
      </c>
      <c r="B236" s="168">
        <v>20250</v>
      </c>
      <c r="C236" s="24">
        <v>76</v>
      </c>
      <c r="D236" s="26" t="s">
        <v>800</v>
      </c>
      <c r="E236" s="26" t="s">
        <v>801</v>
      </c>
      <c r="F236" s="26" t="s">
        <v>2906</v>
      </c>
      <c r="G236" s="25" t="s">
        <v>1002</v>
      </c>
      <c r="H236" s="25" t="s">
        <v>3455</v>
      </c>
      <c r="I236" s="26" t="s">
        <v>1006</v>
      </c>
      <c r="J236" s="26"/>
      <c r="K236" s="26" t="s">
        <v>3456</v>
      </c>
      <c r="L236" s="26" t="s">
        <v>800</v>
      </c>
    </row>
    <row r="237" spans="1:12" ht="29" x14ac:dyDescent="0.35">
      <c r="A237" s="24">
        <v>958</v>
      </c>
      <c r="B237" s="168">
        <v>20251</v>
      </c>
      <c r="C237" s="24">
        <v>76</v>
      </c>
      <c r="D237" s="26" t="s">
        <v>802</v>
      </c>
      <c r="E237" s="26" t="s">
        <v>803</v>
      </c>
      <c r="F237" s="26" t="s">
        <v>2909</v>
      </c>
      <c r="G237" s="25" t="s">
        <v>1002</v>
      </c>
      <c r="H237" s="25" t="s">
        <v>3457</v>
      </c>
      <c r="I237" s="26" t="s">
        <v>1006</v>
      </c>
      <c r="J237" s="26"/>
      <c r="K237" s="26" t="s">
        <v>3458</v>
      </c>
      <c r="L237" s="26" t="s">
        <v>802</v>
      </c>
    </row>
    <row r="238" spans="1:12" ht="29" x14ac:dyDescent="0.35">
      <c r="A238" s="24">
        <v>959</v>
      </c>
      <c r="B238" s="168">
        <v>20253</v>
      </c>
      <c r="C238" s="24">
        <v>76</v>
      </c>
      <c r="D238" s="26" t="s">
        <v>806</v>
      </c>
      <c r="E238" s="26" t="s">
        <v>807</v>
      </c>
      <c r="F238" s="26" t="s">
        <v>2910</v>
      </c>
      <c r="G238" s="25" t="s">
        <v>1002</v>
      </c>
      <c r="H238" s="25" t="s">
        <v>3459</v>
      </c>
      <c r="I238" s="26" t="s">
        <v>1016</v>
      </c>
      <c r="J238" s="26"/>
      <c r="K238" s="26"/>
      <c r="L238" s="26" t="s">
        <v>806</v>
      </c>
    </row>
    <row r="239" spans="1:12" ht="29" x14ac:dyDescent="0.35">
      <c r="A239" s="24">
        <v>960</v>
      </c>
      <c r="B239" s="168">
        <v>20254</v>
      </c>
      <c r="C239" s="24">
        <v>76</v>
      </c>
      <c r="D239" s="26" t="s">
        <v>808</v>
      </c>
      <c r="E239" s="26" t="s">
        <v>809</v>
      </c>
      <c r="F239" s="26" t="s">
        <v>2911</v>
      </c>
      <c r="G239" s="25" t="s">
        <v>1002</v>
      </c>
      <c r="H239" s="25" t="s">
        <v>3460</v>
      </c>
      <c r="I239" s="26" t="s">
        <v>1016</v>
      </c>
      <c r="J239" s="26"/>
      <c r="K239" s="26"/>
      <c r="L239" s="26" t="s">
        <v>808</v>
      </c>
    </row>
    <row r="240" spans="1:12" ht="29" x14ac:dyDescent="0.35">
      <c r="A240" s="24">
        <v>995</v>
      </c>
      <c r="B240" s="168">
        <v>20255</v>
      </c>
      <c r="C240" s="24">
        <v>77</v>
      </c>
      <c r="D240" s="26" t="s">
        <v>811</v>
      </c>
      <c r="E240" s="26" t="s">
        <v>812</v>
      </c>
      <c r="F240" s="26" t="s">
        <v>2912</v>
      </c>
      <c r="G240" s="25" t="s">
        <v>1002</v>
      </c>
      <c r="H240" s="25" t="s">
        <v>3461</v>
      </c>
      <c r="I240" s="26" t="s">
        <v>1006</v>
      </c>
      <c r="J240" s="26"/>
      <c r="K240" s="26" t="s">
        <v>3462</v>
      </c>
      <c r="L240" s="26" t="s">
        <v>811</v>
      </c>
    </row>
    <row r="241" spans="1:12" ht="29" x14ac:dyDescent="0.35">
      <c r="A241" s="24">
        <v>996</v>
      </c>
      <c r="B241" s="168">
        <v>20256</v>
      </c>
      <c r="C241" s="24">
        <v>77</v>
      </c>
      <c r="D241" s="26" t="s">
        <v>2913</v>
      </c>
      <c r="E241" s="26" t="s">
        <v>814</v>
      </c>
      <c r="F241" s="26" t="s">
        <v>2914</v>
      </c>
      <c r="G241" s="25" t="s">
        <v>1002</v>
      </c>
      <c r="H241" s="25" t="s">
        <v>3463</v>
      </c>
      <c r="I241" s="26" t="s">
        <v>1006</v>
      </c>
      <c r="J241" s="26"/>
      <c r="K241" s="26" t="s">
        <v>3464</v>
      </c>
      <c r="L241" s="26" t="s">
        <v>813</v>
      </c>
    </row>
    <row r="242" spans="1:12" ht="29" x14ac:dyDescent="0.35">
      <c r="A242" s="24">
        <v>998</v>
      </c>
      <c r="B242" s="168">
        <v>20258</v>
      </c>
      <c r="C242" s="24">
        <v>77</v>
      </c>
      <c r="D242" s="26" t="s">
        <v>817</v>
      </c>
      <c r="E242" s="26" t="s">
        <v>818</v>
      </c>
      <c r="F242" s="26" t="s">
        <v>2915</v>
      </c>
      <c r="G242" s="25" t="s">
        <v>1002</v>
      </c>
      <c r="H242" s="25" t="s">
        <v>3465</v>
      </c>
      <c r="I242" s="26" t="s">
        <v>1016</v>
      </c>
      <c r="J242" s="26"/>
      <c r="K242" s="26"/>
      <c r="L242" s="26" t="s">
        <v>817</v>
      </c>
    </row>
    <row r="243" spans="1:12" ht="29" x14ac:dyDescent="0.35">
      <c r="A243" s="24">
        <v>999</v>
      </c>
      <c r="B243" s="168">
        <v>20259</v>
      </c>
      <c r="C243" s="24">
        <v>77</v>
      </c>
      <c r="D243" s="26" t="s">
        <v>819</v>
      </c>
      <c r="E243" s="26" t="s">
        <v>820</v>
      </c>
      <c r="F243" s="26" t="s">
        <v>2916</v>
      </c>
      <c r="G243" s="25" t="s">
        <v>1002</v>
      </c>
      <c r="H243" s="25" t="s">
        <v>3466</v>
      </c>
      <c r="I243" s="26" t="s">
        <v>1016</v>
      </c>
      <c r="J243" s="26"/>
      <c r="K243" s="26"/>
      <c r="L243" s="26" t="s">
        <v>819</v>
      </c>
    </row>
    <row r="244" spans="1:12" ht="43.5" x14ac:dyDescent="0.35">
      <c r="A244" s="24">
        <v>1000</v>
      </c>
      <c r="B244" s="168">
        <v>20260</v>
      </c>
      <c r="C244" s="24">
        <v>78</v>
      </c>
      <c r="D244" s="26" t="s">
        <v>824</v>
      </c>
      <c r="E244" s="26" t="s">
        <v>825</v>
      </c>
      <c r="F244" s="26" t="s">
        <v>2917</v>
      </c>
      <c r="G244" s="25" t="s">
        <v>1002</v>
      </c>
      <c r="H244" s="25" t="s">
        <v>3467</v>
      </c>
      <c r="I244" s="26" t="s">
        <v>1006</v>
      </c>
      <c r="J244" s="26"/>
      <c r="K244" s="26" t="s">
        <v>3468</v>
      </c>
      <c r="L244" s="26" t="s">
        <v>3469</v>
      </c>
    </row>
    <row r="245" spans="1:12" ht="29" x14ac:dyDescent="0.35">
      <c r="A245" s="24">
        <v>1001</v>
      </c>
      <c r="B245" s="168">
        <v>20261</v>
      </c>
      <c r="C245" s="24">
        <v>78</v>
      </c>
      <c r="D245" s="26" t="s">
        <v>826</v>
      </c>
      <c r="E245" s="26" t="s">
        <v>827</v>
      </c>
      <c r="F245" s="26" t="s">
        <v>2918</v>
      </c>
      <c r="G245" s="25" t="s">
        <v>1002</v>
      </c>
      <c r="H245" s="25" t="s">
        <v>3470</v>
      </c>
      <c r="I245" s="26" t="s">
        <v>1006</v>
      </c>
      <c r="J245" s="26"/>
      <c r="K245" s="26" t="s">
        <v>3471</v>
      </c>
      <c r="L245" s="26" t="s">
        <v>3472</v>
      </c>
    </row>
    <row r="246" spans="1:12" ht="29" x14ac:dyDescent="0.35">
      <c r="A246" s="24">
        <v>1003</v>
      </c>
      <c r="B246" s="168">
        <v>20263</v>
      </c>
      <c r="C246" s="24">
        <v>78</v>
      </c>
      <c r="D246" s="26" t="s">
        <v>830</v>
      </c>
      <c r="E246" s="26" t="s">
        <v>831</v>
      </c>
      <c r="F246" s="26" t="s">
        <v>2919</v>
      </c>
      <c r="G246" s="25" t="s">
        <v>1002</v>
      </c>
      <c r="H246" s="25" t="s">
        <v>3473</v>
      </c>
      <c r="I246" s="26" t="s">
        <v>1016</v>
      </c>
      <c r="J246" s="26"/>
      <c r="K246" s="26"/>
      <c r="L246" s="26" t="s">
        <v>830</v>
      </c>
    </row>
    <row r="247" spans="1:12" ht="29" x14ac:dyDescent="0.35">
      <c r="A247" s="24">
        <v>1004</v>
      </c>
      <c r="B247" s="168">
        <v>20264</v>
      </c>
      <c r="C247" s="24">
        <v>78</v>
      </c>
      <c r="D247" s="26" t="s">
        <v>832</v>
      </c>
      <c r="E247" s="26" t="s">
        <v>833</v>
      </c>
      <c r="F247" s="26" t="s">
        <v>2920</v>
      </c>
      <c r="G247" s="25" t="s">
        <v>1002</v>
      </c>
      <c r="H247" s="25" t="s">
        <v>3474</v>
      </c>
      <c r="I247" s="26" t="s">
        <v>1016</v>
      </c>
      <c r="J247" s="26"/>
      <c r="K247" s="26"/>
      <c r="L247" s="26" t="s">
        <v>832</v>
      </c>
    </row>
    <row r="248" spans="1:12" ht="29" x14ac:dyDescent="0.35">
      <c r="A248" s="24">
        <v>1005</v>
      </c>
      <c r="B248" s="168">
        <v>20265</v>
      </c>
      <c r="C248" s="24">
        <v>79</v>
      </c>
      <c r="D248" s="26" t="s">
        <v>837</v>
      </c>
      <c r="E248" s="26" t="s">
        <v>838</v>
      </c>
      <c r="F248" s="26" t="s">
        <v>2921</v>
      </c>
      <c r="G248" s="25" t="s">
        <v>1002</v>
      </c>
      <c r="H248" s="25" t="s">
        <v>3475</v>
      </c>
      <c r="I248" s="26" t="s">
        <v>1006</v>
      </c>
      <c r="J248" s="26"/>
      <c r="K248" s="26" t="s">
        <v>3476</v>
      </c>
      <c r="L248" s="26" t="s">
        <v>837</v>
      </c>
    </row>
    <row r="249" spans="1:12" ht="29" x14ac:dyDescent="0.35">
      <c r="A249" s="24">
        <v>1006</v>
      </c>
      <c r="B249" s="168">
        <v>20266</v>
      </c>
      <c r="C249" s="24">
        <v>79</v>
      </c>
      <c r="D249" s="26" t="s">
        <v>839</v>
      </c>
      <c r="E249" s="26" t="s">
        <v>840</v>
      </c>
      <c r="F249" s="26" t="s">
        <v>2922</v>
      </c>
      <c r="G249" s="25" t="s">
        <v>1002</v>
      </c>
      <c r="H249" s="25" t="s">
        <v>3477</v>
      </c>
      <c r="I249" s="26" t="s">
        <v>1006</v>
      </c>
      <c r="J249" s="26"/>
      <c r="K249" s="26" t="s">
        <v>3478</v>
      </c>
      <c r="L249" s="26" t="s">
        <v>839</v>
      </c>
    </row>
    <row r="250" spans="1:12" ht="29" x14ac:dyDescent="0.35">
      <c r="A250" s="24">
        <v>1008</v>
      </c>
      <c r="B250" s="168">
        <v>20268</v>
      </c>
      <c r="C250" s="24">
        <v>79</v>
      </c>
      <c r="D250" s="26" t="s">
        <v>844</v>
      </c>
      <c r="E250" s="26" t="s">
        <v>845</v>
      </c>
      <c r="F250" s="26" t="s">
        <v>2923</v>
      </c>
      <c r="G250" s="25" t="s">
        <v>1002</v>
      </c>
      <c r="H250" s="25" t="s">
        <v>3479</v>
      </c>
      <c r="I250" s="26" t="s">
        <v>1016</v>
      </c>
      <c r="J250" s="26"/>
      <c r="K250" s="26"/>
      <c r="L250" s="26" t="s">
        <v>844</v>
      </c>
    </row>
    <row r="251" spans="1:12" ht="29" x14ac:dyDescent="0.35">
      <c r="A251" s="24">
        <v>1009</v>
      </c>
      <c r="B251" s="168">
        <v>20269</v>
      </c>
      <c r="C251" s="24">
        <v>79</v>
      </c>
      <c r="D251" s="26" t="s">
        <v>846</v>
      </c>
      <c r="E251" s="26" t="s">
        <v>847</v>
      </c>
      <c r="F251" s="26" t="s">
        <v>2924</v>
      </c>
      <c r="G251" s="25" t="s">
        <v>1002</v>
      </c>
      <c r="H251" s="25" t="s">
        <v>3480</v>
      </c>
      <c r="I251" s="26" t="s">
        <v>1016</v>
      </c>
      <c r="J251" s="26"/>
      <c r="K251" s="26"/>
      <c r="L251" s="26" t="s">
        <v>846</v>
      </c>
    </row>
    <row r="252" spans="1:12" x14ac:dyDescent="0.35">
      <c r="A252" s="24">
        <v>1066</v>
      </c>
      <c r="B252" s="168">
        <v>20270</v>
      </c>
      <c r="C252" s="24">
        <v>80</v>
      </c>
      <c r="D252" s="26" t="s">
        <v>2319</v>
      </c>
      <c r="E252" s="26" t="s">
        <v>850</v>
      </c>
      <c r="F252" s="26" t="s">
        <v>2925</v>
      </c>
      <c r="G252" s="25" t="s">
        <v>1002</v>
      </c>
      <c r="H252" s="25" t="s">
        <v>3178</v>
      </c>
      <c r="I252" s="26" t="s">
        <v>3481</v>
      </c>
      <c r="J252" s="26"/>
      <c r="K252" s="26"/>
      <c r="L252" s="26" t="s">
        <v>3482</v>
      </c>
    </row>
    <row r="253" spans="1:12" ht="29" x14ac:dyDescent="0.35">
      <c r="A253" s="24">
        <v>1556</v>
      </c>
      <c r="B253" s="168">
        <v>20322</v>
      </c>
      <c r="C253" s="24">
        <v>81</v>
      </c>
      <c r="D253" s="26" t="s">
        <v>2975</v>
      </c>
      <c r="E253" s="26" t="s">
        <v>1377</v>
      </c>
      <c r="F253" s="26" t="s">
        <v>2976</v>
      </c>
      <c r="G253" s="25" t="s">
        <v>1002</v>
      </c>
      <c r="H253" s="25" t="s">
        <v>3483</v>
      </c>
      <c r="I253" s="26" t="s">
        <v>1006</v>
      </c>
      <c r="J253" s="26"/>
      <c r="K253" s="26" t="s">
        <v>3484</v>
      </c>
      <c r="L253" s="26" t="s">
        <v>3485</v>
      </c>
    </row>
    <row r="254" spans="1:12" ht="29" x14ac:dyDescent="0.35">
      <c r="A254" s="24">
        <v>1557</v>
      </c>
      <c r="B254" s="168">
        <v>20322</v>
      </c>
      <c r="C254" s="24">
        <v>81</v>
      </c>
      <c r="D254" s="26" t="s">
        <v>2975</v>
      </c>
      <c r="E254" s="26" t="s">
        <v>1377</v>
      </c>
      <c r="F254" s="26" t="s">
        <v>2976</v>
      </c>
      <c r="G254" s="25" t="s">
        <v>1002</v>
      </c>
      <c r="H254" s="25" t="s">
        <v>3486</v>
      </c>
      <c r="I254" s="26" t="s">
        <v>1006</v>
      </c>
      <c r="J254" s="26"/>
      <c r="K254" s="26" t="s">
        <v>3487</v>
      </c>
      <c r="L254" s="26" t="s">
        <v>3485</v>
      </c>
    </row>
    <row r="255" spans="1:12" ht="29" x14ac:dyDescent="0.35">
      <c r="A255" s="24">
        <v>1558</v>
      </c>
      <c r="B255" s="168">
        <v>20322</v>
      </c>
      <c r="C255" s="24">
        <v>81</v>
      </c>
      <c r="D255" s="26" t="s">
        <v>2975</v>
      </c>
      <c r="E255" s="26" t="s">
        <v>1377</v>
      </c>
      <c r="F255" s="26" t="s">
        <v>2976</v>
      </c>
      <c r="G255" s="25" t="s">
        <v>1002</v>
      </c>
      <c r="H255" s="25" t="s">
        <v>3488</v>
      </c>
      <c r="I255" s="26" t="s">
        <v>1006</v>
      </c>
      <c r="J255" s="26"/>
      <c r="K255" s="26" t="s">
        <v>3489</v>
      </c>
      <c r="L255" s="26" t="s">
        <v>3485</v>
      </c>
    </row>
    <row r="256" spans="1:12" ht="29" x14ac:dyDescent="0.35">
      <c r="A256" s="24">
        <v>1259</v>
      </c>
      <c r="B256" s="168">
        <v>20276</v>
      </c>
      <c r="C256" s="24" t="s">
        <v>1356</v>
      </c>
      <c r="D256" s="26" t="s">
        <v>2936</v>
      </c>
      <c r="E256" s="26" t="s">
        <v>3490</v>
      </c>
      <c r="F256" s="26" t="s">
        <v>2937</v>
      </c>
      <c r="G256" s="25" t="s">
        <v>1002</v>
      </c>
      <c r="H256" s="25" t="s">
        <v>3491</v>
      </c>
      <c r="I256" s="26" t="s">
        <v>1006</v>
      </c>
      <c r="J256" s="26"/>
      <c r="K256" s="26" t="s">
        <v>3484</v>
      </c>
      <c r="L256" s="26" t="s">
        <v>3492</v>
      </c>
    </row>
    <row r="257" spans="1:12" ht="29" x14ac:dyDescent="0.35">
      <c r="A257" s="24">
        <v>1462</v>
      </c>
      <c r="B257" s="168">
        <v>20297</v>
      </c>
      <c r="C257" s="134" t="s">
        <v>3493</v>
      </c>
      <c r="D257" s="26" t="s">
        <v>2978</v>
      </c>
      <c r="E257" s="26" t="s">
        <v>1377</v>
      </c>
      <c r="F257" s="26" t="s">
        <v>2979</v>
      </c>
      <c r="G257" s="25" t="s">
        <v>1002</v>
      </c>
      <c r="H257" s="25" t="s">
        <v>3494</v>
      </c>
      <c r="I257" s="26" t="s">
        <v>1016</v>
      </c>
      <c r="J257" s="26"/>
      <c r="K257" s="26" t="s">
        <v>3495</v>
      </c>
      <c r="L257" s="26" t="s">
        <v>3496</v>
      </c>
    </row>
    <row r="258" spans="1:12" ht="29" x14ac:dyDescent="0.35">
      <c r="A258" s="131">
        <v>1417</v>
      </c>
      <c r="B258" s="232">
        <v>20297</v>
      </c>
      <c r="C258" s="131" t="s">
        <v>2345</v>
      </c>
      <c r="D258" s="197" t="s">
        <v>2978</v>
      </c>
      <c r="E258" s="197" t="s">
        <v>358</v>
      </c>
      <c r="F258" s="197"/>
      <c r="G258" s="233" t="s">
        <v>1110</v>
      </c>
      <c r="H258" s="233" t="s">
        <v>3497</v>
      </c>
      <c r="I258" s="197" t="s">
        <v>3498</v>
      </c>
      <c r="J258" s="197"/>
      <c r="K258" s="197" t="s">
        <v>3499</v>
      </c>
      <c r="L258" s="197" t="s">
        <v>3500</v>
      </c>
    </row>
    <row r="259" spans="1:12" ht="29" x14ac:dyDescent="0.35">
      <c r="A259" s="24">
        <v>1434</v>
      </c>
      <c r="B259" s="168">
        <v>20317</v>
      </c>
      <c r="C259" s="134" t="s">
        <v>887</v>
      </c>
      <c r="D259" s="26" t="s">
        <v>2981</v>
      </c>
      <c r="E259" s="26" t="s">
        <v>888</v>
      </c>
      <c r="F259" s="26" t="s">
        <v>2982</v>
      </c>
      <c r="G259" s="25" t="s">
        <v>1002</v>
      </c>
      <c r="H259" s="25" t="s">
        <v>3501</v>
      </c>
      <c r="I259" s="26" t="s">
        <v>3502</v>
      </c>
      <c r="J259" s="26"/>
      <c r="K259" s="26" t="s">
        <v>3503</v>
      </c>
      <c r="L259" s="26" t="s">
        <v>3504</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C8519-DC76-4A84-BC09-CBD20ECEF297}">
  <dimension ref="A1:L264"/>
  <sheetViews>
    <sheetView zoomScale="145" zoomScaleNormal="145" workbookViewId="0">
      <pane ySplit="1" topLeftCell="A253" activePane="bottomLeft" state="frozen"/>
      <selection pane="bottomLeft" activeCell="K257" sqref="K257"/>
    </sheetView>
  </sheetViews>
  <sheetFormatPr defaultColWidth="9.26953125" defaultRowHeight="14.5" x14ac:dyDescent="0.35"/>
  <cols>
    <col min="1" max="1" width="6.453125" style="4" customWidth="1"/>
    <col min="2" max="2" width="8.1796875" style="4" customWidth="1"/>
    <col min="3" max="3" width="7.26953125" style="22" customWidth="1"/>
    <col min="4" max="4" width="23.81640625" style="6" customWidth="1"/>
    <col min="5" max="5" width="25.54296875" style="6" customWidth="1"/>
    <col min="6" max="6" width="29.81640625" style="6" customWidth="1"/>
    <col min="7" max="7" width="11.1796875" style="22" customWidth="1"/>
    <col min="8" max="8" width="6.81640625" style="4" customWidth="1"/>
    <col min="9" max="9" width="22.54296875" style="4" customWidth="1"/>
    <col min="10" max="10" width="11.54296875" style="6" customWidth="1"/>
    <col min="11" max="11" width="57.7265625" style="6" customWidth="1"/>
    <col min="12" max="12" width="39" style="6" customWidth="1"/>
    <col min="13" max="16384" width="9.26953125" style="4"/>
  </cols>
  <sheetData>
    <row r="1" spans="1:12" s="22" customFormat="1" ht="29" x14ac:dyDescent="0.35">
      <c r="A1" s="364" t="s">
        <v>989</v>
      </c>
      <c r="B1" s="363" t="s">
        <v>990</v>
      </c>
      <c r="C1" s="363" t="s">
        <v>991</v>
      </c>
      <c r="D1" s="1" t="s">
        <v>3505</v>
      </c>
      <c r="E1" s="1" t="s">
        <v>3506</v>
      </c>
      <c r="F1" s="1" t="s">
        <v>994</v>
      </c>
      <c r="G1" s="363" t="s">
        <v>995</v>
      </c>
      <c r="H1" s="1" t="s">
        <v>996</v>
      </c>
      <c r="I1" s="363" t="s">
        <v>997</v>
      </c>
      <c r="J1" s="362" t="s">
        <v>3507</v>
      </c>
      <c r="K1" s="2" t="s">
        <v>999</v>
      </c>
      <c r="L1" s="362" t="s">
        <v>360</v>
      </c>
    </row>
    <row r="2" spans="1:12" x14ac:dyDescent="0.35">
      <c r="A2" s="74">
        <v>240</v>
      </c>
      <c r="B2" s="74">
        <v>20004</v>
      </c>
      <c r="C2" s="73">
        <v>1</v>
      </c>
      <c r="D2" s="75" t="s">
        <v>2555</v>
      </c>
      <c r="E2" s="75" t="s">
        <v>30</v>
      </c>
      <c r="F2" s="75" t="s">
        <v>2556</v>
      </c>
      <c r="G2" s="73" t="s">
        <v>1002</v>
      </c>
      <c r="H2" s="74">
        <v>1000</v>
      </c>
      <c r="I2" s="74" t="s">
        <v>1016</v>
      </c>
      <c r="J2" s="75"/>
      <c r="K2" s="75"/>
      <c r="L2" s="75" t="s">
        <v>2995</v>
      </c>
    </row>
    <row r="3" spans="1:12" ht="29" x14ac:dyDescent="0.35">
      <c r="A3" s="74">
        <v>241</v>
      </c>
      <c r="B3" s="74">
        <v>20005</v>
      </c>
      <c r="C3" s="73">
        <v>1</v>
      </c>
      <c r="D3" s="75" t="s">
        <v>32</v>
      </c>
      <c r="E3" s="75" t="s">
        <v>22</v>
      </c>
      <c r="F3" s="75" t="s">
        <v>2996</v>
      </c>
      <c r="G3" s="73" t="s">
        <v>1002</v>
      </c>
      <c r="H3" s="74">
        <v>1001</v>
      </c>
      <c r="I3" s="74" t="s">
        <v>2998</v>
      </c>
      <c r="J3" s="75"/>
      <c r="K3" s="75" t="s">
        <v>2999</v>
      </c>
      <c r="L3" s="75" t="s">
        <v>3000</v>
      </c>
    </row>
    <row r="4" spans="1:12" x14ac:dyDescent="0.35">
      <c r="A4" s="74">
        <v>242</v>
      </c>
      <c r="B4" s="74">
        <v>20006</v>
      </c>
      <c r="C4" s="73">
        <v>1</v>
      </c>
      <c r="D4" s="75" t="s">
        <v>33</v>
      </c>
      <c r="E4" s="75" t="s">
        <v>34</v>
      </c>
      <c r="F4" s="75" t="s">
        <v>3001</v>
      </c>
      <c r="G4" s="73" t="s">
        <v>1002</v>
      </c>
      <c r="H4" s="74">
        <v>1002</v>
      </c>
      <c r="I4" s="74" t="s">
        <v>1016</v>
      </c>
      <c r="J4" s="75"/>
      <c r="K4" s="75"/>
      <c r="L4" s="75" t="s">
        <v>3003</v>
      </c>
    </row>
    <row r="5" spans="1:12" x14ac:dyDescent="0.35">
      <c r="A5" s="74">
        <v>243</v>
      </c>
      <c r="B5" s="74">
        <v>20007</v>
      </c>
      <c r="C5" s="73">
        <v>1</v>
      </c>
      <c r="D5" s="75" t="s">
        <v>36</v>
      </c>
      <c r="E5" s="75" t="s">
        <v>37</v>
      </c>
      <c r="F5" s="75" t="s">
        <v>3004</v>
      </c>
      <c r="G5" s="73" t="s">
        <v>1002</v>
      </c>
      <c r="H5" s="74">
        <v>1003</v>
      </c>
      <c r="I5" s="74" t="s">
        <v>1016</v>
      </c>
      <c r="J5" s="75"/>
      <c r="K5" s="75"/>
      <c r="L5" s="75" t="s">
        <v>3006</v>
      </c>
    </row>
    <row r="6" spans="1:12" x14ac:dyDescent="0.35">
      <c r="A6" s="74">
        <v>244</v>
      </c>
      <c r="B6" s="74">
        <v>20009</v>
      </c>
      <c r="C6" s="73">
        <v>1</v>
      </c>
      <c r="D6" s="75" t="s">
        <v>43</v>
      </c>
      <c r="E6" s="75" t="s">
        <v>28</v>
      </c>
      <c r="F6" s="75" t="s">
        <v>2561</v>
      </c>
      <c r="G6" s="73" t="s">
        <v>1002</v>
      </c>
      <c r="H6" s="74">
        <v>1013</v>
      </c>
      <c r="I6" s="74" t="s">
        <v>1006</v>
      </c>
      <c r="J6" s="75"/>
      <c r="K6" s="75" t="s">
        <v>3008</v>
      </c>
      <c r="L6" s="75" t="s">
        <v>3009</v>
      </c>
    </row>
    <row r="7" spans="1:12" ht="58" x14ac:dyDescent="0.35">
      <c r="A7" s="74">
        <v>201</v>
      </c>
      <c r="B7" s="74">
        <v>20008</v>
      </c>
      <c r="C7" s="73">
        <v>1</v>
      </c>
      <c r="D7" s="75" t="s">
        <v>38</v>
      </c>
      <c r="E7" s="75" t="s">
        <v>39</v>
      </c>
      <c r="F7" s="75" t="s">
        <v>2987</v>
      </c>
      <c r="G7" s="73" t="s">
        <v>1002</v>
      </c>
      <c r="H7" s="74">
        <v>1005</v>
      </c>
      <c r="I7" s="74" t="s">
        <v>1006</v>
      </c>
      <c r="J7" s="75"/>
      <c r="K7" s="75" t="s">
        <v>2989</v>
      </c>
      <c r="L7" s="75" t="s">
        <v>2990</v>
      </c>
    </row>
    <row r="8" spans="1:12" ht="58" x14ac:dyDescent="0.35">
      <c r="A8" s="74">
        <v>202</v>
      </c>
      <c r="B8" s="74">
        <v>20008</v>
      </c>
      <c r="C8" s="73">
        <v>1</v>
      </c>
      <c r="D8" s="75" t="s">
        <v>38</v>
      </c>
      <c r="E8" s="75" t="s">
        <v>39</v>
      </c>
      <c r="F8" s="75" t="s">
        <v>2987</v>
      </c>
      <c r="G8" s="73" t="s">
        <v>1002</v>
      </c>
      <c r="H8" s="74">
        <v>1004</v>
      </c>
      <c r="I8" s="74" t="s">
        <v>1006</v>
      </c>
      <c r="J8" s="75"/>
      <c r="K8" s="75" t="s">
        <v>3508</v>
      </c>
      <c r="L8" s="75" t="s">
        <v>2993</v>
      </c>
    </row>
    <row r="9" spans="1:12" ht="29" x14ac:dyDescent="0.35">
      <c r="A9" s="74">
        <v>1338</v>
      </c>
      <c r="B9" s="74">
        <v>20004</v>
      </c>
      <c r="C9" s="73">
        <v>1</v>
      </c>
      <c r="D9" s="75" t="s">
        <v>2555</v>
      </c>
      <c r="E9" s="75" t="s">
        <v>30</v>
      </c>
      <c r="F9" s="75" t="s">
        <v>2556</v>
      </c>
      <c r="G9" s="73" t="s">
        <v>1002</v>
      </c>
      <c r="H9" s="74">
        <v>2155</v>
      </c>
      <c r="I9" s="74" t="s">
        <v>2985</v>
      </c>
      <c r="J9" s="75"/>
      <c r="K9" s="75"/>
      <c r="L9" s="75" t="s">
        <v>2986</v>
      </c>
    </row>
    <row r="10" spans="1:12" ht="29" x14ac:dyDescent="0.35">
      <c r="A10" s="74">
        <v>245</v>
      </c>
      <c r="B10" s="74">
        <v>20010</v>
      </c>
      <c r="C10" s="73">
        <v>2</v>
      </c>
      <c r="D10" s="75" t="s">
        <v>54</v>
      </c>
      <c r="E10" s="75" t="s">
        <v>55</v>
      </c>
      <c r="F10" s="75" t="s">
        <v>2562</v>
      </c>
      <c r="G10" s="73" t="s">
        <v>1002</v>
      </c>
      <c r="H10" s="74">
        <v>1014</v>
      </c>
      <c r="I10" s="74" t="s">
        <v>1016</v>
      </c>
      <c r="J10" s="75"/>
      <c r="K10" s="75"/>
      <c r="L10" s="75" t="s">
        <v>3011</v>
      </c>
    </row>
    <row r="11" spans="1:12" ht="29" x14ac:dyDescent="0.35">
      <c r="A11" s="74">
        <v>246</v>
      </c>
      <c r="B11" s="74">
        <v>20011</v>
      </c>
      <c r="C11" s="73">
        <v>2</v>
      </c>
      <c r="D11" s="75" t="s">
        <v>57</v>
      </c>
      <c r="E11" s="75" t="s">
        <v>58</v>
      </c>
      <c r="F11" s="75" t="s">
        <v>2563</v>
      </c>
      <c r="G11" s="73" t="s">
        <v>1002</v>
      </c>
      <c r="H11" s="74">
        <v>1015</v>
      </c>
      <c r="I11" s="74" t="s">
        <v>2998</v>
      </c>
      <c r="J11" s="75"/>
      <c r="K11" s="75" t="s">
        <v>2999</v>
      </c>
      <c r="L11" s="75" t="s">
        <v>3013</v>
      </c>
    </row>
    <row r="12" spans="1:12" x14ac:dyDescent="0.35">
      <c r="A12" s="74">
        <v>247</v>
      </c>
      <c r="B12" s="74">
        <v>20012</v>
      </c>
      <c r="C12" s="73">
        <v>2</v>
      </c>
      <c r="D12" s="75" t="s">
        <v>59</v>
      </c>
      <c r="E12" s="75" t="s">
        <v>60</v>
      </c>
      <c r="F12" s="75" t="s">
        <v>2564</v>
      </c>
      <c r="G12" s="73" t="s">
        <v>1002</v>
      </c>
      <c r="H12" s="74">
        <v>1016</v>
      </c>
      <c r="I12" s="74" t="s">
        <v>1016</v>
      </c>
      <c r="J12" s="75"/>
      <c r="K12" s="75"/>
      <c r="L12" s="75" t="s">
        <v>3015</v>
      </c>
    </row>
    <row r="13" spans="1:12" x14ac:dyDescent="0.35">
      <c r="A13" s="74">
        <v>248</v>
      </c>
      <c r="B13" s="74">
        <v>20013</v>
      </c>
      <c r="C13" s="73">
        <v>2</v>
      </c>
      <c r="D13" s="75" t="s">
        <v>62</v>
      </c>
      <c r="E13" s="75" t="s">
        <v>63</v>
      </c>
      <c r="F13" s="75" t="s">
        <v>2565</v>
      </c>
      <c r="G13" s="73" t="s">
        <v>1002</v>
      </c>
      <c r="H13" s="74">
        <v>1017</v>
      </c>
      <c r="I13" s="74" t="s">
        <v>1016</v>
      </c>
      <c r="J13" s="75"/>
      <c r="K13" s="75"/>
      <c r="L13" s="75" t="s">
        <v>3017</v>
      </c>
    </row>
    <row r="14" spans="1:12" ht="58" x14ac:dyDescent="0.35">
      <c r="A14" s="74">
        <v>275</v>
      </c>
      <c r="B14" s="74">
        <v>20014</v>
      </c>
      <c r="C14" s="73">
        <v>2</v>
      </c>
      <c r="D14" s="75" t="s">
        <v>64</v>
      </c>
      <c r="E14" s="75" t="s">
        <v>65</v>
      </c>
      <c r="F14" s="75" t="s">
        <v>2566</v>
      </c>
      <c r="G14" s="73" t="s">
        <v>1002</v>
      </c>
      <c r="H14" s="74">
        <v>1020</v>
      </c>
      <c r="I14" s="74" t="s">
        <v>1006</v>
      </c>
      <c r="J14" s="75"/>
      <c r="K14" s="75" t="s">
        <v>3019</v>
      </c>
      <c r="L14" s="75" t="s">
        <v>3020</v>
      </c>
    </row>
    <row r="15" spans="1:12" ht="58" x14ac:dyDescent="0.35">
      <c r="A15" s="74">
        <v>276</v>
      </c>
      <c r="B15" s="74">
        <v>20014</v>
      </c>
      <c r="C15" s="73">
        <v>2</v>
      </c>
      <c r="D15" s="75" t="s">
        <v>64</v>
      </c>
      <c r="E15" s="75" t="s">
        <v>65</v>
      </c>
      <c r="F15" s="75" t="s">
        <v>2566</v>
      </c>
      <c r="G15" s="73" t="s">
        <v>1002</v>
      </c>
      <c r="H15" s="74">
        <v>1021</v>
      </c>
      <c r="I15" s="74" t="s">
        <v>1006</v>
      </c>
      <c r="J15" s="75"/>
      <c r="K15" s="75" t="s">
        <v>3022</v>
      </c>
      <c r="L15" s="75" t="s">
        <v>3023</v>
      </c>
    </row>
    <row r="16" spans="1:12" ht="29" x14ac:dyDescent="0.35">
      <c r="A16" s="74">
        <v>277</v>
      </c>
      <c r="B16" s="74">
        <v>20015</v>
      </c>
      <c r="C16" s="73" t="s">
        <v>1015</v>
      </c>
      <c r="D16" s="75" t="s">
        <v>69</v>
      </c>
      <c r="E16" s="75" t="s">
        <v>70</v>
      </c>
      <c r="F16" s="75" t="s">
        <v>2567</v>
      </c>
      <c r="G16" s="73" t="s">
        <v>1002</v>
      </c>
      <c r="H16" s="74">
        <v>1022</v>
      </c>
      <c r="I16" s="74" t="s">
        <v>1006</v>
      </c>
      <c r="J16" s="75"/>
      <c r="K16" s="75" t="s">
        <v>3025</v>
      </c>
      <c r="L16" s="75" t="s">
        <v>3026</v>
      </c>
    </row>
    <row r="17" spans="1:12" x14ac:dyDescent="0.35">
      <c r="A17" s="74">
        <v>278</v>
      </c>
      <c r="B17" s="74">
        <v>20016</v>
      </c>
      <c r="C17" s="73" t="s">
        <v>1019</v>
      </c>
      <c r="D17" s="75" t="s">
        <v>73</v>
      </c>
      <c r="E17" s="75" t="s">
        <v>74</v>
      </c>
      <c r="F17" s="75" t="s">
        <v>2568</v>
      </c>
      <c r="G17" s="73" t="s">
        <v>1002</v>
      </c>
      <c r="H17" s="74">
        <v>1023</v>
      </c>
      <c r="I17" s="74" t="s">
        <v>1006</v>
      </c>
      <c r="J17" s="75"/>
      <c r="K17" s="75" t="s">
        <v>3028</v>
      </c>
      <c r="L17" s="75" t="s">
        <v>3029</v>
      </c>
    </row>
    <row r="18" spans="1:12" ht="29" x14ac:dyDescent="0.35">
      <c r="A18" s="74">
        <v>228</v>
      </c>
      <c r="B18" s="74">
        <v>20001</v>
      </c>
      <c r="C18" s="73">
        <v>4</v>
      </c>
      <c r="D18" s="75" t="s">
        <v>3030</v>
      </c>
      <c r="E18" s="75" t="s">
        <v>78</v>
      </c>
      <c r="F18" s="75" t="s">
        <v>2569</v>
      </c>
      <c r="G18" s="73" t="s">
        <v>1002</v>
      </c>
      <c r="H18" s="74">
        <v>1010</v>
      </c>
      <c r="I18" s="74" t="s">
        <v>1006</v>
      </c>
      <c r="J18" s="75"/>
      <c r="K18" s="75" t="s">
        <v>3032</v>
      </c>
      <c r="L18" s="75" t="s">
        <v>3033</v>
      </c>
    </row>
    <row r="19" spans="1:12" ht="29" x14ac:dyDescent="0.35">
      <c r="A19" s="74">
        <v>229</v>
      </c>
      <c r="B19" s="74">
        <v>20002</v>
      </c>
      <c r="C19" s="73">
        <v>4</v>
      </c>
      <c r="D19" s="75" t="s">
        <v>3034</v>
      </c>
      <c r="E19" s="75" t="s">
        <v>78</v>
      </c>
      <c r="F19" s="75" t="s">
        <v>2570</v>
      </c>
      <c r="G19" s="73" t="s">
        <v>1002</v>
      </c>
      <c r="H19" s="74">
        <v>1011</v>
      </c>
      <c r="I19" s="74" t="s">
        <v>1016</v>
      </c>
      <c r="J19" s="75"/>
      <c r="K19" s="75" t="s">
        <v>3036</v>
      </c>
      <c r="L19" s="75" t="s">
        <v>3037</v>
      </c>
    </row>
    <row r="20" spans="1:12" ht="29" x14ac:dyDescent="0.35">
      <c r="A20" s="74">
        <v>230</v>
      </c>
      <c r="B20" s="74">
        <v>20003</v>
      </c>
      <c r="C20" s="73">
        <v>4</v>
      </c>
      <c r="D20" s="75" t="s">
        <v>3038</v>
      </c>
      <c r="E20" s="75" t="s">
        <v>78</v>
      </c>
      <c r="F20" s="75" t="s">
        <v>2571</v>
      </c>
      <c r="G20" s="73" t="s">
        <v>1002</v>
      </c>
      <c r="H20" s="74">
        <v>1012</v>
      </c>
      <c r="I20" s="74" t="s">
        <v>1016</v>
      </c>
      <c r="J20" s="75"/>
      <c r="K20" s="75" t="s">
        <v>3040</v>
      </c>
      <c r="L20" s="75" t="s">
        <v>3041</v>
      </c>
    </row>
    <row r="21" spans="1:12" ht="29" x14ac:dyDescent="0.35">
      <c r="A21" s="74">
        <v>1604</v>
      </c>
      <c r="B21" s="74">
        <v>20001</v>
      </c>
      <c r="C21" s="73">
        <v>4</v>
      </c>
      <c r="D21" s="75" t="s">
        <v>3030</v>
      </c>
      <c r="E21" s="75" t="s">
        <v>78</v>
      </c>
      <c r="F21" s="75" t="s">
        <v>2569</v>
      </c>
      <c r="G21" s="73" t="s">
        <v>1002</v>
      </c>
      <c r="H21" s="74">
        <v>1011</v>
      </c>
      <c r="I21" s="74" t="s">
        <v>1006</v>
      </c>
      <c r="J21" s="75"/>
      <c r="K21" s="75" t="s">
        <v>3042</v>
      </c>
      <c r="L21" s="75" t="s">
        <v>3043</v>
      </c>
    </row>
    <row r="22" spans="1:12" x14ac:dyDescent="0.35">
      <c r="A22" s="74">
        <v>279</v>
      </c>
      <c r="B22" s="74">
        <v>20017</v>
      </c>
      <c r="C22" s="73">
        <v>5</v>
      </c>
      <c r="D22" s="75" t="s">
        <v>80</v>
      </c>
      <c r="E22" s="75" t="s">
        <v>81</v>
      </c>
      <c r="F22" s="75" t="s">
        <v>2572</v>
      </c>
      <c r="G22" s="73" t="s">
        <v>1002</v>
      </c>
      <c r="H22" s="74">
        <v>1024</v>
      </c>
      <c r="I22" s="74" t="s">
        <v>3509</v>
      </c>
      <c r="J22" s="75"/>
      <c r="K22" s="75"/>
      <c r="L22" s="75" t="s">
        <v>3045</v>
      </c>
    </row>
    <row r="23" spans="1:12" ht="29" x14ac:dyDescent="0.35">
      <c r="A23" s="74">
        <v>1340</v>
      </c>
      <c r="B23" s="74">
        <v>20018</v>
      </c>
      <c r="C23" s="73">
        <v>6</v>
      </c>
      <c r="D23" s="75" t="s">
        <v>83</v>
      </c>
      <c r="E23" s="75" t="s">
        <v>84</v>
      </c>
      <c r="F23" s="75" t="s">
        <v>2573</v>
      </c>
      <c r="G23" s="73" t="s">
        <v>1002</v>
      </c>
      <c r="H23" s="74">
        <v>1024</v>
      </c>
      <c r="I23" s="74" t="s">
        <v>1006</v>
      </c>
      <c r="J23" s="75"/>
      <c r="K23" s="75" t="s">
        <v>3047</v>
      </c>
      <c r="L23" s="75" t="s">
        <v>83</v>
      </c>
    </row>
    <row r="24" spans="1:12" ht="29" x14ac:dyDescent="0.35">
      <c r="A24" s="74">
        <v>1341</v>
      </c>
      <c r="B24" s="74">
        <v>20018</v>
      </c>
      <c r="C24" s="73">
        <v>6</v>
      </c>
      <c r="D24" s="75" t="s">
        <v>83</v>
      </c>
      <c r="E24" s="75" t="s">
        <v>84</v>
      </c>
      <c r="F24" s="75" t="s">
        <v>2573</v>
      </c>
      <c r="G24" s="73" t="s">
        <v>1002</v>
      </c>
      <c r="H24" s="74">
        <v>1025</v>
      </c>
      <c r="I24" s="74" t="s">
        <v>3049</v>
      </c>
      <c r="J24" s="75"/>
      <c r="K24" s="75"/>
      <c r="L24" s="75" t="s">
        <v>3050</v>
      </c>
    </row>
    <row r="25" spans="1:12" ht="29" x14ac:dyDescent="0.35">
      <c r="A25" s="74">
        <v>281</v>
      </c>
      <c r="B25" s="74">
        <v>20019</v>
      </c>
      <c r="C25" s="73">
        <v>6</v>
      </c>
      <c r="D25" s="75" t="s">
        <v>87</v>
      </c>
      <c r="E25" s="75" t="s">
        <v>88</v>
      </c>
      <c r="F25" s="75" t="s">
        <v>2574</v>
      </c>
      <c r="G25" s="73" t="s">
        <v>1002</v>
      </c>
      <c r="H25" s="74">
        <v>1026</v>
      </c>
      <c r="I25" s="74" t="s">
        <v>1016</v>
      </c>
      <c r="J25" s="75" t="s">
        <v>3046</v>
      </c>
      <c r="K25" s="75"/>
      <c r="L25" s="75" t="s">
        <v>87</v>
      </c>
    </row>
    <row r="26" spans="1:12" x14ac:dyDescent="0.35">
      <c r="A26" s="74">
        <v>282</v>
      </c>
      <c r="B26" s="74">
        <v>20020</v>
      </c>
      <c r="C26" s="73" t="s">
        <v>1027</v>
      </c>
      <c r="D26" s="75" t="s">
        <v>95</v>
      </c>
      <c r="E26" s="75" t="s">
        <v>96</v>
      </c>
      <c r="F26" s="75" t="s">
        <v>2576</v>
      </c>
      <c r="G26" s="73" t="s">
        <v>1002</v>
      </c>
      <c r="H26" s="74">
        <v>1027</v>
      </c>
      <c r="I26" s="74" t="s">
        <v>1016</v>
      </c>
      <c r="J26" s="75" t="s">
        <v>2776</v>
      </c>
      <c r="K26" s="75"/>
      <c r="L26" s="75" t="s">
        <v>3053</v>
      </c>
    </row>
    <row r="27" spans="1:12" x14ac:dyDescent="0.35">
      <c r="A27" s="74">
        <v>310</v>
      </c>
      <c r="B27" s="74">
        <v>20021</v>
      </c>
      <c r="C27" s="73" t="s">
        <v>1029</v>
      </c>
      <c r="D27" s="75" t="s">
        <v>101</v>
      </c>
      <c r="E27" s="75" t="s">
        <v>102</v>
      </c>
      <c r="F27" s="75" t="s">
        <v>2577</v>
      </c>
      <c r="G27" s="73" t="s">
        <v>1002</v>
      </c>
      <c r="H27" s="74">
        <v>1028</v>
      </c>
      <c r="I27" s="74" t="s">
        <v>1016</v>
      </c>
      <c r="J27" s="75"/>
      <c r="K27" s="75"/>
      <c r="L27" s="75" t="s">
        <v>3055</v>
      </c>
    </row>
    <row r="28" spans="1:12" x14ac:dyDescent="0.35">
      <c r="A28" s="74">
        <v>312</v>
      </c>
      <c r="B28" s="74">
        <v>20022</v>
      </c>
      <c r="C28" s="73" t="s">
        <v>1029</v>
      </c>
      <c r="D28" s="75" t="s">
        <v>103</v>
      </c>
      <c r="E28" s="75" t="s">
        <v>104</v>
      </c>
      <c r="F28" s="75" t="s">
        <v>2578</v>
      </c>
      <c r="G28" s="73" t="s">
        <v>1002</v>
      </c>
      <c r="H28" s="74">
        <v>1030</v>
      </c>
      <c r="I28" s="74" t="s">
        <v>1016</v>
      </c>
      <c r="J28" s="75"/>
      <c r="K28" s="75"/>
      <c r="L28" s="75" t="s">
        <v>3057</v>
      </c>
    </row>
    <row r="29" spans="1:12" x14ac:dyDescent="0.35">
      <c r="A29" s="74">
        <v>314</v>
      </c>
      <c r="B29" s="74">
        <v>20023</v>
      </c>
      <c r="C29" s="73" t="s">
        <v>1029</v>
      </c>
      <c r="D29" s="75" t="s">
        <v>105</v>
      </c>
      <c r="E29" s="75" t="s">
        <v>106</v>
      </c>
      <c r="F29" s="75" t="s">
        <v>2579</v>
      </c>
      <c r="G29" s="73" t="s">
        <v>1002</v>
      </c>
      <c r="H29" s="74">
        <v>1032</v>
      </c>
      <c r="I29" s="74" t="s">
        <v>1016</v>
      </c>
      <c r="J29" s="75"/>
      <c r="K29" s="75" t="s">
        <v>3059</v>
      </c>
      <c r="L29" s="75" t="s">
        <v>3060</v>
      </c>
    </row>
    <row r="30" spans="1:12" ht="29" x14ac:dyDescent="0.35">
      <c r="A30" s="74">
        <v>315</v>
      </c>
      <c r="B30" s="74">
        <v>20024</v>
      </c>
      <c r="C30" s="73" t="s">
        <v>1035</v>
      </c>
      <c r="D30" s="75" t="s">
        <v>115</v>
      </c>
      <c r="E30" s="75" t="s">
        <v>116</v>
      </c>
      <c r="F30" s="75" t="s">
        <v>2580</v>
      </c>
      <c r="G30" s="73" t="s">
        <v>1002</v>
      </c>
      <c r="H30" s="74">
        <v>1033</v>
      </c>
      <c r="I30" s="74" t="s">
        <v>2998</v>
      </c>
      <c r="J30" s="75"/>
      <c r="K30" s="75" t="s">
        <v>2999</v>
      </c>
      <c r="L30" s="75" t="s">
        <v>3062</v>
      </c>
    </row>
    <row r="31" spans="1:12" x14ac:dyDescent="0.35">
      <c r="A31" s="74">
        <v>316</v>
      </c>
      <c r="B31" s="74">
        <v>20025</v>
      </c>
      <c r="C31" s="73" t="s">
        <v>1037</v>
      </c>
      <c r="D31" s="75" t="s">
        <v>118</v>
      </c>
      <c r="E31" s="75" t="s">
        <v>119</v>
      </c>
      <c r="F31" s="75" t="s">
        <v>2581</v>
      </c>
      <c r="G31" s="73" t="s">
        <v>1002</v>
      </c>
      <c r="H31" s="74">
        <v>1034</v>
      </c>
      <c r="I31" s="74" t="s">
        <v>1016</v>
      </c>
      <c r="J31" s="75"/>
      <c r="K31" s="75"/>
      <c r="L31" s="75" t="s">
        <v>3064</v>
      </c>
    </row>
    <row r="32" spans="1:12" x14ac:dyDescent="0.35">
      <c r="A32" s="74">
        <v>317</v>
      </c>
      <c r="B32" s="74">
        <v>20026</v>
      </c>
      <c r="C32" s="73" t="s">
        <v>1039</v>
      </c>
      <c r="D32" s="75" t="s">
        <v>121</v>
      </c>
      <c r="E32" s="75" t="s">
        <v>122</v>
      </c>
      <c r="F32" s="75" t="s">
        <v>2582</v>
      </c>
      <c r="G32" s="73" t="s">
        <v>1002</v>
      </c>
      <c r="H32" s="74">
        <v>1035</v>
      </c>
      <c r="I32" s="74" t="s">
        <v>1016</v>
      </c>
      <c r="J32" s="75"/>
      <c r="K32" s="75"/>
      <c r="L32" s="75" t="s">
        <v>3066</v>
      </c>
    </row>
    <row r="33" spans="1:12" ht="58" x14ac:dyDescent="0.35">
      <c r="A33" s="74">
        <v>318</v>
      </c>
      <c r="B33" s="74">
        <v>20027</v>
      </c>
      <c r="C33" s="73" t="s">
        <v>1043</v>
      </c>
      <c r="D33" s="75" t="s">
        <v>124</v>
      </c>
      <c r="E33" s="75" t="s">
        <v>125</v>
      </c>
      <c r="F33" s="75" t="s">
        <v>2583</v>
      </c>
      <c r="G33" s="73" t="s">
        <v>1002</v>
      </c>
      <c r="H33" s="74">
        <v>1036</v>
      </c>
      <c r="I33" s="74" t="s">
        <v>1006</v>
      </c>
      <c r="J33" s="75"/>
      <c r="K33" s="75" t="s">
        <v>3068</v>
      </c>
      <c r="L33" s="75" t="s">
        <v>3069</v>
      </c>
    </row>
    <row r="34" spans="1:12" ht="43.5" x14ac:dyDescent="0.35">
      <c r="A34" s="74">
        <v>319</v>
      </c>
      <c r="B34" s="74">
        <v>20027</v>
      </c>
      <c r="C34" s="73" t="s">
        <v>1043</v>
      </c>
      <c r="D34" s="75" t="s">
        <v>124</v>
      </c>
      <c r="E34" s="75" t="s">
        <v>125</v>
      </c>
      <c r="F34" s="75" t="s">
        <v>2583</v>
      </c>
      <c r="G34" s="73" t="s">
        <v>1002</v>
      </c>
      <c r="H34" s="74">
        <v>1037</v>
      </c>
      <c r="I34" s="74" t="s">
        <v>1006</v>
      </c>
      <c r="J34" s="75"/>
      <c r="K34" s="75" t="s">
        <v>3071</v>
      </c>
      <c r="L34" s="75" t="s">
        <v>3069</v>
      </c>
    </row>
    <row r="35" spans="1:12" x14ac:dyDescent="0.35">
      <c r="A35" s="74">
        <v>331</v>
      </c>
      <c r="B35" s="74">
        <v>20028</v>
      </c>
      <c r="C35" s="73">
        <v>10</v>
      </c>
      <c r="D35" s="75" t="s">
        <v>1423</v>
      </c>
      <c r="E35" s="75" t="s">
        <v>133</v>
      </c>
      <c r="F35" s="75" t="s">
        <v>2584</v>
      </c>
      <c r="G35" s="73" t="s">
        <v>1002</v>
      </c>
      <c r="H35" s="74">
        <v>1038</v>
      </c>
      <c r="I35" s="74" t="s">
        <v>1006</v>
      </c>
      <c r="J35" s="75"/>
      <c r="K35" s="75" t="s">
        <v>3073</v>
      </c>
      <c r="L35" s="75" t="s">
        <v>132</v>
      </c>
    </row>
    <row r="36" spans="1:12" x14ac:dyDescent="0.35">
      <c r="A36" s="74">
        <v>332</v>
      </c>
      <c r="B36" s="74">
        <v>20029</v>
      </c>
      <c r="C36" s="73">
        <v>11</v>
      </c>
      <c r="D36" s="75" t="s">
        <v>136</v>
      </c>
      <c r="E36" s="75" t="s">
        <v>137</v>
      </c>
      <c r="F36" s="75" t="s">
        <v>2585</v>
      </c>
      <c r="G36" s="73" t="s">
        <v>1002</v>
      </c>
      <c r="H36" s="74">
        <v>1039</v>
      </c>
      <c r="I36" s="74" t="s">
        <v>1006</v>
      </c>
      <c r="J36" s="75"/>
      <c r="K36" s="75" t="s">
        <v>3075</v>
      </c>
      <c r="L36" s="75" t="s">
        <v>3076</v>
      </c>
    </row>
    <row r="37" spans="1:12" x14ac:dyDescent="0.35">
      <c r="A37" s="74">
        <v>335</v>
      </c>
      <c r="B37" s="74">
        <v>20031</v>
      </c>
      <c r="C37" s="73">
        <v>13</v>
      </c>
      <c r="D37" s="75" t="s">
        <v>143</v>
      </c>
      <c r="E37" s="75" t="s">
        <v>144</v>
      </c>
      <c r="F37" s="75" t="s">
        <v>2588</v>
      </c>
      <c r="G37" s="73" t="s">
        <v>1002</v>
      </c>
      <c r="H37" s="74">
        <v>1042</v>
      </c>
      <c r="I37" s="74" t="s">
        <v>1016</v>
      </c>
      <c r="J37" s="75" t="s">
        <v>3078</v>
      </c>
      <c r="K37" s="75"/>
      <c r="L37" s="75" t="s">
        <v>3079</v>
      </c>
    </row>
    <row r="38" spans="1:12" x14ac:dyDescent="0.35">
      <c r="A38" s="74">
        <v>337</v>
      </c>
      <c r="B38" s="74">
        <v>20032</v>
      </c>
      <c r="C38" s="73">
        <v>14</v>
      </c>
      <c r="D38" s="75" t="s">
        <v>148</v>
      </c>
      <c r="E38" s="75" t="s">
        <v>149</v>
      </c>
      <c r="F38" s="75" t="s">
        <v>2590</v>
      </c>
      <c r="G38" s="73" t="s">
        <v>1002</v>
      </c>
      <c r="H38" s="74">
        <v>1043</v>
      </c>
      <c r="I38" s="74" t="s">
        <v>1006</v>
      </c>
      <c r="J38" s="75"/>
      <c r="K38" s="75" t="s">
        <v>3081</v>
      </c>
      <c r="L38" s="75" t="s">
        <v>3082</v>
      </c>
    </row>
    <row r="39" spans="1:12" x14ac:dyDescent="0.35">
      <c r="A39" s="74">
        <v>338</v>
      </c>
      <c r="B39" s="74">
        <v>20033</v>
      </c>
      <c r="C39" s="73">
        <v>15</v>
      </c>
      <c r="D39" s="75" t="s">
        <v>152</v>
      </c>
      <c r="E39" s="75" t="s">
        <v>153</v>
      </c>
      <c r="F39" s="75" t="s">
        <v>2592</v>
      </c>
      <c r="G39" s="73" t="s">
        <v>1002</v>
      </c>
      <c r="H39" s="74">
        <v>1044</v>
      </c>
      <c r="I39" s="74" t="s">
        <v>1006</v>
      </c>
      <c r="J39" s="75"/>
      <c r="K39" s="75" t="s">
        <v>3084</v>
      </c>
      <c r="L39" s="75" t="s">
        <v>3085</v>
      </c>
    </row>
    <row r="40" spans="1:12" x14ac:dyDescent="0.35">
      <c r="A40" s="74">
        <v>339</v>
      </c>
      <c r="B40" s="74">
        <v>20034</v>
      </c>
      <c r="C40" s="73">
        <v>16</v>
      </c>
      <c r="D40" s="75" t="s">
        <v>156</v>
      </c>
      <c r="E40" s="75" t="s">
        <v>157</v>
      </c>
      <c r="F40" s="75" t="s">
        <v>2593</v>
      </c>
      <c r="G40" s="73" t="s">
        <v>1002</v>
      </c>
      <c r="H40" s="74">
        <v>1045</v>
      </c>
      <c r="I40" s="74" t="s">
        <v>1006</v>
      </c>
      <c r="J40" s="75" t="s">
        <v>3078</v>
      </c>
      <c r="K40" s="75" t="s">
        <v>3087</v>
      </c>
      <c r="L40" s="75" t="s">
        <v>3088</v>
      </c>
    </row>
    <row r="41" spans="1:12" ht="58" x14ac:dyDescent="0.35">
      <c r="A41" s="74">
        <v>340</v>
      </c>
      <c r="B41" s="74">
        <v>20035</v>
      </c>
      <c r="C41" s="73">
        <v>17</v>
      </c>
      <c r="D41" s="75" t="s">
        <v>159</v>
      </c>
      <c r="E41" s="75" t="s">
        <v>160</v>
      </c>
      <c r="F41" s="75" t="s">
        <v>2595</v>
      </c>
      <c r="G41" s="73" t="s">
        <v>1002</v>
      </c>
      <c r="H41" s="74">
        <v>1046</v>
      </c>
      <c r="I41" s="74" t="s">
        <v>1006</v>
      </c>
      <c r="J41" s="75"/>
      <c r="K41" s="75" t="s">
        <v>3090</v>
      </c>
      <c r="L41" s="75" t="s">
        <v>159</v>
      </c>
    </row>
    <row r="42" spans="1:12" x14ac:dyDescent="0.35">
      <c r="A42" s="74">
        <v>341</v>
      </c>
      <c r="B42" s="74">
        <v>20036</v>
      </c>
      <c r="C42" s="73">
        <v>18</v>
      </c>
      <c r="D42" s="75" t="s">
        <v>162</v>
      </c>
      <c r="E42" s="75" t="s">
        <v>163</v>
      </c>
      <c r="F42" s="75" t="s">
        <v>2597</v>
      </c>
      <c r="G42" s="73" t="s">
        <v>1002</v>
      </c>
      <c r="H42" s="74">
        <v>1047</v>
      </c>
      <c r="I42" s="74" t="s">
        <v>3092</v>
      </c>
      <c r="J42" s="75"/>
      <c r="K42" s="75"/>
      <c r="L42" s="75" t="s">
        <v>3093</v>
      </c>
    </row>
    <row r="43" spans="1:12" x14ac:dyDescent="0.35">
      <c r="A43" s="74">
        <v>350</v>
      </c>
      <c r="B43" s="74">
        <v>20037</v>
      </c>
      <c r="C43" s="73">
        <v>19</v>
      </c>
      <c r="D43" s="75" t="s">
        <v>165</v>
      </c>
      <c r="E43" s="75" t="s">
        <v>166</v>
      </c>
      <c r="F43" s="75" t="s">
        <v>2599</v>
      </c>
      <c r="G43" s="73" t="s">
        <v>1002</v>
      </c>
      <c r="H43" s="74">
        <v>1048</v>
      </c>
      <c r="I43" s="74" t="s">
        <v>3092</v>
      </c>
      <c r="J43" s="75"/>
      <c r="K43" s="75"/>
      <c r="L43" s="75" t="s">
        <v>3095</v>
      </c>
    </row>
    <row r="44" spans="1:12" x14ac:dyDescent="0.35">
      <c r="A44" s="74">
        <v>351</v>
      </c>
      <c r="B44" s="74">
        <v>20038</v>
      </c>
      <c r="C44" s="73">
        <v>20</v>
      </c>
      <c r="D44" s="75" t="s">
        <v>168</v>
      </c>
      <c r="E44" s="75" t="s">
        <v>169</v>
      </c>
      <c r="F44" s="75" t="s">
        <v>2600</v>
      </c>
      <c r="G44" s="73" t="s">
        <v>1002</v>
      </c>
      <c r="H44" s="74">
        <v>1050</v>
      </c>
      <c r="I44" s="74" t="s">
        <v>3092</v>
      </c>
      <c r="J44" s="75"/>
      <c r="K44" s="75"/>
      <c r="L44" s="75" t="s">
        <v>3097</v>
      </c>
    </row>
    <row r="45" spans="1:12" x14ac:dyDescent="0.35">
      <c r="A45" s="74">
        <v>352</v>
      </c>
      <c r="B45" s="74">
        <v>20039</v>
      </c>
      <c r="C45" s="73">
        <v>21</v>
      </c>
      <c r="D45" s="75" t="s">
        <v>171</v>
      </c>
      <c r="E45" s="75" t="s">
        <v>172</v>
      </c>
      <c r="F45" s="75" t="s">
        <v>2601</v>
      </c>
      <c r="G45" s="73" t="s">
        <v>1002</v>
      </c>
      <c r="H45" s="74">
        <v>1052</v>
      </c>
      <c r="I45" s="74" t="s">
        <v>3092</v>
      </c>
      <c r="J45" s="75"/>
      <c r="K45" s="75"/>
      <c r="L45" s="75" t="s">
        <v>3099</v>
      </c>
    </row>
    <row r="46" spans="1:12" x14ac:dyDescent="0.35">
      <c r="A46" s="74">
        <v>353</v>
      </c>
      <c r="B46" s="74">
        <v>20040</v>
      </c>
      <c r="C46" s="73">
        <v>22</v>
      </c>
      <c r="D46" s="75" t="s">
        <v>174</v>
      </c>
      <c r="E46" s="75" t="s">
        <v>175</v>
      </c>
      <c r="F46" s="75" t="s">
        <v>2602</v>
      </c>
      <c r="G46" s="73" t="s">
        <v>1002</v>
      </c>
      <c r="H46" s="74">
        <v>1054</v>
      </c>
      <c r="I46" s="74" t="s">
        <v>3092</v>
      </c>
      <c r="J46" s="75"/>
      <c r="K46" s="75"/>
      <c r="L46" s="75" t="s">
        <v>3101</v>
      </c>
    </row>
    <row r="47" spans="1:12" x14ac:dyDescent="0.35">
      <c r="A47" s="74">
        <v>354</v>
      </c>
      <c r="B47" s="74">
        <v>20041</v>
      </c>
      <c r="C47" s="73">
        <v>23</v>
      </c>
      <c r="D47" s="75" t="s">
        <v>177</v>
      </c>
      <c r="E47" s="75" t="s">
        <v>178</v>
      </c>
      <c r="F47" s="75" t="s">
        <v>2603</v>
      </c>
      <c r="G47" s="73" t="s">
        <v>1002</v>
      </c>
      <c r="H47" s="74">
        <v>1056</v>
      </c>
      <c r="I47" s="74" t="s">
        <v>3092</v>
      </c>
      <c r="J47" s="75"/>
      <c r="K47" s="75"/>
      <c r="L47" s="75" t="s">
        <v>3103</v>
      </c>
    </row>
    <row r="48" spans="1:12" x14ac:dyDescent="0.35">
      <c r="A48" s="74">
        <v>355</v>
      </c>
      <c r="B48" s="74">
        <v>20042</v>
      </c>
      <c r="C48" s="73">
        <v>24</v>
      </c>
      <c r="D48" s="75" t="s">
        <v>180</v>
      </c>
      <c r="E48" s="75" t="s">
        <v>181</v>
      </c>
      <c r="F48" s="75" t="s">
        <v>2604</v>
      </c>
      <c r="G48" s="73" t="s">
        <v>1002</v>
      </c>
      <c r="H48" s="74">
        <v>1058</v>
      </c>
      <c r="I48" s="74" t="s">
        <v>3092</v>
      </c>
      <c r="J48" s="75"/>
      <c r="K48" s="75"/>
      <c r="L48" s="75" t="s">
        <v>3105</v>
      </c>
    </row>
    <row r="49" spans="1:12" x14ac:dyDescent="0.35">
      <c r="A49" s="74">
        <v>356</v>
      </c>
      <c r="B49" s="74">
        <v>20043</v>
      </c>
      <c r="C49" s="73">
        <v>25</v>
      </c>
      <c r="D49" s="75" t="s">
        <v>183</v>
      </c>
      <c r="E49" s="75" t="s">
        <v>184</v>
      </c>
      <c r="F49" s="75" t="s">
        <v>2605</v>
      </c>
      <c r="G49" s="73" t="s">
        <v>1002</v>
      </c>
      <c r="H49" s="74">
        <v>1060</v>
      </c>
      <c r="I49" s="74" t="s">
        <v>3092</v>
      </c>
      <c r="J49" s="75"/>
      <c r="K49" s="75"/>
      <c r="L49" s="75" t="s">
        <v>3107</v>
      </c>
    </row>
    <row r="50" spans="1:12" x14ac:dyDescent="0.35">
      <c r="A50" s="74">
        <v>357</v>
      </c>
      <c r="B50" s="74">
        <v>20044</v>
      </c>
      <c r="C50" s="73">
        <v>26</v>
      </c>
      <c r="D50" s="75" t="s">
        <v>186</v>
      </c>
      <c r="E50" s="75" t="s">
        <v>187</v>
      </c>
      <c r="F50" s="75" t="s">
        <v>2606</v>
      </c>
      <c r="G50" s="73" t="s">
        <v>1002</v>
      </c>
      <c r="H50" s="74">
        <v>1062</v>
      </c>
      <c r="I50" s="74" t="s">
        <v>3092</v>
      </c>
      <c r="J50" s="75"/>
      <c r="K50" s="75"/>
      <c r="L50" s="75" t="s">
        <v>3109</v>
      </c>
    </row>
    <row r="51" spans="1:12" x14ac:dyDescent="0.35">
      <c r="A51" s="74">
        <v>358</v>
      </c>
      <c r="B51" s="74">
        <v>20045</v>
      </c>
      <c r="C51" s="73">
        <v>27</v>
      </c>
      <c r="D51" s="75" t="s">
        <v>189</v>
      </c>
      <c r="E51" s="75" t="s">
        <v>190</v>
      </c>
      <c r="F51" s="75" t="s">
        <v>2607</v>
      </c>
      <c r="G51" s="73" t="s">
        <v>1002</v>
      </c>
      <c r="H51" s="74">
        <v>1064</v>
      </c>
      <c r="I51" s="74" t="s">
        <v>3092</v>
      </c>
      <c r="J51" s="75"/>
      <c r="K51" s="75"/>
      <c r="L51" s="75" t="s">
        <v>3111</v>
      </c>
    </row>
    <row r="52" spans="1:12" x14ac:dyDescent="0.35">
      <c r="A52" s="74">
        <v>359</v>
      </c>
      <c r="B52" s="74">
        <v>20046</v>
      </c>
      <c r="C52" s="73">
        <v>28</v>
      </c>
      <c r="D52" s="75" t="s">
        <v>192</v>
      </c>
      <c r="E52" s="75" t="s">
        <v>193</v>
      </c>
      <c r="F52" s="75" t="s">
        <v>2608</v>
      </c>
      <c r="G52" s="73" t="s">
        <v>1002</v>
      </c>
      <c r="H52" s="74">
        <v>1066</v>
      </c>
      <c r="I52" s="74" t="s">
        <v>3092</v>
      </c>
      <c r="J52" s="75"/>
      <c r="K52" s="75"/>
      <c r="L52" s="75" t="s">
        <v>3113</v>
      </c>
    </row>
    <row r="53" spans="1:12" x14ac:dyDescent="0.35">
      <c r="A53" s="74">
        <v>378</v>
      </c>
      <c r="B53" s="74">
        <v>20047</v>
      </c>
      <c r="C53" s="73">
        <v>29</v>
      </c>
      <c r="D53" s="75" t="s">
        <v>195</v>
      </c>
      <c r="E53" s="75" t="s">
        <v>196</v>
      </c>
      <c r="F53" s="75" t="s">
        <v>2609</v>
      </c>
      <c r="G53" s="73" t="s">
        <v>1002</v>
      </c>
      <c r="H53" s="74">
        <v>1068</v>
      </c>
      <c r="I53" s="74" t="s">
        <v>1006</v>
      </c>
      <c r="J53" s="75"/>
      <c r="K53" s="75" t="s">
        <v>3115</v>
      </c>
      <c r="L53" s="75" t="s">
        <v>1452</v>
      </c>
    </row>
    <row r="54" spans="1:12" x14ac:dyDescent="0.35">
      <c r="A54" s="74">
        <v>379</v>
      </c>
      <c r="B54" s="74">
        <v>20048</v>
      </c>
      <c r="C54" s="73" t="s">
        <v>1063</v>
      </c>
      <c r="D54" s="75" t="s">
        <v>201</v>
      </c>
      <c r="E54" s="75" t="s">
        <v>202</v>
      </c>
      <c r="F54" s="75" t="s">
        <v>2610</v>
      </c>
      <c r="G54" s="73" t="s">
        <v>1002</v>
      </c>
      <c r="H54" s="74">
        <v>1070</v>
      </c>
      <c r="I54" s="74" t="s">
        <v>1016</v>
      </c>
      <c r="J54" s="75"/>
      <c r="K54" s="75"/>
      <c r="L54" s="75" t="s">
        <v>201</v>
      </c>
    </row>
    <row r="55" spans="1:12" x14ac:dyDescent="0.35">
      <c r="A55" s="74">
        <v>381</v>
      </c>
      <c r="B55" s="74">
        <v>20050</v>
      </c>
      <c r="C55" s="73" t="s">
        <v>1066</v>
      </c>
      <c r="D55" s="75" t="s">
        <v>207</v>
      </c>
      <c r="E55" s="75" t="s">
        <v>208</v>
      </c>
      <c r="F55" s="75" t="s">
        <v>2613</v>
      </c>
      <c r="G55" s="73" t="s">
        <v>1002</v>
      </c>
      <c r="H55" s="74">
        <v>1074</v>
      </c>
      <c r="I55" s="74" t="s">
        <v>1016</v>
      </c>
      <c r="J55" s="75"/>
      <c r="K55" s="75"/>
      <c r="L55" s="75" t="s">
        <v>207</v>
      </c>
    </row>
    <row r="56" spans="1:12" x14ac:dyDescent="0.35">
      <c r="A56" s="74">
        <v>383</v>
      </c>
      <c r="B56" s="74">
        <v>20052</v>
      </c>
      <c r="C56" s="73" t="s">
        <v>1067</v>
      </c>
      <c r="D56" s="75" t="s">
        <v>212</v>
      </c>
      <c r="E56" s="75" t="s">
        <v>213</v>
      </c>
      <c r="F56" s="75" t="s">
        <v>2615</v>
      </c>
      <c r="G56" s="73" t="s">
        <v>1002</v>
      </c>
      <c r="H56" s="74">
        <v>1078</v>
      </c>
      <c r="I56" s="74" t="s">
        <v>1016</v>
      </c>
      <c r="J56" s="75"/>
      <c r="K56" s="75"/>
      <c r="L56" s="75" t="s">
        <v>212</v>
      </c>
    </row>
    <row r="57" spans="1:12" x14ac:dyDescent="0.35">
      <c r="A57" s="74">
        <v>385</v>
      </c>
      <c r="B57" s="74">
        <v>20054</v>
      </c>
      <c r="C57" s="73" t="s">
        <v>1068</v>
      </c>
      <c r="D57" s="75" t="s">
        <v>217</v>
      </c>
      <c r="E57" s="75" t="s">
        <v>218</v>
      </c>
      <c r="F57" s="75" t="s">
        <v>2617</v>
      </c>
      <c r="G57" s="73" t="s">
        <v>1002</v>
      </c>
      <c r="H57" s="74">
        <v>1082</v>
      </c>
      <c r="I57" s="74" t="s">
        <v>1016</v>
      </c>
      <c r="J57" s="75"/>
      <c r="K57" s="75"/>
      <c r="L57" s="75" t="s">
        <v>217</v>
      </c>
    </row>
    <row r="58" spans="1:12" x14ac:dyDescent="0.35">
      <c r="A58" s="74">
        <v>387</v>
      </c>
      <c r="B58" s="74">
        <v>20056</v>
      </c>
      <c r="C58" s="73" t="s">
        <v>1069</v>
      </c>
      <c r="D58" s="75" t="s">
        <v>222</v>
      </c>
      <c r="E58" s="75" t="s">
        <v>223</v>
      </c>
      <c r="F58" s="75" t="s">
        <v>2619</v>
      </c>
      <c r="G58" s="73" t="s">
        <v>1002</v>
      </c>
      <c r="H58" s="74">
        <v>1086</v>
      </c>
      <c r="I58" s="74" t="s">
        <v>1016</v>
      </c>
      <c r="J58" s="75"/>
      <c r="K58" s="75"/>
      <c r="L58" s="75" t="s">
        <v>222</v>
      </c>
    </row>
    <row r="59" spans="1:12" x14ac:dyDescent="0.35">
      <c r="A59" s="74">
        <v>389</v>
      </c>
      <c r="B59" s="74">
        <v>20058</v>
      </c>
      <c r="C59" s="73" t="s">
        <v>1070</v>
      </c>
      <c r="D59" s="75" t="s">
        <v>227</v>
      </c>
      <c r="E59" s="75" t="s">
        <v>228</v>
      </c>
      <c r="F59" s="75" t="s">
        <v>2621</v>
      </c>
      <c r="G59" s="73" t="s">
        <v>1002</v>
      </c>
      <c r="H59" s="74">
        <v>1090</v>
      </c>
      <c r="I59" s="74" t="s">
        <v>1016</v>
      </c>
      <c r="J59" s="75"/>
      <c r="K59" s="75"/>
      <c r="L59" s="75" t="s">
        <v>227</v>
      </c>
    </row>
    <row r="60" spans="1:12" x14ac:dyDescent="0.35">
      <c r="A60" s="74">
        <v>391</v>
      </c>
      <c r="B60" s="74">
        <v>20060</v>
      </c>
      <c r="C60" s="73" t="s">
        <v>1071</v>
      </c>
      <c r="D60" s="75" t="s">
        <v>232</v>
      </c>
      <c r="E60" s="75" t="s">
        <v>233</v>
      </c>
      <c r="F60" s="75" t="s">
        <v>2623</v>
      </c>
      <c r="G60" s="73" t="s">
        <v>1002</v>
      </c>
      <c r="H60" s="74">
        <v>1094</v>
      </c>
      <c r="I60" s="74" t="s">
        <v>1016</v>
      </c>
      <c r="J60" s="75"/>
      <c r="K60" s="75"/>
      <c r="L60" s="75" t="s">
        <v>232</v>
      </c>
    </row>
    <row r="61" spans="1:12" x14ac:dyDescent="0.35">
      <c r="A61" s="74">
        <v>393</v>
      </c>
      <c r="B61" s="74">
        <v>20062</v>
      </c>
      <c r="C61" s="73" t="s">
        <v>1072</v>
      </c>
      <c r="D61" s="75" t="s">
        <v>237</v>
      </c>
      <c r="E61" s="75" t="s">
        <v>238</v>
      </c>
      <c r="F61" s="75" t="s">
        <v>2625</v>
      </c>
      <c r="G61" s="73" t="s">
        <v>1002</v>
      </c>
      <c r="H61" s="74">
        <v>1098</v>
      </c>
      <c r="I61" s="74" t="s">
        <v>1016</v>
      </c>
      <c r="J61" s="75"/>
      <c r="K61" s="75"/>
      <c r="L61" s="75" t="s">
        <v>237</v>
      </c>
    </row>
    <row r="62" spans="1:12" x14ac:dyDescent="0.35">
      <c r="A62" s="74">
        <v>395</v>
      </c>
      <c r="B62" s="74">
        <v>20064</v>
      </c>
      <c r="C62" s="73" t="s">
        <v>1073</v>
      </c>
      <c r="D62" s="75" t="s">
        <v>242</v>
      </c>
      <c r="E62" s="75" t="s">
        <v>243</v>
      </c>
      <c r="F62" s="75" t="s">
        <v>2629</v>
      </c>
      <c r="G62" s="73" t="s">
        <v>1002</v>
      </c>
      <c r="H62" s="74">
        <v>1102</v>
      </c>
      <c r="I62" s="74" t="s">
        <v>1016</v>
      </c>
      <c r="J62" s="75"/>
      <c r="K62" s="75"/>
      <c r="L62" s="75" t="s">
        <v>242</v>
      </c>
    </row>
    <row r="63" spans="1:12" ht="29" x14ac:dyDescent="0.35">
      <c r="A63" s="74">
        <v>396</v>
      </c>
      <c r="B63" s="74">
        <v>20065</v>
      </c>
      <c r="C63" s="73" t="s">
        <v>1073</v>
      </c>
      <c r="D63" s="75" t="s">
        <v>244</v>
      </c>
      <c r="E63" s="75" t="s">
        <v>245</v>
      </c>
      <c r="F63" s="75" t="s">
        <v>2630</v>
      </c>
      <c r="G63" s="73" t="s">
        <v>1002</v>
      </c>
      <c r="H63" s="74">
        <v>1104</v>
      </c>
      <c r="I63" s="74" t="s">
        <v>1006</v>
      </c>
      <c r="J63" s="75"/>
      <c r="K63" s="75" t="s">
        <v>3126</v>
      </c>
      <c r="L63" s="75" t="s">
        <v>3127</v>
      </c>
    </row>
    <row r="64" spans="1:12" ht="29" x14ac:dyDescent="0.35">
      <c r="A64" s="74">
        <v>398</v>
      </c>
      <c r="B64" s="74">
        <v>20066</v>
      </c>
      <c r="C64" s="73" t="s">
        <v>1073</v>
      </c>
      <c r="D64" s="75" t="s">
        <v>246</v>
      </c>
      <c r="E64" s="75" t="s">
        <v>247</v>
      </c>
      <c r="F64" s="75" t="s">
        <v>2631</v>
      </c>
      <c r="G64" s="73" t="s">
        <v>1002</v>
      </c>
      <c r="H64" s="74">
        <v>1108</v>
      </c>
      <c r="I64" s="74" t="s">
        <v>1006</v>
      </c>
      <c r="J64" s="75"/>
      <c r="K64" s="75" t="s">
        <v>3126</v>
      </c>
      <c r="L64" s="75" t="s">
        <v>246</v>
      </c>
    </row>
    <row r="65" spans="1:12" x14ac:dyDescent="0.35">
      <c r="A65" s="74">
        <v>400</v>
      </c>
      <c r="B65" s="74">
        <v>20067</v>
      </c>
      <c r="C65" s="73" t="s">
        <v>1078</v>
      </c>
      <c r="D65" s="75" t="s">
        <v>249</v>
      </c>
      <c r="E65" s="75" t="s">
        <v>250</v>
      </c>
      <c r="F65" s="75" t="s">
        <v>2632</v>
      </c>
      <c r="G65" s="73" t="s">
        <v>1002</v>
      </c>
      <c r="H65" s="74">
        <v>1112</v>
      </c>
      <c r="I65" s="74" t="s">
        <v>1016</v>
      </c>
      <c r="J65" s="75"/>
      <c r="K65" s="75"/>
      <c r="L65" s="75" t="s">
        <v>249</v>
      </c>
    </row>
    <row r="66" spans="1:12" ht="29" x14ac:dyDescent="0.35">
      <c r="A66" s="74">
        <v>401</v>
      </c>
      <c r="B66" s="74">
        <v>20068</v>
      </c>
      <c r="C66" s="73" t="s">
        <v>1078</v>
      </c>
      <c r="D66" s="75" t="s">
        <v>251</v>
      </c>
      <c r="E66" s="75" t="s">
        <v>252</v>
      </c>
      <c r="F66" s="75" t="s">
        <v>2633</v>
      </c>
      <c r="G66" s="73" t="s">
        <v>1002</v>
      </c>
      <c r="H66" s="74">
        <v>1114</v>
      </c>
      <c r="I66" s="74" t="s">
        <v>1006</v>
      </c>
      <c r="J66" s="75"/>
      <c r="K66" s="75" t="s">
        <v>3131</v>
      </c>
      <c r="L66" s="75" t="s">
        <v>251</v>
      </c>
    </row>
    <row r="67" spans="1:12" ht="29" x14ac:dyDescent="0.35">
      <c r="A67" s="74">
        <v>403</v>
      </c>
      <c r="B67" s="74">
        <v>20069</v>
      </c>
      <c r="C67" s="73" t="s">
        <v>1078</v>
      </c>
      <c r="D67" s="75" t="s">
        <v>253</v>
      </c>
      <c r="E67" s="75" t="s">
        <v>254</v>
      </c>
      <c r="F67" s="75" t="s">
        <v>2634</v>
      </c>
      <c r="G67" s="73" t="s">
        <v>1002</v>
      </c>
      <c r="H67" s="74">
        <v>1118</v>
      </c>
      <c r="I67" s="74" t="s">
        <v>1006</v>
      </c>
      <c r="J67" s="75"/>
      <c r="K67" s="75" t="s">
        <v>3131</v>
      </c>
      <c r="L67" s="75" t="s">
        <v>253</v>
      </c>
    </row>
    <row r="68" spans="1:12" x14ac:dyDescent="0.35">
      <c r="A68" s="74">
        <v>405</v>
      </c>
      <c r="B68" s="74">
        <v>20070</v>
      </c>
      <c r="C68" s="73" t="s">
        <v>1083</v>
      </c>
      <c r="D68" s="75" t="s">
        <v>256</v>
      </c>
      <c r="E68" s="75" t="s">
        <v>257</v>
      </c>
      <c r="F68" s="75" t="s">
        <v>2635</v>
      </c>
      <c r="G68" s="73" t="s">
        <v>1002</v>
      </c>
      <c r="H68" s="74">
        <v>1122</v>
      </c>
      <c r="I68" s="74" t="s">
        <v>1016</v>
      </c>
      <c r="J68" s="75"/>
      <c r="K68" s="75"/>
      <c r="L68" s="75" t="s">
        <v>256</v>
      </c>
    </row>
    <row r="69" spans="1:12" ht="29" x14ac:dyDescent="0.35">
      <c r="A69" s="74">
        <v>406</v>
      </c>
      <c r="B69" s="74">
        <v>20071</v>
      </c>
      <c r="C69" s="73" t="s">
        <v>1083</v>
      </c>
      <c r="D69" s="75" t="s">
        <v>258</v>
      </c>
      <c r="E69" s="75" t="s">
        <v>259</v>
      </c>
      <c r="F69" s="75" t="s">
        <v>2636</v>
      </c>
      <c r="G69" s="73" t="s">
        <v>1002</v>
      </c>
      <c r="H69" s="74">
        <v>1124</v>
      </c>
      <c r="I69" s="74" t="s">
        <v>1006</v>
      </c>
      <c r="J69" s="75"/>
      <c r="K69" s="75" t="s">
        <v>3135</v>
      </c>
      <c r="L69" s="75" t="s">
        <v>258</v>
      </c>
    </row>
    <row r="70" spans="1:12" ht="29" x14ac:dyDescent="0.35">
      <c r="A70" s="74">
        <v>408</v>
      </c>
      <c r="B70" s="74">
        <v>20072</v>
      </c>
      <c r="C70" s="73" t="s">
        <v>1083</v>
      </c>
      <c r="D70" s="75" t="s">
        <v>260</v>
      </c>
      <c r="E70" s="75" t="s">
        <v>261</v>
      </c>
      <c r="F70" s="75" t="s">
        <v>2637</v>
      </c>
      <c r="G70" s="73" t="s">
        <v>1002</v>
      </c>
      <c r="H70" s="74">
        <v>1128</v>
      </c>
      <c r="I70" s="74" t="s">
        <v>1006</v>
      </c>
      <c r="J70" s="75"/>
      <c r="K70" s="75" t="s">
        <v>3135</v>
      </c>
      <c r="L70" s="75" t="s">
        <v>260</v>
      </c>
    </row>
    <row r="71" spans="1:12" x14ac:dyDescent="0.35">
      <c r="A71" s="74">
        <v>410</v>
      </c>
      <c r="B71" s="74">
        <v>20073</v>
      </c>
      <c r="C71" s="73" t="s">
        <v>1088</v>
      </c>
      <c r="D71" s="75" t="s">
        <v>263</v>
      </c>
      <c r="E71" s="75" t="s">
        <v>264</v>
      </c>
      <c r="F71" s="75" t="s">
        <v>2638</v>
      </c>
      <c r="G71" s="73" t="s">
        <v>1002</v>
      </c>
      <c r="H71" s="74">
        <v>1132</v>
      </c>
      <c r="I71" s="74" t="s">
        <v>1016</v>
      </c>
      <c r="J71" s="75"/>
      <c r="K71" s="75"/>
      <c r="L71" s="75" t="s">
        <v>263</v>
      </c>
    </row>
    <row r="72" spans="1:12" ht="29" x14ac:dyDescent="0.35">
      <c r="A72" s="74">
        <v>411</v>
      </c>
      <c r="B72" s="74">
        <v>20074</v>
      </c>
      <c r="C72" s="73" t="s">
        <v>1088</v>
      </c>
      <c r="D72" s="75" t="s">
        <v>265</v>
      </c>
      <c r="E72" s="75" t="s">
        <v>266</v>
      </c>
      <c r="F72" s="75" t="s">
        <v>2639</v>
      </c>
      <c r="G72" s="73" t="s">
        <v>1002</v>
      </c>
      <c r="H72" s="74">
        <v>1134</v>
      </c>
      <c r="I72" s="74" t="s">
        <v>1006</v>
      </c>
      <c r="J72" s="75"/>
      <c r="K72" s="75" t="s">
        <v>3139</v>
      </c>
      <c r="L72" s="75" t="s">
        <v>265</v>
      </c>
    </row>
    <row r="73" spans="1:12" ht="29" x14ac:dyDescent="0.35">
      <c r="A73" s="74">
        <v>413</v>
      </c>
      <c r="B73" s="74">
        <v>20075</v>
      </c>
      <c r="C73" s="73" t="s">
        <v>1088</v>
      </c>
      <c r="D73" s="75" t="s">
        <v>267</v>
      </c>
      <c r="E73" s="75" t="s">
        <v>268</v>
      </c>
      <c r="F73" s="75" t="s">
        <v>2640</v>
      </c>
      <c r="G73" s="73" t="s">
        <v>1002</v>
      </c>
      <c r="H73" s="74">
        <v>1138</v>
      </c>
      <c r="I73" s="74" t="s">
        <v>1006</v>
      </c>
      <c r="J73" s="75"/>
      <c r="K73" s="75" t="s">
        <v>3139</v>
      </c>
      <c r="L73" s="75" t="s">
        <v>267</v>
      </c>
    </row>
    <row r="74" spans="1:12" ht="29" x14ac:dyDescent="0.35">
      <c r="A74" s="74">
        <v>415</v>
      </c>
      <c r="B74" s="74">
        <v>20076</v>
      </c>
      <c r="C74" s="73">
        <v>38</v>
      </c>
      <c r="D74" s="75" t="s">
        <v>286</v>
      </c>
      <c r="E74" s="75" t="s">
        <v>287</v>
      </c>
      <c r="F74" s="75" t="s">
        <v>2641</v>
      </c>
      <c r="G74" s="73" t="s">
        <v>1002</v>
      </c>
      <c r="H74" s="74">
        <v>1142</v>
      </c>
      <c r="I74" s="74" t="s">
        <v>2998</v>
      </c>
      <c r="J74" s="75"/>
      <c r="K74" s="75" t="s">
        <v>2999</v>
      </c>
      <c r="L74" s="75" t="s">
        <v>3142</v>
      </c>
    </row>
    <row r="75" spans="1:12" x14ac:dyDescent="0.35">
      <c r="A75" s="74">
        <v>416</v>
      </c>
      <c r="B75" s="74">
        <v>20077</v>
      </c>
      <c r="C75" s="73">
        <v>38</v>
      </c>
      <c r="D75" s="75" t="s">
        <v>288</v>
      </c>
      <c r="E75" s="75" t="s">
        <v>289</v>
      </c>
      <c r="F75" s="75" t="s">
        <v>2642</v>
      </c>
      <c r="G75" s="73" t="s">
        <v>1002</v>
      </c>
      <c r="H75" s="74">
        <v>1144</v>
      </c>
      <c r="I75" s="74" t="s">
        <v>1016</v>
      </c>
      <c r="J75" s="75"/>
      <c r="K75" s="75"/>
      <c r="L75" s="75" t="s">
        <v>3144</v>
      </c>
    </row>
    <row r="76" spans="1:12" ht="29" x14ac:dyDescent="0.35">
      <c r="A76" s="74">
        <v>417</v>
      </c>
      <c r="B76" s="74">
        <v>20078</v>
      </c>
      <c r="C76" s="73">
        <v>38</v>
      </c>
      <c r="D76" s="75" t="s">
        <v>290</v>
      </c>
      <c r="E76" s="75" t="s">
        <v>291</v>
      </c>
      <c r="F76" s="75" t="s">
        <v>2643</v>
      </c>
      <c r="G76" s="73" t="s">
        <v>1002</v>
      </c>
      <c r="H76" s="74">
        <v>1146</v>
      </c>
      <c r="I76" s="74" t="s">
        <v>1016</v>
      </c>
      <c r="J76" s="75"/>
      <c r="K76" s="75"/>
      <c r="L76" s="75" t="s">
        <v>3146</v>
      </c>
    </row>
    <row r="77" spans="1:12" ht="58" x14ac:dyDescent="0.35">
      <c r="A77" s="74">
        <v>418</v>
      </c>
      <c r="B77" s="74">
        <v>20079</v>
      </c>
      <c r="C77" s="73">
        <v>38</v>
      </c>
      <c r="D77" s="75" t="s">
        <v>292</v>
      </c>
      <c r="E77" s="75" t="s">
        <v>293</v>
      </c>
      <c r="F77" s="75" t="s">
        <v>2644</v>
      </c>
      <c r="G77" s="73" t="s">
        <v>1002</v>
      </c>
      <c r="H77" s="74">
        <v>1148</v>
      </c>
      <c r="I77" s="74" t="s">
        <v>1006</v>
      </c>
      <c r="J77" s="75"/>
      <c r="K77" s="75" t="s">
        <v>3148</v>
      </c>
      <c r="L77" s="75" t="s">
        <v>3149</v>
      </c>
    </row>
    <row r="78" spans="1:12" ht="58" x14ac:dyDescent="0.35">
      <c r="A78" s="74">
        <v>419</v>
      </c>
      <c r="B78" s="74">
        <v>20079</v>
      </c>
      <c r="C78" s="73">
        <v>38</v>
      </c>
      <c r="D78" s="75" t="s">
        <v>292</v>
      </c>
      <c r="E78" s="75" t="s">
        <v>293</v>
      </c>
      <c r="F78" s="75" t="s">
        <v>2644</v>
      </c>
      <c r="G78" s="73" t="s">
        <v>1002</v>
      </c>
      <c r="H78" s="74">
        <v>1150</v>
      </c>
      <c r="I78" s="74" t="s">
        <v>1006</v>
      </c>
      <c r="J78" s="75"/>
      <c r="K78" s="75" t="s">
        <v>3151</v>
      </c>
      <c r="L78" s="75" t="s">
        <v>3149</v>
      </c>
    </row>
    <row r="79" spans="1:12" x14ac:dyDescent="0.35">
      <c r="A79" s="74">
        <v>521</v>
      </c>
      <c r="B79" s="74">
        <v>20080</v>
      </c>
      <c r="C79" s="73" t="s">
        <v>1095</v>
      </c>
      <c r="D79" s="75" t="s">
        <v>297</v>
      </c>
      <c r="E79" s="75" t="s">
        <v>298</v>
      </c>
      <c r="F79" s="75" t="s">
        <v>2645</v>
      </c>
      <c r="G79" s="73" t="s">
        <v>1002</v>
      </c>
      <c r="H79" s="74">
        <v>1155</v>
      </c>
      <c r="I79" s="74" t="s">
        <v>1016</v>
      </c>
      <c r="J79" s="75"/>
      <c r="K79" s="75"/>
      <c r="L79" s="75" t="s">
        <v>297</v>
      </c>
    </row>
    <row r="80" spans="1:12" x14ac:dyDescent="0.35">
      <c r="A80" s="365">
        <v>522</v>
      </c>
      <c r="B80" s="365">
        <v>20081</v>
      </c>
      <c r="C80" s="366" t="s">
        <v>1095</v>
      </c>
      <c r="D80" s="367" t="s">
        <v>299</v>
      </c>
      <c r="E80" s="367" t="s">
        <v>300</v>
      </c>
      <c r="F80" s="367" t="s">
        <v>2646</v>
      </c>
      <c r="G80" s="366" t="s">
        <v>1002</v>
      </c>
      <c r="H80" s="365">
        <v>1160</v>
      </c>
      <c r="I80" s="365" t="s">
        <v>3154</v>
      </c>
      <c r="J80" s="367"/>
      <c r="K80" s="367"/>
      <c r="L80" s="367" t="s">
        <v>299</v>
      </c>
    </row>
    <row r="81" spans="1:12" x14ac:dyDescent="0.35">
      <c r="A81" s="74">
        <v>525</v>
      </c>
      <c r="B81" s="74">
        <v>20082</v>
      </c>
      <c r="C81" s="73" t="s">
        <v>1099</v>
      </c>
      <c r="D81" s="75" t="s">
        <v>302</v>
      </c>
      <c r="E81" s="75" t="s">
        <v>303</v>
      </c>
      <c r="F81" s="75" t="s">
        <v>2647</v>
      </c>
      <c r="G81" s="73" t="s">
        <v>1002</v>
      </c>
      <c r="H81" s="74">
        <v>1165</v>
      </c>
      <c r="I81" s="74" t="s">
        <v>1016</v>
      </c>
      <c r="J81" s="75"/>
      <c r="K81" s="75"/>
      <c r="L81" s="75" t="s">
        <v>302</v>
      </c>
    </row>
    <row r="82" spans="1:12" x14ac:dyDescent="0.35">
      <c r="A82" s="74">
        <v>527</v>
      </c>
      <c r="B82" s="74">
        <v>20084</v>
      </c>
      <c r="C82" s="73" t="s">
        <v>1100</v>
      </c>
      <c r="D82" s="75" t="s">
        <v>307</v>
      </c>
      <c r="E82" s="75" t="s">
        <v>308</v>
      </c>
      <c r="F82" s="75" t="s">
        <v>2649</v>
      </c>
      <c r="G82" s="73" t="s">
        <v>1002</v>
      </c>
      <c r="H82" s="74">
        <v>1175</v>
      </c>
      <c r="I82" s="74" t="s">
        <v>1016</v>
      </c>
      <c r="J82" s="75"/>
      <c r="K82" s="75"/>
      <c r="L82" s="75" t="s">
        <v>307</v>
      </c>
    </row>
    <row r="83" spans="1:12" x14ac:dyDescent="0.35">
      <c r="A83" s="74">
        <v>529</v>
      </c>
      <c r="B83" s="74">
        <v>20086</v>
      </c>
      <c r="C83" s="73" t="s">
        <v>1101</v>
      </c>
      <c r="D83" s="75" t="s">
        <v>312</v>
      </c>
      <c r="E83" s="75" t="s">
        <v>313</v>
      </c>
      <c r="F83" s="75" t="s">
        <v>2651</v>
      </c>
      <c r="G83" s="73" t="s">
        <v>1002</v>
      </c>
      <c r="H83" s="74">
        <v>1185</v>
      </c>
      <c r="I83" s="74" t="s">
        <v>1016</v>
      </c>
      <c r="J83" s="75"/>
      <c r="K83" s="75"/>
      <c r="L83" s="75" t="s">
        <v>312</v>
      </c>
    </row>
    <row r="84" spans="1:12" x14ac:dyDescent="0.35">
      <c r="A84" s="74">
        <v>531</v>
      </c>
      <c r="B84" s="74">
        <v>20088</v>
      </c>
      <c r="C84" s="73" t="s">
        <v>1102</v>
      </c>
      <c r="D84" s="75" t="s">
        <v>317</v>
      </c>
      <c r="E84" s="75" t="s">
        <v>318</v>
      </c>
      <c r="F84" s="75" t="s">
        <v>2653</v>
      </c>
      <c r="G84" s="73" t="s">
        <v>1002</v>
      </c>
      <c r="H84" s="74">
        <v>1195</v>
      </c>
      <c r="I84" s="74" t="s">
        <v>1016</v>
      </c>
      <c r="J84" s="75"/>
      <c r="K84" s="75"/>
      <c r="L84" s="75" t="s">
        <v>317</v>
      </c>
    </row>
    <row r="85" spans="1:12" x14ac:dyDescent="0.35">
      <c r="A85" s="74">
        <v>533</v>
      </c>
      <c r="B85" s="74">
        <v>20090</v>
      </c>
      <c r="C85" s="73" t="s">
        <v>1103</v>
      </c>
      <c r="D85" s="75" t="s">
        <v>322</v>
      </c>
      <c r="E85" s="75" t="s">
        <v>323</v>
      </c>
      <c r="F85" s="75" t="s">
        <v>2655</v>
      </c>
      <c r="G85" s="73" t="s">
        <v>1002</v>
      </c>
      <c r="H85" s="74">
        <v>1205</v>
      </c>
      <c r="I85" s="74" t="s">
        <v>1016</v>
      </c>
      <c r="J85" s="75"/>
      <c r="K85" s="75"/>
      <c r="L85" s="75" t="s">
        <v>322</v>
      </c>
    </row>
    <row r="86" spans="1:12" x14ac:dyDescent="0.35">
      <c r="A86" s="74">
        <v>535</v>
      </c>
      <c r="B86" s="74">
        <v>20092</v>
      </c>
      <c r="C86" s="73" t="s">
        <v>1104</v>
      </c>
      <c r="D86" s="75" t="s">
        <v>327</v>
      </c>
      <c r="E86" s="75" t="s">
        <v>328</v>
      </c>
      <c r="F86" s="75" t="s">
        <v>2657</v>
      </c>
      <c r="G86" s="73" t="s">
        <v>1002</v>
      </c>
      <c r="H86" s="74">
        <v>1215</v>
      </c>
      <c r="I86" s="74" t="s">
        <v>1016</v>
      </c>
      <c r="J86" s="75"/>
      <c r="K86" s="75"/>
      <c r="L86" s="75" t="s">
        <v>327</v>
      </c>
    </row>
    <row r="87" spans="1:12" x14ac:dyDescent="0.35">
      <c r="A87" s="74">
        <v>537</v>
      </c>
      <c r="B87" s="74">
        <v>20094</v>
      </c>
      <c r="C87" s="73" t="s">
        <v>1105</v>
      </c>
      <c r="D87" s="75" t="s">
        <v>332</v>
      </c>
      <c r="E87" s="75" t="s">
        <v>333</v>
      </c>
      <c r="F87" s="75" t="s">
        <v>2659</v>
      </c>
      <c r="G87" s="73" t="s">
        <v>1002</v>
      </c>
      <c r="H87" s="74">
        <v>1225</v>
      </c>
      <c r="I87" s="74" t="s">
        <v>1016</v>
      </c>
      <c r="J87" s="75"/>
      <c r="K87" s="75"/>
      <c r="L87" s="75" t="s">
        <v>332</v>
      </c>
    </row>
    <row r="88" spans="1:12" x14ac:dyDescent="0.35">
      <c r="A88" s="74">
        <v>539</v>
      </c>
      <c r="B88" s="74">
        <v>20096</v>
      </c>
      <c r="C88" s="73" t="s">
        <v>1106</v>
      </c>
      <c r="D88" s="75" t="s">
        <v>337</v>
      </c>
      <c r="E88" s="75" t="s">
        <v>338</v>
      </c>
      <c r="F88" s="75" t="s">
        <v>2661</v>
      </c>
      <c r="G88" s="73" t="s">
        <v>1002</v>
      </c>
      <c r="H88" s="74">
        <v>1235</v>
      </c>
      <c r="I88" s="74" t="s">
        <v>1016</v>
      </c>
      <c r="J88" s="75"/>
      <c r="K88" s="75"/>
      <c r="L88" s="75" t="s">
        <v>337</v>
      </c>
    </row>
    <row r="89" spans="1:12" x14ac:dyDescent="0.35">
      <c r="A89" s="74">
        <v>541</v>
      </c>
      <c r="B89" s="74">
        <v>20098</v>
      </c>
      <c r="C89" s="73" t="s">
        <v>1107</v>
      </c>
      <c r="D89" s="75" t="s">
        <v>342</v>
      </c>
      <c r="E89" s="75" t="s">
        <v>343</v>
      </c>
      <c r="F89" s="75" t="s">
        <v>2663</v>
      </c>
      <c r="G89" s="73" t="s">
        <v>1002</v>
      </c>
      <c r="H89" s="74">
        <v>1245</v>
      </c>
      <c r="I89" s="74" t="s">
        <v>1016</v>
      </c>
      <c r="J89" s="75"/>
      <c r="K89" s="75"/>
      <c r="L89" s="75" t="s">
        <v>342</v>
      </c>
    </row>
    <row r="90" spans="1:12" x14ac:dyDescent="0.35">
      <c r="A90" s="74">
        <v>543</v>
      </c>
      <c r="B90" s="74">
        <v>20100</v>
      </c>
      <c r="C90" s="73" t="s">
        <v>1108</v>
      </c>
      <c r="D90" s="75" t="s">
        <v>347</v>
      </c>
      <c r="E90" s="75" t="s">
        <v>348</v>
      </c>
      <c r="F90" s="75" t="s">
        <v>2665</v>
      </c>
      <c r="G90" s="73" t="s">
        <v>1002</v>
      </c>
      <c r="H90" s="74">
        <v>1255</v>
      </c>
      <c r="I90" s="74" t="s">
        <v>1016</v>
      </c>
      <c r="J90" s="75"/>
      <c r="K90" s="75"/>
      <c r="L90" s="75" t="s">
        <v>347</v>
      </c>
    </row>
    <row r="91" spans="1:12" x14ac:dyDescent="0.35">
      <c r="A91" s="74">
        <v>545</v>
      </c>
      <c r="B91" s="74">
        <v>20102</v>
      </c>
      <c r="C91" s="73" t="s">
        <v>1109</v>
      </c>
      <c r="D91" s="75" t="s">
        <v>352</v>
      </c>
      <c r="E91" s="75" t="s">
        <v>353</v>
      </c>
      <c r="F91" s="75" t="s">
        <v>2667</v>
      </c>
      <c r="G91" s="73" t="s">
        <v>1002</v>
      </c>
      <c r="H91" s="74">
        <v>1265</v>
      </c>
      <c r="I91" s="74" t="s">
        <v>1016</v>
      </c>
      <c r="J91" s="75"/>
      <c r="K91" s="75"/>
      <c r="L91" s="75" t="s">
        <v>352</v>
      </c>
    </row>
    <row r="92" spans="1:12" ht="43.5" x14ac:dyDescent="0.35">
      <c r="A92" s="74">
        <v>594</v>
      </c>
      <c r="B92" s="74">
        <v>21001</v>
      </c>
      <c r="C92" s="73">
        <v>42</v>
      </c>
      <c r="D92" s="75" t="s">
        <v>357</v>
      </c>
      <c r="E92" s="75" t="s">
        <v>358</v>
      </c>
      <c r="F92" s="75" t="s">
        <v>3166</v>
      </c>
      <c r="G92" s="73" t="s">
        <v>1110</v>
      </c>
      <c r="H92" s="74">
        <v>1375</v>
      </c>
      <c r="I92" s="74" t="s">
        <v>1006</v>
      </c>
      <c r="J92" s="75"/>
      <c r="K92" s="75" t="s">
        <v>3168</v>
      </c>
      <c r="L92" s="75" t="s">
        <v>3169</v>
      </c>
    </row>
    <row r="93" spans="1:12" ht="43.5" x14ac:dyDescent="0.35">
      <c r="A93" s="74">
        <v>595</v>
      </c>
      <c r="B93" s="74">
        <v>21001</v>
      </c>
      <c r="C93" s="73">
        <v>42</v>
      </c>
      <c r="D93" s="75" t="s">
        <v>357</v>
      </c>
      <c r="E93" s="75" t="s">
        <v>358</v>
      </c>
      <c r="F93" s="75" t="s">
        <v>3166</v>
      </c>
      <c r="G93" s="73" t="s">
        <v>1110</v>
      </c>
      <c r="H93" s="74">
        <v>1380</v>
      </c>
      <c r="I93" s="74" t="s">
        <v>1006</v>
      </c>
      <c r="J93" s="75"/>
      <c r="K93" s="75" t="s">
        <v>3171</v>
      </c>
      <c r="L93" s="75" t="s">
        <v>3169</v>
      </c>
    </row>
    <row r="94" spans="1:12" ht="29" x14ac:dyDescent="0.35">
      <c r="A94" s="74">
        <v>596</v>
      </c>
      <c r="B94" s="74">
        <v>21002</v>
      </c>
      <c r="C94" s="73">
        <v>42</v>
      </c>
      <c r="D94" s="75" t="s">
        <v>357</v>
      </c>
      <c r="E94" s="75" t="s">
        <v>358</v>
      </c>
      <c r="F94" s="75" t="s">
        <v>3172</v>
      </c>
      <c r="G94" s="73" t="s">
        <v>1110</v>
      </c>
      <c r="H94" s="74">
        <v>1385</v>
      </c>
      <c r="I94" s="74" t="s">
        <v>1006</v>
      </c>
      <c r="J94" s="75"/>
      <c r="K94" s="75" t="s">
        <v>3174</v>
      </c>
      <c r="L94" s="75" t="s">
        <v>3175</v>
      </c>
    </row>
    <row r="95" spans="1:12" ht="58" x14ac:dyDescent="0.35">
      <c r="A95" s="74">
        <v>597</v>
      </c>
      <c r="B95" s="74">
        <v>21002</v>
      </c>
      <c r="C95" s="73">
        <v>42</v>
      </c>
      <c r="D95" s="75" t="s">
        <v>357</v>
      </c>
      <c r="E95" s="75" t="s">
        <v>358</v>
      </c>
      <c r="F95" s="75" t="s">
        <v>3172</v>
      </c>
      <c r="G95" s="73" t="s">
        <v>1110</v>
      </c>
      <c r="H95" s="74">
        <v>1390</v>
      </c>
      <c r="I95" s="74" t="s">
        <v>1006</v>
      </c>
      <c r="J95" s="75"/>
      <c r="K95" s="75" t="s">
        <v>3177</v>
      </c>
      <c r="L95" s="75" t="s">
        <v>3175</v>
      </c>
    </row>
    <row r="96" spans="1:12" ht="29" x14ac:dyDescent="0.35">
      <c r="A96" s="74">
        <v>1753</v>
      </c>
      <c r="B96" s="74">
        <v>21001</v>
      </c>
      <c r="C96" s="73">
        <v>42</v>
      </c>
      <c r="D96" s="75" t="s">
        <v>357</v>
      </c>
      <c r="E96" s="75" t="s">
        <v>358</v>
      </c>
      <c r="F96" s="75" t="s">
        <v>3166</v>
      </c>
      <c r="G96" s="73" t="s">
        <v>1110</v>
      </c>
      <c r="H96" s="74">
        <v>1382</v>
      </c>
      <c r="I96" s="74" t="s">
        <v>1006</v>
      </c>
      <c r="J96" s="75"/>
      <c r="K96" s="75" t="s">
        <v>3182</v>
      </c>
      <c r="L96" s="75" t="s">
        <v>3169</v>
      </c>
    </row>
    <row r="97" spans="1:12" ht="58" x14ac:dyDescent="0.35">
      <c r="A97" s="74">
        <v>1764</v>
      </c>
      <c r="B97" s="74">
        <v>21001</v>
      </c>
      <c r="C97" s="73">
        <v>42</v>
      </c>
      <c r="D97" s="75" t="s">
        <v>357</v>
      </c>
      <c r="E97" s="75" t="s">
        <v>358</v>
      </c>
      <c r="F97" s="75" t="s">
        <v>3166</v>
      </c>
      <c r="G97" s="73" t="s">
        <v>1110</v>
      </c>
      <c r="H97" s="74">
        <v>1387</v>
      </c>
      <c r="I97" s="74" t="s">
        <v>1006</v>
      </c>
      <c r="J97" s="75"/>
      <c r="K97" s="75" t="s">
        <v>3184</v>
      </c>
      <c r="L97" s="75" t="s">
        <v>3185</v>
      </c>
    </row>
    <row r="98" spans="1:12" ht="29" x14ac:dyDescent="0.35">
      <c r="A98" s="74">
        <v>1771</v>
      </c>
      <c r="B98" s="74">
        <v>21001</v>
      </c>
      <c r="C98" s="73">
        <v>42</v>
      </c>
      <c r="D98" s="75" t="s">
        <v>357</v>
      </c>
      <c r="E98" s="75" t="s">
        <v>358</v>
      </c>
      <c r="F98" s="75" t="s">
        <v>3166</v>
      </c>
      <c r="G98" s="73" t="s">
        <v>1110</v>
      </c>
      <c r="H98" s="74">
        <v>1402</v>
      </c>
      <c r="I98" s="74" t="s">
        <v>1006</v>
      </c>
      <c r="J98" s="75"/>
      <c r="K98" s="75" t="s">
        <v>3187</v>
      </c>
      <c r="L98" s="75" t="s">
        <v>3188</v>
      </c>
    </row>
    <row r="99" spans="1:12" ht="43.5" x14ac:dyDescent="0.35">
      <c r="A99" s="74">
        <v>1772</v>
      </c>
      <c r="B99" s="74">
        <v>21001</v>
      </c>
      <c r="C99" s="73">
        <v>42</v>
      </c>
      <c r="D99" s="75" t="s">
        <v>357</v>
      </c>
      <c r="E99" s="75" t="s">
        <v>358</v>
      </c>
      <c r="F99" s="75" t="s">
        <v>3166</v>
      </c>
      <c r="G99" s="73" t="s">
        <v>1110</v>
      </c>
      <c r="H99" s="74">
        <v>1402</v>
      </c>
      <c r="I99" s="74" t="s">
        <v>1006</v>
      </c>
      <c r="J99" s="75"/>
      <c r="K99" s="75" t="s">
        <v>3189</v>
      </c>
      <c r="L99" s="75" t="s">
        <v>3188</v>
      </c>
    </row>
    <row r="100" spans="1:12" ht="29" x14ac:dyDescent="0.35">
      <c r="A100" s="74">
        <v>1349</v>
      </c>
      <c r="B100" s="74">
        <v>21001</v>
      </c>
      <c r="C100" s="73">
        <v>42</v>
      </c>
      <c r="D100" s="75" t="s">
        <v>357</v>
      </c>
      <c r="E100" s="75" t="s">
        <v>358</v>
      </c>
      <c r="F100" s="75" t="s">
        <v>3166</v>
      </c>
      <c r="G100" s="73" t="s">
        <v>1110</v>
      </c>
      <c r="H100" s="74">
        <v>1391</v>
      </c>
      <c r="I100" s="74" t="s">
        <v>3179</v>
      </c>
      <c r="J100" s="75"/>
      <c r="K100" s="75"/>
      <c r="L100" s="75" t="s">
        <v>3180</v>
      </c>
    </row>
    <row r="101" spans="1:12" ht="29" x14ac:dyDescent="0.35">
      <c r="A101" s="74">
        <v>1390</v>
      </c>
      <c r="B101" s="74">
        <v>21004</v>
      </c>
      <c r="C101" s="73">
        <v>43</v>
      </c>
      <c r="D101" s="75" t="s">
        <v>368</v>
      </c>
      <c r="E101" s="75" t="s">
        <v>369</v>
      </c>
      <c r="F101" s="75" t="s">
        <v>2674</v>
      </c>
      <c r="G101" s="73" t="s">
        <v>1110</v>
      </c>
      <c r="H101" s="74">
        <v>1396</v>
      </c>
      <c r="I101" s="74" t="s">
        <v>1006</v>
      </c>
      <c r="J101" s="75"/>
      <c r="K101" s="75" t="s">
        <v>3201</v>
      </c>
      <c r="L101" s="75" t="s">
        <v>3193</v>
      </c>
    </row>
    <row r="102" spans="1:12" ht="29" x14ac:dyDescent="0.35">
      <c r="A102" s="74">
        <v>1391</v>
      </c>
      <c r="B102" s="74">
        <v>21004</v>
      </c>
      <c r="C102" s="73">
        <v>43</v>
      </c>
      <c r="D102" s="75" t="s">
        <v>368</v>
      </c>
      <c r="E102" s="75" t="s">
        <v>369</v>
      </c>
      <c r="F102" s="75" t="s">
        <v>2674</v>
      </c>
      <c r="G102" s="73" t="s">
        <v>1110</v>
      </c>
      <c r="H102" s="74">
        <v>1397</v>
      </c>
      <c r="I102" s="74" t="s">
        <v>1006</v>
      </c>
      <c r="J102" s="75"/>
      <c r="K102" s="75" t="s">
        <v>3510</v>
      </c>
      <c r="L102" s="75" t="s">
        <v>3193</v>
      </c>
    </row>
    <row r="103" spans="1:12" ht="29" x14ac:dyDescent="0.35">
      <c r="A103" s="74">
        <v>1392</v>
      </c>
      <c r="B103" s="74">
        <v>21004</v>
      </c>
      <c r="C103" s="73">
        <v>43</v>
      </c>
      <c r="D103" s="75" t="s">
        <v>368</v>
      </c>
      <c r="E103" s="75" t="s">
        <v>369</v>
      </c>
      <c r="F103" s="75" t="s">
        <v>2674</v>
      </c>
      <c r="G103" s="73" t="s">
        <v>1110</v>
      </c>
      <c r="H103" s="74">
        <v>1398</v>
      </c>
      <c r="I103" s="74" t="s">
        <v>1006</v>
      </c>
      <c r="J103" s="75"/>
      <c r="K103" s="75" t="s">
        <v>3205</v>
      </c>
      <c r="L103" s="75" t="s">
        <v>3193</v>
      </c>
    </row>
    <row r="104" spans="1:12" ht="58" x14ac:dyDescent="0.35">
      <c r="A104" s="74">
        <v>1393</v>
      </c>
      <c r="B104" s="74">
        <v>21004</v>
      </c>
      <c r="C104" s="73">
        <v>43</v>
      </c>
      <c r="D104" s="75" t="s">
        <v>368</v>
      </c>
      <c r="E104" s="75" t="s">
        <v>369</v>
      </c>
      <c r="F104" s="75" t="s">
        <v>2674</v>
      </c>
      <c r="G104" s="73" t="s">
        <v>1110</v>
      </c>
      <c r="H104" s="74">
        <v>1399</v>
      </c>
      <c r="I104" s="74" t="s">
        <v>1006</v>
      </c>
      <c r="J104" s="75"/>
      <c r="K104" s="75" t="s">
        <v>3207</v>
      </c>
      <c r="L104" s="75" t="s">
        <v>3193</v>
      </c>
    </row>
    <row r="105" spans="1:12" ht="29" x14ac:dyDescent="0.35">
      <c r="A105" s="74">
        <v>1814</v>
      </c>
      <c r="B105" s="74">
        <v>21003</v>
      </c>
      <c r="C105" s="73">
        <v>43</v>
      </c>
      <c r="D105" s="75" t="s">
        <v>366</v>
      </c>
      <c r="E105" s="75" t="s">
        <v>367</v>
      </c>
      <c r="F105" s="75" t="s">
        <v>2671</v>
      </c>
      <c r="G105" s="73" t="s">
        <v>1110</v>
      </c>
      <c r="H105" s="74">
        <v>1396</v>
      </c>
      <c r="I105" s="74" t="s">
        <v>1006</v>
      </c>
      <c r="J105" s="75" t="s">
        <v>3191</v>
      </c>
      <c r="K105" s="75" t="s">
        <v>3511</v>
      </c>
      <c r="L105" s="75" t="s">
        <v>3512</v>
      </c>
    </row>
    <row r="106" spans="1:12" ht="29" x14ac:dyDescent="0.35">
      <c r="A106" s="74">
        <v>1815</v>
      </c>
      <c r="B106" s="74">
        <v>21003</v>
      </c>
      <c r="C106" s="73">
        <v>43</v>
      </c>
      <c r="D106" s="75" t="s">
        <v>366</v>
      </c>
      <c r="E106" s="75" t="s">
        <v>367</v>
      </c>
      <c r="F106" s="75" t="s">
        <v>2671</v>
      </c>
      <c r="G106" s="73" t="s">
        <v>1110</v>
      </c>
      <c r="H106" s="74">
        <v>1397</v>
      </c>
      <c r="I106" s="74" t="s">
        <v>1006</v>
      </c>
      <c r="J106" s="75" t="s">
        <v>3191</v>
      </c>
      <c r="K106" s="75" t="s">
        <v>3513</v>
      </c>
      <c r="L106" s="75" t="s">
        <v>3514</v>
      </c>
    </row>
    <row r="107" spans="1:12" ht="29" x14ac:dyDescent="0.35">
      <c r="A107" s="74">
        <v>1620</v>
      </c>
      <c r="B107" s="74">
        <v>21004</v>
      </c>
      <c r="C107" s="73">
        <v>43</v>
      </c>
      <c r="D107" s="75" t="s">
        <v>368</v>
      </c>
      <c r="E107" s="75" t="s">
        <v>369</v>
      </c>
      <c r="F107" s="75" t="s">
        <v>2674</v>
      </c>
      <c r="G107" s="73" t="s">
        <v>1110</v>
      </c>
      <c r="H107" s="74">
        <v>1399</v>
      </c>
      <c r="I107" s="74" t="s">
        <v>1006</v>
      </c>
      <c r="J107" s="75"/>
      <c r="K107" s="75" t="s">
        <v>3208</v>
      </c>
      <c r="L107" s="75" t="s">
        <v>3209</v>
      </c>
    </row>
    <row r="108" spans="1:12" x14ac:dyDescent="0.35">
      <c r="A108" s="74">
        <v>1737</v>
      </c>
      <c r="B108" s="74">
        <v>21004</v>
      </c>
      <c r="C108" s="73">
        <v>43</v>
      </c>
      <c r="D108" s="75" t="s">
        <v>368</v>
      </c>
      <c r="E108" s="75" t="s">
        <v>369</v>
      </c>
      <c r="F108" s="75" t="s">
        <v>2674</v>
      </c>
      <c r="G108" s="73" t="s">
        <v>1110</v>
      </c>
      <c r="H108" s="74">
        <v>1395</v>
      </c>
      <c r="I108" s="74" t="s">
        <v>1016</v>
      </c>
      <c r="J108" s="75"/>
      <c r="K108" s="75"/>
      <c r="L108" s="75" t="s">
        <v>3210</v>
      </c>
    </row>
    <row r="109" spans="1:12" ht="29" x14ac:dyDescent="0.35">
      <c r="A109" s="74">
        <v>654</v>
      </c>
      <c r="B109" s="74">
        <v>21003</v>
      </c>
      <c r="C109" s="73">
        <v>43</v>
      </c>
      <c r="D109" s="75" t="s">
        <v>366</v>
      </c>
      <c r="E109" s="75" t="s">
        <v>367</v>
      </c>
      <c r="F109" s="75" t="s">
        <v>2671</v>
      </c>
      <c r="G109" s="73" t="s">
        <v>1110</v>
      </c>
      <c r="H109" s="74">
        <v>1395</v>
      </c>
      <c r="I109" s="74" t="s">
        <v>1006</v>
      </c>
      <c r="J109" s="75" t="s">
        <v>3191</v>
      </c>
      <c r="K109" s="75" t="s">
        <v>3515</v>
      </c>
      <c r="L109" s="75" t="s">
        <v>3193</v>
      </c>
    </row>
    <row r="110" spans="1:12" ht="29" x14ac:dyDescent="0.35">
      <c r="A110" s="74">
        <v>655</v>
      </c>
      <c r="B110" s="74">
        <v>21004</v>
      </c>
      <c r="C110" s="73">
        <v>43</v>
      </c>
      <c r="D110" s="75" t="s">
        <v>368</v>
      </c>
      <c r="E110" s="75" t="s">
        <v>369</v>
      </c>
      <c r="F110" s="75" t="s">
        <v>2674</v>
      </c>
      <c r="G110" s="73" t="s">
        <v>1110</v>
      </c>
      <c r="H110" s="74">
        <v>1400</v>
      </c>
      <c r="I110" s="74" t="s">
        <v>1006</v>
      </c>
      <c r="J110" s="75"/>
      <c r="K110" s="75" t="s">
        <v>3198</v>
      </c>
      <c r="L110" s="75" t="s">
        <v>3199</v>
      </c>
    </row>
    <row r="111" spans="1:12" x14ac:dyDescent="0.35">
      <c r="A111" s="74">
        <v>656</v>
      </c>
      <c r="B111" s="74">
        <v>21005</v>
      </c>
      <c r="C111" s="73">
        <v>43</v>
      </c>
      <c r="D111" s="75" t="s">
        <v>371</v>
      </c>
      <c r="E111" s="75" t="s">
        <v>372</v>
      </c>
      <c r="F111" s="75" t="s">
        <v>2675</v>
      </c>
      <c r="G111" s="73" t="s">
        <v>1110</v>
      </c>
      <c r="H111" s="74">
        <v>1405</v>
      </c>
      <c r="I111" s="74" t="s">
        <v>1016</v>
      </c>
      <c r="J111" s="75"/>
      <c r="K111" s="75"/>
      <c r="L111" s="75" t="s">
        <v>3196</v>
      </c>
    </row>
    <row r="112" spans="1:12" ht="29" x14ac:dyDescent="0.35">
      <c r="A112" s="74">
        <v>657</v>
      </c>
      <c r="B112" s="74">
        <v>21006</v>
      </c>
      <c r="C112" s="73">
        <v>44</v>
      </c>
      <c r="D112" s="75" t="s">
        <v>375</v>
      </c>
      <c r="E112" s="75" t="s">
        <v>376</v>
      </c>
      <c r="F112" s="75" t="s">
        <v>2676</v>
      </c>
      <c r="G112" s="73" t="s">
        <v>1110</v>
      </c>
      <c r="H112" s="74">
        <v>1410</v>
      </c>
      <c r="I112" s="74" t="s">
        <v>1006</v>
      </c>
      <c r="J112" s="75"/>
      <c r="K112" s="75" t="s">
        <v>3212</v>
      </c>
      <c r="L112" s="75" t="s">
        <v>3213</v>
      </c>
    </row>
    <row r="113" spans="1:12" x14ac:dyDescent="0.35">
      <c r="A113" s="74">
        <v>658</v>
      </c>
      <c r="B113" s="74">
        <v>21007</v>
      </c>
      <c r="C113" s="73">
        <v>44</v>
      </c>
      <c r="D113" s="75" t="s">
        <v>375</v>
      </c>
      <c r="E113" s="75" t="s">
        <v>381</v>
      </c>
      <c r="F113" s="75" t="s">
        <v>2677</v>
      </c>
      <c r="G113" s="73" t="s">
        <v>1110</v>
      </c>
      <c r="H113" s="74">
        <v>1415</v>
      </c>
      <c r="I113" s="74" t="s">
        <v>1016</v>
      </c>
      <c r="J113" s="75"/>
      <c r="K113" s="75"/>
      <c r="L113" s="75" t="s">
        <v>3215</v>
      </c>
    </row>
    <row r="114" spans="1:12" x14ac:dyDescent="0.35">
      <c r="A114" s="74">
        <v>659</v>
      </c>
      <c r="B114" s="74">
        <v>21008</v>
      </c>
      <c r="C114" s="73">
        <v>44</v>
      </c>
      <c r="D114" s="75" t="s">
        <v>375</v>
      </c>
      <c r="E114" s="75" t="s">
        <v>383</v>
      </c>
      <c r="F114" s="75" t="s">
        <v>2678</v>
      </c>
      <c r="G114" s="73" t="s">
        <v>1110</v>
      </c>
      <c r="H114" s="74">
        <v>1420</v>
      </c>
      <c r="I114" s="74" t="s">
        <v>1016</v>
      </c>
      <c r="J114" s="75"/>
      <c r="K114" s="75"/>
      <c r="L114" s="75" t="s">
        <v>3217</v>
      </c>
    </row>
    <row r="115" spans="1:12" x14ac:dyDescent="0.35">
      <c r="A115" s="74">
        <v>660</v>
      </c>
      <c r="B115" s="74">
        <v>21009</v>
      </c>
      <c r="C115" s="73">
        <v>44</v>
      </c>
      <c r="D115" s="75" t="s">
        <v>375</v>
      </c>
      <c r="E115" s="75" t="s">
        <v>385</v>
      </c>
      <c r="F115" s="75" t="s">
        <v>2679</v>
      </c>
      <c r="G115" s="73" t="s">
        <v>1110</v>
      </c>
      <c r="H115" s="74">
        <v>1425</v>
      </c>
      <c r="I115" s="74" t="s">
        <v>1016</v>
      </c>
      <c r="J115" s="75"/>
      <c r="K115" s="75"/>
      <c r="L115" s="75" t="s">
        <v>3219</v>
      </c>
    </row>
    <row r="116" spans="1:12" x14ac:dyDescent="0.35">
      <c r="A116" s="74">
        <v>661</v>
      </c>
      <c r="B116" s="74">
        <v>21010</v>
      </c>
      <c r="C116" s="73">
        <v>44</v>
      </c>
      <c r="D116" s="75" t="s">
        <v>375</v>
      </c>
      <c r="E116" s="75" t="s">
        <v>387</v>
      </c>
      <c r="F116" s="75" t="s">
        <v>2680</v>
      </c>
      <c r="G116" s="73" t="s">
        <v>1110</v>
      </c>
      <c r="H116" s="74">
        <v>1425</v>
      </c>
      <c r="I116" s="74" t="s">
        <v>1016</v>
      </c>
      <c r="J116" s="75"/>
      <c r="K116" s="75"/>
      <c r="L116" s="75" t="s">
        <v>3220</v>
      </c>
    </row>
    <row r="117" spans="1:12" x14ac:dyDescent="0.35">
      <c r="A117" s="74">
        <v>760</v>
      </c>
      <c r="B117" s="74">
        <v>21011</v>
      </c>
      <c r="C117" s="73">
        <v>45</v>
      </c>
      <c r="D117" s="75" t="s">
        <v>389</v>
      </c>
      <c r="E117" s="75" t="s">
        <v>390</v>
      </c>
      <c r="F117" s="75" t="s">
        <v>2681</v>
      </c>
      <c r="G117" s="73" t="s">
        <v>1110</v>
      </c>
      <c r="H117" s="74">
        <v>1430</v>
      </c>
      <c r="I117" s="74" t="s">
        <v>1016</v>
      </c>
      <c r="J117" s="75"/>
      <c r="K117" s="75"/>
      <c r="L117" s="75" t="s">
        <v>3222</v>
      </c>
    </row>
    <row r="118" spans="1:12" ht="29" x14ac:dyDescent="0.35">
      <c r="A118" s="74">
        <v>766</v>
      </c>
      <c r="B118" s="74">
        <v>21012</v>
      </c>
      <c r="C118" s="73">
        <v>46</v>
      </c>
      <c r="D118" s="75" t="s">
        <v>392</v>
      </c>
      <c r="E118" s="75" t="s">
        <v>393</v>
      </c>
      <c r="F118" s="75" t="s">
        <v>2682</v>
      </c>
      <c r="G118" s="73" t="s">
        <v>1110</v>
      </c>
      <c r="H118" s="74">
        <v>1435</v>
      </c>
      <c r="I118" s="74" t="s">
        <v>1006</v>
      </c>
      <c r="J118" s="75" t="s">
        <v>3224</v>
      </c>
      <c r="K118" s="75" t="s">
        <v>3225</v>
      </c>
      <c r="L118" s="75" t="s">
        <v>3226</v>
      </c>
    </row>
    <row r="119" spans="1:12" x14ac:dyDescent="0.35">
      <c r="A119" s="74">
        <v>767</v>
      </c>
      <c r="B119" s="74">
        <v>21012</v>
      </c>
      <c r="C119" s="73">
        <v>46</v>
      </c>
      <c r="D119" s="75" t="s">
        <v>392</v>
      </c>
      <c r="E119" s="75" t="s">
        <v>393</v>
      </c>
      <c r="F119" s="75" t="s">
        <v>2682</v>
      </c>
      <c r="G119" s="73" t="s">
        <v>1110</v>
      </c>
      <c r="H119" s="74">
        <v>1440</v>
      </c>
      <c r="I119" s="74" t="s">
        <v>1006</v>
      </c>
      <c r="J119" s="75" t="s">
        <v>3224</v>
      </c>
      <c r="K119" s="75" t="s">
        <v>3228</v>
      </c>
      <c r="L119" s="75" t="s">
        <v>3226</v>
      </c>
    </row>
    <row r="120" spans="1:12" ht="29" x14ac:dyDescent="0.35">
      <c r="A120" s="74">
        <v>787</v>
      </c>
      <c r="B120" s="74">
        <v>21014</v>
      </c>
      <c r="C120" s="73">
        <v>47</v>
      </c>
      <c r="D120" s="75" t="s">
        <v>396</v>
      </c>
      <c r="E120" s="75" t="s">
        <v>397</v>
      </c>
      <c r="F120" s="75" t="s">
        <v>2683</v>
      </c>
      <c r="G120" s="73" t="s">
        <v>1110</v>
      </c>
      <c r="H120" s="74">
        <v>1445</v>
      </c>
      <c r="I120" s="74" t="s">
        <v>1016</v>
      </c>
      <c r="J120" s="75" t="s">
        <v>2684</v>
      </c>
      <c r="K120" s="75"/>
      <c r="L120" s="75" t="s">
        <v>3230</v>
      </c>
    </row>
    <row r="121" spans="1:12" ht="29" x14ac:dyDescent="0.35">
      <c r="A121" s="74">
        <v>788</v>
      </c>
      <c r="B121" s="74">
        <v>21015</v>
      </c>
      <c r="C121" s="73">
        <v>48</v>
      </c>
      <c r="D121" s="75" t="s">
        <v>400</v>
      </c>
      <c r="E121" s="75" t="s">
        <v>401</v>
      </c>
      <c r="F121" s="75" t="s">
        <v>2685</v>
      </c>
      <c r="G121" s="73" t="s">
        <v>1110</v>
      </c>
      <c r="H121" s="74">
        <v>1450</v>
      </c>
      <c r="I121" s="74" t="s">
        <v>1016</v>
      </c>
      <c r="J121" s="75" t="s">
        <v>2684</v>
      </c>
      <c r="K121" s="75"/>
      <c r="L121" s="75" t="s">
        <v>3232</v>
      </c>
    </row>
    <row r="122" spans="1:12" ht="43.5" x14ac:dyDescent="0.35">
      <c r="A122" s="315">
        <v>4897</v>
      </c>
      <c r="B122" s="315">
        <v>20295</v>
      </c>
      <c r="C122" s="313" t="s">
        <v>1126</v>
      </c>
      <c r="D122" s="314" t="s">
        <v>3516</v>
      </c>
      <c r="E122" s="314" t="s">
        <v>413</v>
      </c>
      <c r="F122" s="314" t="s">
        <v>2691</v>
      </c>
      <c r="G122" s="313" t="s">
        <v>1002</v>
      </c>
      <c r="H122" s="315">
        <v>4951</v>
      </c>
      <c r="I122" s="315" t="s">
        <v>3517</v>
      </c>
      <c r="J122" s="314"/>
      <c r="K122" s="314" t="s">
        <v>3518</v>
      </c>
      <c r="L122" s="314" t="s">
        <v>3519</v>
      </c>
    </row>
    <row r="123" spans="1:12" ht="43.5" x14ac:dyDescent="0.35">
      <c r="A123" s="315">
        <v>4898</v>
      </c>
      <c r="B123" s="315">
        <v>20296</v>
      </c>
      <c r="C123" s="313" t="s">
        <v>1126</v>
      </c>
      <c r="D123" s="314" t="s">
        <v>3516</v>
      </c>
      <c r="E123" s="314" t="s">
        <v>413</v>
      </c>
      <c r="F123" s="314" t="s">
        <v>2694</v>
      </c>
      <c r="G123" s="313" t="s">
        <v>1002</v>
      </c>
      <c r="H123" s="315">
        <v>4952</v>
      </c>
      <c r="I123" s="315" t="s">
        <v>3517</v>
      </c>
      <c r="J123" s="314"/>
      <c r="K123" s="314" t="s">
        <v>3518</v>
      </c>
      <c r="L123" s="314" t="s">
        <v>3520</v>
      </c>
    </row>
    <row r="124" spans="1:12" x14ac:dyDescent="0.35">
      <c r="A124" s="74">
        <v>1464</v>
      </c>
      <c r="B124" s="74">
        <v>20298</v>
      </c>
      <c r="C124" s="73">
        <v>50</v>
      </c>
      <c r="D124" s="75" t="s">
        <v>2706</v>
      </c>
      <c r="E124" s="75" t="s">
        <v>429</v>
      </c>
      <c r="F124" s="75" t="s">
        <v>2708</v>
      </c>
      <c r="G124" s="73" t="s">
        <v>1002</v>
      </c>
      <c r="H124" s="74">
        <v>2175</v>
      </c>
      <c r="I124" s="74" t="s">
        <v>1006</v>
      </c>
      <c r="J124" s="75"/>
      <c r="K124" s="75" t="s">
        <v>3234</v>
      </c>
      <c r="L124" s="75" t="s">
        <v>3235</v>
      </c>
    </row>
    <row r="125" spans="1:12" x14ac:dyDescent="0.35">
      <c r="A125" s="74">
        <v>1465</v>
      </c>
      <c r="B125" s="74">
        <v>20299</v>
      </c>
      <c r="C125" s="73">
        <v>50</v>
      </c>
      <c r="D125" s="75" t="s">
        <v>2709</v>
      </c>
      <c r="E125" s="75" t="s">
        <v>431</v>
      </c>
      <c r="F125" s="75" t="s">
        <v>2710</v>
      </c>
      <c r="G125" s="73" t="s">
        <v>1002</v>
      </c>
      <c r="H125" s="74">
        <v>2180</v>
      </c>
      <c r="I125" s="74" t="s">
        <v>1006</v>
      </c>
      <c r="J125" s="75"/>
      <c r="K125" s="75" t="s">
        <v>3237</v>
      </c>
      <c r="L125" s="75" t="s">
        <v>3238</v>
      </c>
    </row>
    <row r="126" spans="1:12" ht="58" x14ac:dyDescent="0.35">
      <c r="A126" s="74">
        <v>2832</v>
      </c>
      <c r="B126" s="74">
        <v>20300</v>
      </c>
      <c r="C126" s="73">
        <v>51</v>
      </c>
      <c r="D126" s="75" t="s">
        <v>2715</v>
      </c>
      <c r="E126" s="75" t="s">
        <v>1377</v>
      </c>
      <c r="F126" s="75" t="s">
        <v>2716</v>
      </c>
      <c r="G126" s="73" t="s">
        <v>1002</v>
      </c>
      <c r="H126" s="74">
        <v>2186</v>
      </c>
      <c r="I126" s="74" t="s">
        <v>3243</v>
      </c>
      <c r="J126" s="75" t="s">
        <v>3224</v>
      </c>
      <c r="K126" s="75" t="s">
        <v>3521</v>
      </c>
      <c r="L126" s="75" t="s">
        <v>3522</v>
      </c>
    </row>
    <row r="127" spans="1:12" ht="58" x14ac:dyDescent="0.35">
      <c r="A127" s="74">
        <v>1469</v>
      </c>
      <c r="B127" s="74">
        <v>20301</v>
      </c>
      <c r="C127" s="73">
        <v>52</v>
      </c>
      <c r="D127" s="75" t="s">
        <v>2721</v>
      </c>
      <c r="E127" s="75" t="s">
        <v>1377</v>
      </c>
      <c r="F127" s="75" t="s">
        <v>2722</v>
      </c>
      <c r="G127" s="73" t="s">
        <v>1002</v>
      </c>
      <c r="H127" s="74">
        <v>2200</v>
      </c>
      <c r="I127" s="74" t="s">
        <v>3243</v>
      </c>
      <c r="J127" s="75"/>
      <c r="K127" s="75" t="s">
        <v>3244</v>
      </c>
      <c r="L127" s="75" t="s">
        <v>3245</v>
      </c>
    </row>
    <row r="128" spans="1:12" ht="43.5" x14ac:dyDescent="0.35">
      <c r="A128" s="74">
        <v>1472</v>
      </c>
      <c r="B128" s="74">
        <v>20302</v>
      </c>
      <c r="C128" s="73">
        <v>53</v>
      </c>
      <c r="D128" s="75" t="s">
        <v>2728</v>
      </c>
      <c r="E128" s="75" t="s">
        <v>1377</v>
      </c>
      <c r="F128" s="75" t="s">
        <v>2730</v>
      </c>
      <c r="G128" s="73" t="s">
        <v>1002</v>
      </c>
      <c r="H128" s="74">
        <v>2215</v>
      </c>
      <c r="I128" s="74" t="s">
        <v>1006</v>
      </c>
      <c r="J128" s="75"/>
      <c r="K128" s="75" t="s">
        <v>3247</v>
      </c>
      <c r="L128" s="75" t="s">
        <v>3248</v>
      </c>
    </row>
    <row r="129" spans="1:12" ht="43.5" x14ac:dyDescent="0.35">
      <c r="A129" s="74">
        <v>1473</v>
      </c>
      <c r="B129" s="74">
        <v>20302</v>
      </c>
      <c r="C129" s="73">
        <v>53</v>
      </c>
      <c r="D129" s="75" t="s">
        <v>2728</v>
      </c>
      <c r="E129" s="75" t="s">
        <v>1377</v>
      </c>
      <c r="F129" s="75" t="s">
        <v>2730</v>
      </c>
      <c r="G129" s="73" t="s">
        <v>1002</v>
      </c>
      <c r="H129" s="74">
        <v>2220</v>
      </c>
      <c r="I129" s="74" t="s">
        <v>1006</v>
      </c>
      <c r="J129" s="75"/>
      <c r="K129" s="75" t="s">
        <v>3249</v>
      </c>
      <c r="L129" s="75" t="s">
        <v>3248</v>
      </c>
    </row>
    <row r="130" spans="1:12" ht="43.5" x14ac:dyDescent="0.35">
      <c r="A130" s="74">
        <v>1474</v>
      </c>
      <c r="B130" s="74">
        <v>20302</v>
      </c>
      <c r="C130" s="73">
        <v>53</v>
      </c>
      <c r="D130" s="75" t="s">
        <v>2728</v>
      </c>
      <c r="E130" s="75" t="s">
        <v>1377</v>
      </c>
      <c r="F130" s="75" t="s">
        <v>2730</v>
      </c>
      <c r="G130" s="73" t="s">
        <v>1002</v>
      </c>
      <c r="H130" s="74">
        <v>2225</v>
      </c>
      <c r="I130" s="74" t="s">
        <v>1006</v>
      </c>
      <c r="J130" s="75"/>
      <c r="K130" s="75" t="s">
        <v>3250</v>
      </c>
      <c r="L130" s="75" t="s">
        <v>3248</v>
      </c>
    </row>
    <row r="131" spans="1:12" ht="58" x14ac:dyDescent="0.35">
      <c r="A131" s="74">
        <v>1475</v>
      </c>
      <c r="B131" s="74">
        <v>20303</v>
      </c>
      <c r="C131" s="73">
        <v>54</v>
      </c>
      <c r="D131" s="75" t="s">
        <v>2735</v>
      </c>
      <c r="E131" s="75" t="s">
        <v>1377</v>
      </c>
      <c r="F131" s="75" t="s">
        <v>2736</v>
      </c>
      <c r="G131" s="73" t="s">
        <v>1002</v>
      </c>
      <c r="H131" s="74">
        <v>2230</v>
      </c>
      <c r="I131" s="74" t="s">
        <v>1006</v>
      </c>
      <c r="J131" s="75"/>
      <c r="K131" s="75" t="s">
        <v>3251</v>
      </c>
      <c r="L131" s="75" t="s">
        <v>3252</v>
      </c>
    </row>
    <row r="132" spans="1:12" ht="43.5" x14ac:dyDescent="0.35">
      <c r="A132" s="74">
        <v>1481</v>
      </c>
      <c r="B132" s="74">
        <v>20305</v>
      </c>
      <c r="C132" s="73">
        <v>55</v>
      </c>
      <c r="D132" s="75" t="s">
        <v>2746</v>
      </c>
      <c r="E132" s="75" t="s">
        <v>1377</v>
      </c>
      <c r="F132" s="75" t="s">
        <v>2747</v>
      </c>
      <c r="G132" s="73" t="s">
        <v>1002</v>
      </c>
      <c r="H132" s="74">
        <v>2245</v>
      </c>
      <c r="I132" s="74" t="s">
        <v>1006</v>
      </c>
      <c r="J132" s="75"/>
      <c r="K132" s="75" t="s">
        <v>3253</v>
      </c>
      <c r="L132" s="75" t="s">
        <v>2746</v>
      </c>
    </row>
    <row r="133" spans="1:12" ht="43.5" x14ac:dyDescent="0.35">
      <c r="A133" s="74">
        <v>1482</v>
      </c>
      <c r="B133" s="74">
        <v>20305</v>
      </c>
      <c r="C133" s="73">
        <v>55</v>
      </c>
      <c r="D133" s="75" t="s">
        <v>2746</v>
      </c>
      <c r="E133" s="75" t="s">
        <v>1377</v>
      </c>
      <c r="F133" s="75" t="s">
        <v>2747</v>
      </c>
      <c r="G133" s="73" t="s">
        <v>1002</v>
      </c>
      <c r="H133" s="74">
        <v>2250</v>
      </c>
      <c r="I133" s="74" t="s">
        <v>1006</v>
      </c>
      <c r="J133" s="75"/>
      <c r="K133" s="75" t="s">
        <v>3254</v>
      </c>
      <c r="L133" s="75" t="s">
        <v>2746</v>
      </c>
    </row>
    <row r="134" spans="1:12" ht="43.5" x14ac:dyDescent="0.35">
      <c r="A134" s="74">
        <v>1483</v>
      </c>
      <c r="B134" s="74">
        <v>20305</v>
      </c>
      <c r="C134" s="73">
        <v>55</v>
      </c>
      <c r="D134" s="75" t="s">
        <v>2746</v>
      </c>
      <c r="E134" s="75" t="s">
        <v>1377</v>
      </c>
      <c r="F134" s="75" t="s">
        <v>2747</v>
      </c>
      <c r="G134" s="73" t="s">
        <v>1002</v>
      </c>
      <c r="H134" s="74">
        <v>2255</v>
      </c>
      <c r="I134" s="74" t="s">
        <v>1006</v>
      </c>
      <c r="J134" s="75"/>
      <c r="K134" s="75" t="s">
        <v>3255</v>
      </c>
      <c r="L134" s="75" t="s">
        <v>2746</v>
      </c>
    </row>
    <row r="135" spans="1:12" ht="58" x14ac:dyDescent="0.35">
      <c r="A135" s="74">
        <v>2833</v>
      </c>
      <c r="B135" s="74">
        <v>20304</v>
      </c>
      <c r="C135" s="73">
        <v>55</v>
      </c>
      <c r="D135" s="75" t="s">
        <v>2744</v>
      </c>
      <c r="E135" s="75" t="s">
        <v>1377</v>
      </c>
      <c r="F135" s="75" t="s">
        <v>2745</v>
      </c>
      <c r="G135" s="73" t="s">
        <v>1002</v>
      </c>
      <c r="H135" s="74">
        <v>2186</v>
      </c>
      <c r="I135" s="74" t="s">
        <v>3243</v>
      </c>
      <c r="J135" s="75"/>
      <c r="K135" s="75" t="s">
        <v>3523</v>
      </c>
      <c r="L135" s="75" t="s">
        <v>3524</v>
      </c>
    </row>
    <row r="136" spans="1:12" x14ac:dyDescent="0.35">
      <c r="A136" s="74">
        <v>828</v>
      </c>
      <c r="B136" s="74">
        <v>20131</v>
      </c>
      <c r="C136" s="73">
        <v>56</v>
      </c>
      <c r="D136" s="75" t="s">
        <v>478</v>
      </c>
      <c r="E136" s="75" t="s">
        <v>479</v>
      </c>
      <c r="F136" s="75" t="s">
        <v>2749</v>
      </c>
      <c r="G136" s="73" t="s">
        <v>1002</v>
      </c>
      <c r="H136" s="74">
        <v>1495</v>
      </c>
      <c r="I136" s="74" t="s">
        <v>1006</v>
      </c>
      <c r="J136" s="75" t="s">
        <v>3256</v>
      </c>
      <c r="K136" s="75" t="s">
        <v>3525</v>
      </c>
      <c r="L136" s="75" t="s">
        <v>478</v>
      </c>
    </row>
    <row r="137" spans="1:12" ht="58" x14ac:dyDescent="0.35">
      <c r="A137" s="74">
        <v>1484</v>
      </c>
      <c r="B137" s="74">
        <v>20306</v>
      </c>
      <c r="C137" s="73">
        <v>58</v>
      </c>
      <c r="D137" s="75" t="s">
        <v>2758</v>
      </c>
      <c r="E137" s="75" t="s">
        <v>1377</v>
      </c>
      <c r="F137" s="75" t="s">
        <v>2759</v>
      </c>
      <c r="G137" s="73" t="s">
        <v>1002</v>
      </c>
      <c r="H137" s="74">
        <v>2275</v>
      </c>
      <c r="I137" s="74" t="s">
        <v>3243</v>
      </c>
      <c r="J137" s="75"/>
      <c r="K137" s="75" t="s">
        <v>3257</v>
      </c>
      <c r="L137" s="75" t="s">
        <v>3258</v>
      </c>
    </row>
    <row r="138" spans="1:12" ht="58" x14ac:dyDescent="0.35">
      <c r="A138" s="74">
        <v>1487</v>
      </c>
      <c r="B138" s="74">
        <v>20307</v>
      </c>
      <c r="C138" s="73">
        <v>58</v>
      </c>
      <c r="D138" s="75" t="s">
        <v>2760</v>
      </c>
      <c r="E138" s="75" t="s">
        <v>1377</v>
      </c>
      <c r="F138" s="75" t="s">
        <v>2761</v>
      </c>
      <c r="G138" s="73" t="s">
        <v>1002</v>
      </c>
      <c r="H138" s="74">
        <v>2290</v>
      </c>
      <c r="I138" s="74" t="s">
        <v>3243</v>
      </c>
      <c r="J138" s="75"/>
      <c r="K138" s="75" t="s">
        <v>3259</v>
      </c>
      <c r="L138" s="75" t="s">
        <v>3260</v>
      </c>
    </row>
    <row r="139" spans="1:12" x14ac:dyDescent="0.35">
      <c r="A139" s="74">
        <v>1490</v>
      </c>
      <c r="B139" s="74">
        <v>20308</v>
      </c>
      <c r="C139" s="73">
        <v>59</v>
      </c>
      <c r="D139" s="75" t="s">
        <v>2767</v>
      </c>
      <c r="E139" s="75" t="s">
        <v>1377</v>
      </c>
      <c r="F139" s="75" t="s">
        <v>2768</v>
      </c>
      <c r="G139" s="73" t="s">
        <v>1002</v>
      </c>
      <c r="H139" s="74">
        <v>2305</v>
      </c>
      <c r="I139" s="74" t="s">
        <v>1006</v>
      </c>
      <c r="J139" s="75"/>
      <c r="K139" s="75" t="s">
        <v>3526</v>
      </c>
      <c r="L139" s="75" t="s">
        <v>3262</v>
      </c>
    </row>
    <row r="140" spans="1:12" ht="58" x14ac:dyDescent="0.35">
      <c r="A140" s="74">
        <v>1445</v>
      </c>
      <c r="B140" s="74">
        <v>20309</v>
      </c>
      <c r="C140" s="73">
        <v>60</v>
      </c>
      <c r="D140" s="75" t="s">
        <v>2774</v>
      </c>
      <c r="E140" s="75" t="s">
        <v>1377</v>
      </c>
      <c r="F140" s="75" t="s">
        <v>2775</v>
      </c>
      <c r="G140" s="73" t="s">
        <v>1002</v>
      </c>
      <c r="H140" s="74">
        <v>2185</v>
      </c>
      <c r="I140" s="74" t="s">
        <v>1198</v>
      </c>
      <c r="J140" s="75"/>
      <c r="K140" s="75" t="s">
        <v>1199</v>
      </c>
      <c r="L140" s="75" t="s">
        <v>1200</v>
      </c>
    </row>
    <row r="141" spans="1:12" ht="43.5" x14ac:dyDescent="0.35">
      <c r="A141" s="74">
        <v>2872</v>
      </c>
      <c r="B141" s="74">
        <v>20310</v>
      </c>
      <c r="C141" s="73">
        <v>61</v>
      </c>
      <c r="D141" s="75" t="s">
        <v>2781</v>
      </c>
      <c r="E141" s="75" t="s">
        <v>1377</v>
      </c>
      <c r="F141" s="75" t="s">
        <v>2782</v>
      </c>
      <c r="G141" s="73" t="s">
        <v>1002</v>
      </c>
      <c r="H141" s="74">
        <v>2351</v>
      </c>
      <c r="I141" s="74" t="s">
        <v>1006</v>
      </c>
      <c r="J141" s="75"/>
      <c r="K141" s="75" t="s">
        <v>3527</v>
      </c>
      <c r="L141" s="75" t="s">
        <v>3528</v>
      </c>
    </row>
    <row r="142" spans="1:12" ht="43.5" x14ac:dyDescent="0.35">
      <c r="A142" s="74">
        <v>2873</v>
      </c>
      <c r="B142" s="74">
        <v>20310</v>
      </c>
      <c r="C142" s="73">
        <v>61</v>
      </c>
      <c r="D142" s="75" t="s">
        <v>2781</v>
      </c>
      <c r="E142" s="75" t="s">
        <v>1377</v>
      </c>
      <c r="F142" s="75" t="s">
        <v>2782</v>
      </c>
      <c r="G142" s="73" t="s">
        <v>1002</v>
      </c>
      <c r="H142" s="74">
        <v>2351</v>
      </c>
      <c r="I142" s="74" t="s">
        <v>1006</v>
      </c>
      <c r="J142" s="75"/>
      <c r="K142" s="75" t="s">
        <v>3529</v>
      </c>
      <c r="L142" s="75" t="s">
        <v>3528</v>
      </c>
    </row>
    <row r="143" spans="1:12" ht="43.5" x14ac:dyDescent="0.35">
      <c r="A143" s="74">
        <v>2874</v>
      </c>
      <c r="B143" s="74">
        <v>20310</v>
      </c>
      <c r="C143" s="73">
        <v>61</v>
      </c>
      <c r="D143" s="75" t="s">
        <v>2781</v>
      </c>
      <c r="E143" s="75" t="s">
        <v>1377</v>
      </c>
      <c r="F143" s="75" t="s">
        <v>2782</v>
      </c>
      <c r="G143" s="73" t="s">
        <v>1002</v>
      </c>
      <c r="H143" s="74">
        <v>2351</v>
      </c>
      <c r="I143" s="74" t="s">
        <v>1006</v>
      </c>
      <c r="J143" s="75"/>
      <c r="K143" s="75" t="s">
        <v>3530</v>
      </c>
      <c r="L143" s="75" t="s">
        <v>3528</v>
      </c>
    </row>
    <row r="144" spans="1:12" ht="58" x14ac:dyDescent="0.35">
      <c r="A144" s="368">
        <v>1037</v>
      </c>
      <c r="B144" s="368">
        <v>20310</v>
      </c>
      <c r="C144" s="122">
        <v>61</v>
      </c>
      <c r="D144" s="123" t="s">
        <v>2781</v>
      </c>
      <c r="E144" s="123" t="s">
        <v>1377</v>
      </c>
      <c r="F144" s="123" t="s">
        <v>2782</v>
      </c>
      <c r="G144" s="122" t="s">
        <v>1002</v>
      </c>
      <c r="H144" s="368">
        <v>6001</v>
      </c>
      <c r="I144" s="368" t="s">
        <v>3243</v>
      </c>
      <c r="J144" s="123"/>
      <c r="K144" s="123" t="s">
        <v>3531</v>
      </c>
      <c r="L144" s="123" t="s">
        <v>3264</v>
      </c>
    </row>
    <row r="145" spans="1:12" ht="58" x14ac:dyDescent="0.35">
      <c r="A145" s="368">
        <v>1499</v>
      </c>
      <c r="B145" s="368">
        <v>20310</v>
      </c>
      <c r="C145" s="122">
        <v>61</v>
      </c>
      <c r="D145" s="123" t="s">
        <v>2781</v>
      </c>
      <c r="E145" s="123" t="s">
        <v>1377</v>
      </c>
      <c r="F145" s="123" t="s">
        <v>2782</v>
      </c>
      <c r="G145" s="122" t="s">
        <v>1002</v>
      </c>
      <c r="H145" s="368">
        <v>2350</v>
      </c>
      <c r="I145" s="368" t="s">
        <v>3243</v>
      </c>
      <c r="J145" s="123"/>
      <c r="K145" s="123" t="s">
        <v>3265</v>
      </c>
      <c r="L145" s="123" t="s">
        <v>3266</v>
      </c>
    </row>
    <row r="146" spans="1:12" x14ac:dyDescent="0.35">
      <c r="A146" s="74">
        <v>1550</v>
      </c>
      <c r="B146" s="74">
        <v>20311</v>
      </c>
      <c r="C146" s="73">
        <v>62</v>
      </c>
      <c r="D146" s="75" t="s">
        <v>2787</v>
      </c>
      <c r="E146" s="75" t="s">
        <v>1377</v>
      </c>
      <c r="F146" s="75" t="s">
        <v>2788</v>
      </c>
      <c r="G146" s="73" t="s">
        <v>1002</v>
      </c>
      <c r="H146" s="74">
        <v>2600</v>
      </c>
      <c r="I146" s="74" t="s">
        <v>3268</v>
      </c>
      <c r="J146" s="75"/>
      <c r="K146" s="75" t="s">
        <v>3269</v>
      </c>
      <c r="L146" s="75" t="s">
        <v>3270</v>
      </c>
    </row>
    <row r="147" spans="1:12" ht="58" x14ac:dyDescent="0.35">
      <c r="A147" s="74">
        <v>1511</v>
      </c>
      <c r="B147" s="74">
        <v>20313</v>
      </c>
      <c r="C147" s="73">
        <v>63</v>
      </c>
      <c r="D147" s="75" t="s">
        <v>2793</v>
      </c>
      <c r="E147" s="75" t="s">
        <v>1377</v>
      </c>
      <c r="F147" s="75" t="s">
        <v>2794</v>
      </c>
      <c r="G147" s="73" t="s">
        <v>1002</v>
      </c>
      <c r="H147" s="74">
        <v>2410</v>
      </c>
      <c r="I147" s="74" t="s">
        <v>3243</v>
      </c>
      <c r="J147" s="75"/>
      <c r="K147" s="75" t="s">
        <v>3532</v>
      </c>
      <c r="L147" s="75" t="s">
        <v>3272</v>
      </c>
    </row>
    <row r="148" spans="1:12" ht="58" x14ac:dyDescent="0.35">
      <c r="A148" s="74">
        <v>1508</v>
      </c>
      <c r="B148" s="74">
        <v>20312</v>
      </c>
      <c r="C148" s="73">
        <v>64</v>
      </c>
      <c r="D148" s="75" t="s">
        <v>2799</v>
      </c>
      <c r="E148" s="75" t="s">
        <v>1377</v>
      </c>
      <c r="F148" s="75" t="s">
        <v>2800</v>
      </c>
      <c r="G148" s="73" t="s">
        <v>1002</v>
      </c>
      <c r="H148" s="74">
        <v>2395</v>
      </c>
      <c r="I148" s="74" t="s">
        <v>3243</v>
      </c>
      <c r="J148" s="75"/>
      <c r="K148" s="75" t="s">
        <v>3533</v>
      </c>
      <c r="L148" s="75" t="s">
        <v>3274</v>
      </c>
    </row>
    <row r="149" spans="1:12" ht="87" x14ac:dyDescent="0.35">
      <c r="A149" s="74">
        <v>860</v>
      </c>
      <c r="B149" s="74">
        <v>20156</v>
      </c>
      <c r="C149" s="73">
        <v>66</v>
      </c>
      <c r="D149" s="75" t="s">
        <v>609</v>
      </c>
      <c r="E149" s="75" t="s">
        <v>610</v>
      </c>
      <c r="F149" s="75" t="s">
        <v>2801</v>
      </c>
      <c r="G149" s="73" t="s">
        <v>1002</v>
      </c>
      <c r="H149" s="74">
        <v>1605</v>
      </c>
      <c r="I149" s="74" t="s">
        <v>1006</v>
      </c>
      <c r="J149" s="75"/>
      <c r="K149" s="75" t="s">
        <v>3276</v>
      </c>
      <c r="L149" s="75" t="s">
        <v>609</v>
      </c>
    </row>
    <row r="150" spans="1:12" ht="29" x14ac:dyDescent="0.35">
      <c r="A150" s="368">
        <v>861</v>
      </c>
      <c r="B150" s="368">
        <v>20157</v>
      </c>
      <c r="C150" s="122">
        <v>67</v>
      </c>
      <c r="D150" s="123" t="s">
        <v>614</v>
      </c>
      <c r="E150" s="123" t="s">
        <v>615</v>
      </c>
      <c r="F150" s="123" t="s">
        <v>2802</v>
      </c>
      <c r="G150" s="122" t="s">
        <v>1002</v>
      </c>
      <c r="H150" s="368">
        <v>1610</v>
      </c>
      <c r="I150" s="368" t="s">
        <v>1016</v>
      </c>
      <c r="J150" s="123"/>
      <c r="K150" s="123"/>
      <c r="L150" s="123" t="s">
        <v>3278</v>
      </c>
    </row>
    <row r="151" spans="1:12" ht="29" x14ac:dyDescent="0.35">
      <c r="A151" s="74">
        <v>871</v>
      </c>
      <c r="B151" s="74">
        <v>20159</v>
      </c>
      <c r="C151" s="73">
        <v>67</v>
      </c>
      <c r="D151" s="75" t="s">
        <v>616</v>
      </c>
      <c r="E151" s="75" t="s">
        <v>617</v>
      </c>
      <c r="F151" s="75" t="s">
        <v>2806</v>
      </c>
      <c r="G151" s="73" t="s">
        <v>1002</v>
      </c>
      <c r="H151" s="74">
        <v>6710</v>
      </c>
      <c r="I151" s="74" t="s">
        <v>1016</v>
      </c>
      <c r="J151" s="75"/>
      <c r="K151" s="75" t="s">
        <v>3534</v>
      </c>
      <c r="L151" s="75" t="s">
        <v>3535</v>
      </c>
    </row>
    <row r="152" spans="1:12" ht="43.5" x14ac:dyDescent="0.35">
      <c r="A152" s="74">
        <v>1523</v>
      </c>
      <c r="B152" s="74">
        <v>20158</v>
      </c>
      <c r="C152" s="73">
        <v>67</v>
      </c>
      <c r="D152" s="75" t="s">
        <v>2803</v>
      </c>
      <c r="E152" s="75" t="s">
        <v>615</v>
      </c>
      <c r="F152" s="75" t="s">
        <v>2804</v>
      </c>
      <c r="G152" s="73" t="s">
        <v>1002</v>
      </c>
      <c r="H152" s="74">
        <v>6740</v>
      </c>
      <c r="I152" s="74" t="s">
        <v>1006</v>
      </c>
      <c r="J152" s="75"/>
      <c r="K152" s="75" t="s">
        <v>3536</v>
      </c>
      <c r="L152" s="75" t="s">
        <v>3537</v>
      </c>
    </row>
    <row r="153" spans="1:12" ht="319" x14ac:dyDescent="0.35">
      <c r="A153" s="74">
        <v>1610</v>
      </c>
      <c r="B153" s="74">
        <v>20157</v>
      </c>
      <c r="C153" s="73">
        <v>67</v>
      </c>
      <c r="D153" s="75" t="s">
        <v>614</v>
      </c>
      <c r="E153" s="75" t="s">
        <v>615</v>
      </c>
      <c r="F153" s="75" t="s">
        <v>2802</v>
      </c>
      <c r="G153" s="73" t="s">
        <v>1002</v>
      </c>
      <c r="H153" s="74">
        <v>6700</v>
      </c>
      <c r="I153" s="74" t="s">
        <v>3286</v>
      </c>
      <c r="J153" s="75"/>
      <c r="K153" s="75" t="s">
        <v>3287</v>
      </c>
      <c r="L153" s="75" t="s">
        <v>3278</v>
      </c>
    </row>
    <row r="154" spans="1:12" x14ac:dyDescent="0.35">
      <c r="A154" s="368">
        <v>872</v>
      </c>
      <c r="B154" s="368">
        <v>20160</v>
      </c>
      <c r="C154" s="122" t="s">
        <v>1245</v>
      </c>
      <c r="D154" s="123" t="s">
        <v>620</v>
      </c>
      <c r="E154" s="123" t="s">
        <v>621</v>
      </c>
      <c r="F154" s="123" t="s">
        <v>2807</v>
      </c>
      <c r="G154" s="122" t="s">
        <v>1002</v>
      </c>
      <c r="H154" s="368">
        <v>1625</v>
      </c>
      <c r="I154" s="368" t="s">
        <v>1016</v>
      </c>
      <c r="J154" s="123"/>
      <c r="K154" s="123"/>
      <c r="L154" s="123" t="s">
        <v>622</v>
      </c>
    </row>
    <row r="155" spans="1:12" ht="29" x14ac:dyDescent="0.35">
      <c r="A155" s="74">
        <v>874</v>
      </c>
      <c r="B155" s="74">
        <v>20162</v>
      </c>
      <c r="C155" s="73" t="s">
        <v>1245</v>
      </c>
      <c r="D155" s="75" t="s">
        <v>622</v>
      </c>
      <c r="E155" s="75" t="s">
        <v>623</v>
      </c>
      <c r="F155" s="75" t="s">
        <v>2810</v>
      </c>
      <c r="G155" s="73" t="s">
        <v>1002</v>
      </c>
      <c r="H155" s="74">
        <v>6711</v>
      </c>
      <c r="I155" s="74" t="s">
        <v>1016</v>
      </c>
      <c r="J155" s="75"/>
      <c r="K155" s="75" t="s">
        <v>3538</v>
      </c>
      <c r="L155" s="75" t="s">
        <v>3539</v>
      </c>
    </row>
    <row r="156" spans="1:12" ht="43.5" x14ac:dyDescent="0.35">
      <c r="A156" s="74">
        <v>1524</v>
      </c>
      <c r="B156" s="74">
        <v>20161</v>
      </c>
      <c r="C156" s="73" t="s">
        <v>1245</v>
      </c>
      <c r="D156" s="75" t="s">
        <v>2808</v>
      </c>
      <c r="E156" s="75" t="s">
        <v>621</v>
      </c>
      <c r="F156" s="75" t="s">
        <v>2809</v>
      </c>
      <c r="G156" s="73" t="s">
        <v>1002</v>
      </c>
      <c r="H156" s="74">
        <v>6741</v>
      </c>
      <c r="I156" s="74" t="s">
        <v>1006</v>
      </c>
      <c r="J156" s="75"/>
      <c r="K156" s="75" t="s">
        <v>3540</v>
      </c>
      <c r="L156" s="75" t="s">
        <v>3541</v>
      </c>
    </row>
    <row r="157" spans="1:12" ht="43.5" x14ac:dyDescent="0.35">
      <c r="A157" s="74">
        <v>1525</v>
      </c>
      <c r="B157" s="74">
        <v>20164</v>
      </c>
      <c r="C157" s="73" t="s">
        <v>1248</v>
      </c>
      <c r="D157" s="75" t="s">
        <v>625</v>
      </c>
      <c r="E157" s="75" t="s">
        <v>626</v>
      </c>
      <c r="F157" s="75" t="s">
        <v>2812</v>
      </c>
      <c r="G157" s="73" t="s">
        <v>1002</v>
      </c>
      <c r="H157" s="74">
        <v>6742</v>
      </c>
      <c r="I157" s="74" t="s">
        <v>1006</v>
      </c>
      <c r="J157" s="75"/>
      <c r="K157" s="75" t="s">
        <v>3542</v>
      </c>
      <c r="L157" s="75" t="s">
        <v>3543</v>
      </c>
    </row>
    <row r="158" spans="1:12" x14ac:dyDescent="0.35">
      <c r="A158" s="368">
        <v>875</v>
      </c>
      <c r="B158" s="368">
        <v>20163</v>
      </c>
      <c r="C158" s="122" t="s">
        <v>1248</v>
      </c>
      <c r="D158" s="123" t="s">
        <v>625</v>
      </c>
      <c r="E158" s="123" t="s">
        <v>626</v>
      </c>
      <c r="F158" s="123" t="s">
        <v>2811</v>
      </c>
      <c r="G158" s="122" t="s">
        <v>1002</v>
      </c>
      <c r="H158" s="368">
        <v>1640</v>
      </c>
      <c r="I158" s="368" t="s">
        <v>1016</v>
      </c>
      <c r="J158" s="123"/>
      <c r="K158" s="123"/>
      <c r="L158" s="123" t="s">
        <v>627</v>
      </c>
    </row>
    <row r="159" spans="1:12" ht="29" x14ac:dyDescent="0.35">
      <c r="A159" s="74">
        <v>877</v>
      </c>
      <c r="B159" s="74">
        <v>20165</v>
      </c>
      <c r="C159" s="73" t="s">
        <v>1248</v>
      </c>
      <c r="D159" s="75" t="s">
        <v>627</v>
      </c>
      <c r="E159" s="75" t="s">
        <v>628</v>
      </c>
      <c r="F159" s="75" t="s">
        <v>2813</v>
      </c>
      <c r="G159" s="73" t="s">
        <v>1002</v>
      </c>
      <c r="H159" s="74">
        <v>6712</v>
      </c>
      <c r="I159" s="74" t="s">
        <v>1016</v>
      </c>
      <c r="J159" s="75"/>
      <c r="K159" s="75" t="s">
        <v>3544</v>
      </c>
      <c r="L159" s="75" t="s">
        <v>3545</v>
      </c>
    </row>
    <row r="160" spans="1:12" x14ac:dyDescent="0.35">
      <c r="A160" s="368">
        <v>878</v>
      </c>
      <c r="B160" s="368">
        <v>20166</v>
      </c>
      <c r="C160" s="122" t="s">
        <v>1251</v>
      </c>
      <c r="D160" s="123" t="s">
        <v>630</v>
      </c>
      <c r="E160" s="123" t="s">
        <v>631</v>
      </c>
      <c r="F160" s="123" t="s">
        <v>2814</v>
      </c>
      <c r="G160" s="122" t="s">
        <v>1002</v>
      </c>
      <c r="H160" s="368">
        <v>1655</v>
      </c>
      <c r="I160" s="368" t="s">
        <v>1016</v>
      </c>
      <c r="J160" s="123"/>
      <c r="K160" s="123"/>
      <c r="L160" s="123" t="s">
        <v>632</v>
      </c>
    </row>
    <row r="161" spans="1:12" ht="29" x14ac:dyDescent="0.35">
      <c r="A161" s="74">
        <v>880</v>
      </c>
      <c r="B161" s="74">
        <v>20168</v>
      </c>
      <c r="C161" s="73" t="s">
        <v>1251</v>
      </c>
      <c r="D161" s="75" t="s">
        <v>632</v>
      </c>
      <c r="E161" s="75" t="s">
        <v>633</v>
      </c>
      <c r="F161" s="75" t="s">
        <v>2816</v>
      </c>
      <c r="G161" s="73" t="s">
        <v>1002</v>
      </c>
      <c r="H161" s="74">
        <v>6713</v>
      </c>
      <c r="I161" s="74" t="s">
        <v>1016</v>
      </c>
      <c r="J161" s="75"/>
      <c r="K161" s="75" t="s">
        <v>3546</v>
      </c>
      <c r="L161" s="75" t="s">
        <v>3547</v>
      </c>
    </row>
    <row r="162" spans="1:12" ht="43.5" x14ac:dyDescent="0.35">
      <c r="A162" s="74">
        <v>1526</v>
      </c>
      <c r="B162" s="74">
        <v>20167</v>
      </c>
      <c r="C162" s="73" t="s">
        <v>1251</v>
      </c>
      <c r="D162" s="75" t="s">
        <v>630</v>
      </c>
      <c r="E162" s="75" t="s">
        <v>631</v>
      </c>
      <c r="F162" s="75" t="s">
        <v>2815</v>
      </c>
      <c r="G162" s="73" t="s">
        <v>1002</v>
      </c>
      <c r="H162" s="74">
        <v>6743</v>
      </c>
      <c r="I162" s="74" t="s">
        <v>1006</v>
      </c>
      <c r="J162" s="75"/>
      <c r="K162" s="75" t="s">
        <v>3548</v>
      </c>
      <c r="L162" s="75" t="s">
        <v>3549</v>
      </c>
    </row>
    <row r="163" spans="1:12" ht="43.5" x14ac:dyDescent="0.35">
      <c r="A163" s="74">
        <v>1527</v>
      </c>
      <c r="B163" s="74">
        <v>20170</v>
      </c>
      <c r="C163" s="73" t="s">
        <v>1254</v>
      </c>
      <c r="D163" s="75" t="s">
        <v>635</v>
      </c>
      <c r="E163" s="75" t="s">
        <v>636</v>
      </c>
      <c r="F163" s="75" t="s">
        <v>2818</v>
      </c>
      <c r="G163" s="73" t="s">
        <v>1002</v>
      </c>
      <c r="H163" s="74">
        <v>6744</v>
      </c>
      <c r="I163" s="74" t="s">
        <v>1006</v>
      </c>
      <c r="J163" s="75"/>
      <c r="K163" s="75" t="s">
        <v>3550</v>
      </c>
      <c r="L163" s="75" t="s">
        <v>3551</v>
      </c>
    </row>
    <row r="164" spans="1:12" x14ac:dyDescent="0.35">
      <c r="A164" s="368">
        <v>881</v>
      </c>
      <c r="B164" s="368">
        <v>20169</v>
      </c>
      <c r="C164" s="122" t="s">
        <v>1254</v>
      </c>
      <c r="D164" s="123" t="s">
        <v>635</v>
      </c>
      <c r="E164" s="123" t="s">
        <v>636</v>
      </c>
      <c r="F164" s="123" t="s">
        <v>2817</v>
      </c>
      <c r="G164" s="122" t="s">
        <v>1002</v>
      </c>
      <c r="H164" s="368">
        <v>1670</v>
      </c>
      <c r="I164" s="368" t="s">
        <v>1016</v>
      </c>
      <c r="J164" s="123"/>
      <c r="K164" s="123"/>
      <c r="L164" s="123" t="s">
        <v>637</v>
      </c>
    </row>
    <row r="165" spans="1:12" ht="29" x14ac:dyDescent="0.35">
      <c r="A165" s="74">
        <v>883</v>
      </c>
      <c r="B165" s="74">
        <v>20171</v>
      </c>
      <c r="C165" s="73" t="s">
        <v>1254</v>
      </c>
      <c r="D165" s="75" t="s">
        <v>637</v>
      </c>
      <c r="E165" s="75" t="s">
        <v>638</v>
      </c>
      <c r="F165" s="75" t="s">
        <v>2819</v>
      </c>
      <c r="G165" s="73" t="s">
        <v>1002</v>
      </c>
      <c r="H165" s="74">
        <v>6714</v>
      </c>
      <c r="I165" s="74" t="s">
        <v>1016</v>
      </c>
      <c r="J165" s="75"/>
      <c r="K165" s="75" t="s">
        <v>3552</v>
      </c>
      <c r="L165" s="75" t="s">
        <v>3553</v>
      </c>
    </row>
    <row r="166" spans="1:12" x14ac:dyDescent="0.35">
      <c r="A166" s="368">
        <v>884</v>
      </c>
      <c r="B166" s="368">
        <v>20172</v>
      </c>
      <c r="C166" s="122" t="s">
        <v>1257</v>
      </c>
      <c r="D166" s="123" t="s">
        <v>640</v>
      </c>
      <c r="E166" s="123" t="s">
        <v>641</v>
      </c>
      <c r="F166" s="123" t="s">
        <v>2820</v>
      </c>
      <c r="G166" s="122" t="s">
        <v>1002</v>
      </c>
      <c r="H166" s="368">
        <v>1685</v>
      </c>
      <c r="I166" s="368" t="s">
        <v>1016</v>
      </c>
      <c r="J166" s="123"/>
      <c r="K166" s="123"/>
      <c r="L166" s="123" t="s">
        <v>642</v>
      </c>
    </row>
    <row r="167" spans="1:12" ht="29" x14ac:dyDescent="0.35">
      <c r="A167" s="74">
        <v>886</v>
      </c>
      <c r="B167" s="74">
        <v>20174</v>
      </c>
      <c r="C167" s="73" t="s">
        <v>1257</v>
      </c>
      <c r="D167" s="75" t="s">
        <v>642</v>
      </c>
      <c r="E167" s="75" t="s">
        <v>643</v>
      </c>
      <c r="F167" s="75" t="s">
        <v>2822</v>
      </c>
      <c r="G167" s="73" t="s">
        <v>1002</v>
      </c>
      <c r="H167" s="74">
        <v>6715</v>
      </c>
      <c r="I167" s="74" t="s">
        <v>1016</v>
      </c>
      <c r="J167" s="75"/>
      <c r="K167" s="75" t="s">
        <v>3554</v>
      </c>
      <c r="L167" s="75" t="s">
        <v>3555</v>
      </c>
    </row>
    <row r="168" spans="1:12" ht="43.5" x14ac:dyDescent="0.35">
      <c r="A168" s="74">
        <v>1528</v>
      </c>
      <c r="B168" s="74">
        <v>20173</v>
      </c>
      <c r="C168" s="73" t="s">
        <v>1257</v>
      </c>
      <c r="D168" s="75" t="s">
        <v>640</v>
      </c>
      <c r="E168" s="75" t="s">
        <v>641</v>
      </c>
      <c r="F168" s="75" t="s">
        <v>2821</v>
      </c>
      <c r="G168" s="73" t="s">
        <v>1002</v>
      </c>
      <c r="H168" s="74">
        <v>6745</v>
      </c>
      <c r="I168" s="74" t="s">
        <v>1006</v>
      </c>
      <c r="J168" s="75"/>
      <c r="K168" s="75" t="s">
        <v>3556</v>
      </c>
      <c r="L168" s="75" t="s">
        <v>3557</v>
      </c>
    </row>
    <row r="169" spans="1:12" ht="43.5" x14ac:dyDescent="0.35">
      <c r="A169" s="74">
        <v>1529</v>
      </c>
      <c r="B169" s="74">
        <v>20176</v>
      </c>
      <c r="C169" s="73" t="s">
        <v>1260</v>
      </c>
      <c r="D169" s="75" t="s">
        <v>645</v>
      </c>
      <c r="E169" s="75" t="s">
        <v>646</v>
      </c>
      <c r="F169" s="75" t="s">
        <v>2824</v>
      </c>
      <c r="G169" s="73" t="s">
        <v>1002</v>
      </c>
      <c r="H169" s="74">
        <v>6746</v>
      </c>
      <c r="I169" s="74" t="s">
        <v>1006</v>
      </c>
      <c r="J169" s="75"/>
      <c r="K169" s="75" t="s">
        <v>3558</v>
      </c>
      <c r="L169" s="75" t="s">
        <v>3559</v>
      </c>
    </row>
    <row r="170" spans="1:12" x14ac:dyDescent="0.35">
      <c r="A170" s="368">
        <v>887</v>
      </c>
      <c r="B170" s="368">
        <v>20175</v>
      </c>
      <c r="C170" s="122" t="s">
        <v>1260</v>
      </c>
      <c r="D170" s="123" t="s">
        <v>645</v>
      </c>
      <c r="E170" s="123" t="s">
        <v>646</v>
      </c>
      <c r="F170" s="123" t="s">
        <v>2823</v>
      </c>
      <c r="G170" s="122" t="s">
        <v>1002</v>
      </c>
      <c r="H170" s="368">
        <v>1700</v>
      </c>
      <c r="I170" s="368" t="s">
        <v>1016</v>
      </c>
      <c r="J170" s="123"/>
      <c r="K170" s="123"/>
      <c r="L170" s="123" t="s">
        <v>647</v>
      </c>
    </row>
    <row r="171" spans="1:12" ht="29" x14ac:dyDescent="0.35">
      <c r="A171" s="74">
        <v>889</v>
      </c>
      <c r="B171" s="74">
        <v>20177</v>
      </c>
      <c r="C171" s="73" t="s">
        <v>1260</v>
      </c>
      <c r="D171" s="75" t="s">
        <v>647</v>
      </c>
      <c r="E171" s="75" t="s">
        <v>648</v>
      </c>
      <c r="F171" s="75" t="s">
        <v>2825</v>
      </c>
      <c r="G171" s="73" t="s">
        <v>1002</v>
      </c>
      <c r="H171" s="74">
        <v>6716</v>
      </c>
      <c r="I171" s="74" t="s">
        <v>1016</v>
      </c>
      <c r="J171" s="75"/>
      <c r="K171" s="75" t="s">
        <v>3560</v>
      </c>
      <c r="L171" s="75" t="s">
        <v>3561</v>
      </c>
    </row>
    <row r="172" spans="1:12" x14ac:dyDescent="0.35">
      <c r="A172" s="368">
        <v>890</v>
      </c>
      <c r="B172" s="368">
        <v>20178</v>
      </c>
      <c r="C172" s="122" t="s">
        <v>1263</v>
      </c>
      <c r="D172" s="123" t="s">
        <v>650</v>
      </c>
      <c r="E172" s="123" t="s">
        <v>651</v>
      </c>
      <c r="F172" s="123" t="s">
        <v>2826</v>
      </c>
      <c r="G172" s="122" t="s">
        <v>1002</v>
      </c>
      <c r="H172" s="368">
        <v>1715</v>
      </c>
      <c r="I172" s="368" t="s">
        <v>1016</v>
      </c>
      <c r="J172" s="123"/>
      <c r="K172" s="123"/>
      <c r="L172" s="123" t="s">
        <v>652</v>
      </c>
    </row>
    <row r="173" spans="1:12" ht="29" x14ac:dyDescent="0.35">
      <c r="A173" s="74">
        <v>892</v>
      </c>
      <c r="B173" s="74">
        <v>20180</v>
      </c>
      <c r="C173" s="73" t="s">
        <v>1263</v>
      </c>
      <c r="D173" s="75" t="s">
        <v>652</v>
      </c>
      <c r="E173" s="75" t="s">
        <v>653</v>
      </c>
      <c r="F173" s="75" t="s">
        <v>2828</v>
      </c>
      <c r="G173" s="73" t="s">
        <v>1002</v>
      </c>
      <c r="H173" s="74">
        <v>6717</v>
      </c>
      <c r="I173" s="74" t="s">
        <v>1016</v>
      </c>
      <c r="J173" s="75"/>
      <c r="K173" s="75" t="s">
        <v>3562</v>
      </c>
      <c r="L173" s="75" t="s">
        <v>3563</v>
      </c>
    </row>
    <row r="174" spans="1:12" ht="43.5" x14ac:dyDescent="0.35">
      <c r="A174" s="74">
        <v>1530</v>
      </c>
      <c r="B174" s="74">
        <v>20179</v>
      </c>
      <c r="C174" s="73" t="s">
        <v>1263</v>
      </c>
      <c r="D174" s="75" t="s">
        <v>650</v>
      </c>
      <c r="E174" s="75" t="s">
        <v>651</v>
      </c>
      <c r="F174" s="75" t="s">
        <v>2827</v>
      </c>
      <c r="G174" s="73" t="s">
        <v>1002</v>
      </c>
      <c r="H174" s="74">
        <v>6747</v>
      </c>
      <c r="I174" s="74" t="s">
        <v>1006</v>
      </c>
      <c r="J174" s="75"/>
      <c r="K174" s="75" t="s">
        <v>3564</v>
      </c>
      <c r="L174" s="75" t="s">
        <v>3565</v>
      </c>
    </row>
    <row r="175" spans="1:12" ht="43.5" x14ac:dyDescent="0.35">
      <c r="A175" s="74">
        <v>1531</v>
      </c>
      <c r="B175" s="74">
        <v>20182</v>
      </c>
      <c r="C175" s="73" t="s">
        <v>1266</v>
      </c>
      <c r="D175" s="75" t="s">
        <v>655</v>
      </c>
      <c r="E175" s="75" t="s">
        <v>656</v>
      </c>
      <c r="F175" s="75" t="s">
        <v>2830</v>
      </c>
      <c r="G175" s="73" t="s">
        <v>1002</v>
      </c>
      <c r="H175" s="74">
        <v>6748</v>
      </c>
      <c r="I175" s="74" t="s">
        <v>1006</v>
      </c>
      <c r="J175" s="75"/>
      <c r="K175" s="75" t="s">
        <v>3566</v>
      </c>
      <c r="L175" s="75" t="s">
        <v>3567</v>
      </c>
    </row>
    <row r="176" spans="1:12" x14ac:dyDescent="0.35">
      <c r="A176" s="368">
        <v>893</v>
      </c>
      <c r="B176" s="368">
        <v>20181</v>
      </c>
      <c r="C176" s="122" t="s">
        <v>1266</v>
      </c>
      <c r="D176" s="123" t="s">
        <v>655</v>
      </c>
      <c r="E176" s="123" t="s">
        <v>656</v>
      </c>
      <c r="F176" s="123" t="s">
        <v>2829</v>
      </c>
      <c r="G176" s="122" t="s">
        <v>1002</v>
      </c>
      <c r="H176" s="368">
        <v>1730</v>
      </c>
      <c r="I176" s="368" t="s">
        <v>1016</v>
      </c>
      <c r="J176" s="123"/>
      <c r="K176" s="123"/>
      <c r="L176" s="123" t="s">
        <v>657</v>
      </c>
    </row>
    <row r="177" spans="1:12" ht="29" x14ac:dyDescent="0.35">
      <c r="A177" s="74">
        <v>895</v>
      </c>
      <c r="B177" s="74">
        <v>20183</v>
      </c>
      <c r="C177" s="73" t="s">
        <v>1266</v>
      </c>
      <c r="D177" s="75" t="s">
        <v>657</v>
      </c>
      <c r="E177" s="75" t="s">
        <v>658</v>
      </c>
      <c r="F177" s="75" t="s">
        <v>2831</v>
      </c>
      <c r="G177" s="73" t="s">
        <v>1002</v>
      </c>
      <c r="H177" s="74">
        <v>6718</v>
      </c>
      <c r="I177" s="74" t="s">
        <v>1016</v>
      </c>
      <c r="J177" s="75"/>
      <c r="K177" s="75" t="s">
        <v>3568</v>
      </c>
      <c r="L177" s="75" t="s">
        <v>3569</v>
      </c>
    </row>
    <row r="178" spans="1:12" x14ac:dyDescent="0.35">
      <c r="A178" s="368">
        <v>896</v>
      </c>
      <c r="B178" s="368">
        <v>20184</v>
      </c>
      <c r="C178" s="122" t="s">
        <v>1269</v>
      </c>
      <c r="D178" s="123" t="s">
        <v>660</v>
      </c>
      <c r="E178" s="123" t="s">
        <v>661</v>
      </c>
      <c r="F178" s="123" t="s">
        <v>2832</v>
      </c>
      <c r="G178" s="122" t="s">
        <v>1002</v>
      </c>
      <c r="H178" s="368">
        <v>1745</v>
      </c>
      <c r="I178" s="368" t="s">
        <v>1016</v>
      </c>
      <c r="J178" s="123"/>
      <c r="K178" s="123"/>
      <c r="L178" s="123" t="s">
        <v>663</v>
      </c>
    </row>
    <row r="179" spans="1:12" ht="29" x14ac:dyDescent="0.35">
      <c r="A179" s="74">
        <v>898</v>
      </c>
      <c r="B179" s="74">
        <v>20186</v>
      </c>
      <c r="C179" s="73" t="s">
        <v>1269</v>
      </c>
      <c r="D179" s="75" t="s">
        <v>663</v>
      </c>
      <c r="E179" s="75" t="s">
        <v>664</v>
      </c>
      <c r="F179" s="75" t="s">
        <v>2834</v>
      </c>
      <c r="G179" s="73" t="s">
        <v>1002</v>
      </c>
      <c r="H179" s="74">
        <v>6719</v>
      </c>
      <c r="I179" s="74" t="s">
        <v>1016</v>
      </c>
      <c r="J179" s="75"/>
      <c r="K179" s="75" t="s">
        <v>3570</v>
      </c>
      <c r="L179" s="75" t="s">
        <v>3571</v>
      </c>
    </row>
    <row r="180" spans="1:12" ht="43.5" x14ac:dyDescent="0.35">
      <c r="A180" s="74">
        <v>1532</v>
      </c>
      <c r="B180" s="74">
        <v>20185</v>
      </c>
      <c r="C180" s="73" t="s">
        <v>1269</v>
      </c>
      <c r="D180" s="75" t="s">
        <v>660</v>
      </c>
      <c r="E180" s="75" t="s">
        <v>661</v>
      </c>
      <c r="F180" s="75" t="s">
        <v>2833</v>
      </c>
      <c r="G180" s="73" t="s">
        <v>1002</v>
      </c>
      <c r="H180" s="74">
        <v>6749</v>
      </c>
      <c r="I180" s="74" t="s">
        <v>1006</v>
      </c>
      <c r="J180" s="75"/>
      <c r="K180" s="75" t="s">
        <v>3572</v>
      </c>
      <c r="L180" s="75" t="s">
        <v>3573</v>
      </c>
    </row>
    <row r="181" spans="1:12" ht="43.5" x14ac:dyDescent="0.35">
      <c r="A181" s="74">
        <v>1533</v>
      </c>
      <c r="B181" s="74">
        <v>20188</v>
      </c>
      <c r="C181" s="73" t="s">
        <v>1272</v>
      </c>
      <c r="D181" s="75" t="s">
        <v>667</v>
      </c>
      <c r="E181" s="75" t="s">
        <v>668</v>
      </c>
      <c r="F181" s="75" t="s">
        <v>2836</v>
      </c>
      <c r="G181" s="73" t="s">
        <v>1002</v>
      </c>
      <c r="H181" s="74">
        <v>6750</v>
      </c>
      <c r="I181" s="74" t="s">
        <v>1006</v>
      </c>
      <c r="J181" s="75"/>
      <c r="K181" s="75" t="s">
        <v>3574</v>
      </c>
      <c r="L181" s="75" t="s">
        <v>3575</v>
      </c>
    </row>
    <row r="182" spans="1:12" x14ac:dyDescent="0.35">
      <c r="A182" s="368">
        <v>899</v>
      </c>
      <c r="B182" s="368">
        <v>20187</v>
      </c>
      <c r="C182" s="122" t="s">
        <v>1272</v>
      </c>
      <c r="D182" s="123" t="s">
        <v>667</v>
      </c>
      <c r="E182" s="123" t="s">
        <v>668</v>
      </c>
      <c r="F182" s="123" t="s">
        <v>2835</v>
      </c>
      <c r="G182" s="122" t="s">
        <v>1002</v>
      </c>
      <c r="H182" s="368">
        <v>1760</v>
      </c>
      <c r="I182" s="368" t="s">
        <v>1016</v>
      </c>
      <c r="J182" s="123"/>
      <c r="K182" s="123"/>
      <c r="L182" s="123" t="s">
        <v>670</v>
      </c>
    </row>
    <row r="183" spans="1:12" ht="29" x14ac:dyDescent="0.35">
      <c r="A183" s="74">
        <v>901</v>
      </c>
      <c r="B183" s="74">
        <v>20189</v>
      </c>
      <c r="C183" s="73" t="s">
        <v>1272</v>
      </c>
      <c r="D183" s="75" t="s">
        <v>670</v>
      </c>
      <c r="E183" s="75" t="s">
        <v>671</v>
      </c>
      <c r="F183" s="75" t="s">
        <v>2837</v>
      </c>
      <c r="G183" s="73" t="s">
        <v>1002</v>
      </c>
      <c r="H183" s="74">
        <v>6720</v>
      </c>
      <c r="I183" s="74" t="s">
        <v>1016</v>
      </c>
      <c r="J183" s="75"/>
      <c r="K183" s="75" t="s">
        <v>3576</v>
      </c>
      <c r="L183" s="75" t="s">
        <v>3577</v>
      </c>
    </row>
    <row r="184" spans="1:12" x14ac:dyDescent="0.35">
      <c r="A184" s="368">
        <v>902</v>
      </c>
      <c r="B184" s="368">
        <v>20190</v>
      </c>
      <c r="C184" s="122" t="s">
        <v>1275</v>
      </c>
      <c r="D184" s="123" t="s">
        <v>674</v>
      </c>
      <c r="E184" s="123" t="s">
        <v>675</v>
      </c>
      <c r="F184" s="123" t="s">
        <v>2838</v>
      </c>
      <c r="G184" s="122" t="s">
        <v>1002</v>
      </c>
      <c r="H184" s="368">
        <v>1775</v>
      </c>
      <c r="I184" s="368" t="s">
        <v>1016</v>
      </c>
      <c r="J184" s="123"/>
      <c r="K184" s="123"/>
      <c r="L184" s="123" t="s">
        <v>677</v>
      </c>
    </row>
    <row r="185" spans="1:12" ht="29" x14ac:dyDescent="0.35">
      <c r="A185" s="74">
        <v>904</v>
      </c>
      <c r="B185" s="74">
        <v>20192</v>
      </c>
      <c r="C185" s="73" t="s">
        <v>1275</v>
      </c>
      <c r="D185" s="75" t="s">
        <v>677</v>
      </c>
      <c r="E185" s="75" t="s">
        <v>678</v>
      </c>
      <c r="F185" s="75" t="s">
        <v>2840</v>
      </c>
      <c r="G185" s="73" t="s">
        <v>1002</v>
      </c>
      <c r="H185" s="74">
        <v>6721</v>
      </c>
      <c r="I185" s="74" t="s">
        <v>1016</v>
      </c>
      <c r="J185" s="75"/>
      <c r="K185" s="75" t="s">
        <v>3578</v>
      </c>
      <c r="L185" s="75" t="s">
        <v>3579</v>
      </c>
    </row>
    <row r="186" spans="1:12" ht="43.5" x14ac:dyDescent="0.35">
      <c r="A186" s="74">
        <v>1534</v>
      </c>
      <c r="B186" s="74">
        <v>20191</v>
      </c>
      <c r="C186" s="73" t="s">
        <v>1275</v>
      </c>
      <c r="D186" s="75" t="s">
        <v>674</v>
      </c>
      <c r="E186" s="75" t="s">
        <v>675</v>
      </c>
      <c r="F186" s="75" t="s">
        <v>2839</v>
      </c>
      <c r="G186" s="73" t="s">
        <v>1002</v>
      </c>
      <c r="H186" s="74">
        <v>6751</v>
      </c>
      <c r="I186" s="74" t="s">
        <v>1006</v>
      </c>
      <c r="J186" s="75"/>
      <c r="K186" s="75" t="s">
        <v>3580</v>
      </c>
      <c r="L186" s="75" t="s">
        <v>3581</v>
      </c>
    </row>
    <row r="187" spans="1:12" ht="43.5" x14ac:dyDescent="0.35">
      <c r="A187" s="74">
        <v>1535</v>
      </c>
      <c r="B187" s="74">
        <v>20194</v>
      </c>
      <c r="C187" s="73" t="s">
        <v>1278</v>
      </c>
      <c r="D187" s="75" t="s">
        <v>681</v>
      </c>
      <c r="E187" s="75" t="s">
        <v>682</v>
      </c>
      <c r="F187" s="75" t="s">
        <v>2842</v>
      </c>
      <c r="G187" s="73" t="s">
        <v>1002</v>
      </c>
      <c r="H187" s="74">
        <v>6752</v>
      </c>
      <c r="I187" s="74" t="s">
        <v>1006</v>
      </c>
      <c r="J187" s="75"/>
      <c r="K187" s="75" t="s">
        <v>3582</v>
      </c>
      <c r="L187" s="75" t="s">
        <v>3583</v>
      </c>
    </row>
    <row r="188" spans="1:12" x14ac:dyDescent="0.35">
      <c r="A188" s="368">
        <v>905</v>
      </c>
      <c r="B188" s="368">
        <v>20193</v>
      </c>
      <c r="C188" s="122" t="s">
        <v>1278</v>
      </c>
      <c r="D188" s="123" t="s">
        <v>681</v>
      </c>
      <c r="E188" s="123" t="s">
        <v>682</v>
      </c>
      <c r="F188" s="123" t="s">
        <v>2841</v>
      </c>
      <c r="G188" s="122" t="s">
        <v>1002</v>
      </c>
      <c r="H188" s="368">
        <v>1790</v>
      </c>
      <c r="I188" s="368" t="s">
        <v>1016</v>
      </c>
      <c r="J188" s="123"/>
      <c r="K188" s="123"/>
      <c r="L188" s="123" t="s">
        <v>684</v>
      </c>
    </row>
    <row r="189" spans="1:12" ht="29" x14ac:dyDescent="0.35">
      <c r="A189" s="74">
        <v>907</v>
      </c>
      <c r="B189" s="74">
        <v>20195</v>
      </c>
      <c r="C189" s="73" t="s">
        <v>1278</v>
      </c>
      <c r="D189" s="75" t="s">
        <v>684</v>
      </c>
      <c r="E189" s="75" t="s">
        <v>685</v>
      </c>
      <c r="F189" s="75" t="s">
        <v>2843</v>
      </c>
      <c r="G189" s="73" t="s">
        <v>1002</v>
      </c>
      <c r="H189" s="74">
        <v>6722</v>
      </c>
      <c r="I189" s="74" t="s">
        <v>1016</v>
      </c>
      <c r="J189" s="75"/>
      <c r="K189" s="75" t="s">
        <v>3584</v>
      </c>
      <c r="L189" s="75" t="s">
        <v>3585</v>
      </c>
    </row>
    <row r="190" spans="1:12" x14ac:dyDescent="0.35">
      <c r="A190" s="368">
        <v>908</v>
      </c>
      <c r="B190" s="368">
        <v>20196</v>
      </c>
      <c r="C190" s="122" t="s">
        <v>1281</v>
      </c>
      <c r="D190" s="123" t="s">
        <v>688</v>
      </c>
      <c r="E190" s="123" t="s">
        <v>689</v>
      </c>
      <c r="F190" s="123" t="s">
        <v>2844</v>
      </c>
      <c r="G190" s="122" t="s">
        <v>1002</v>
      </c>
      <c r="H190" s="368">
        <v>1805</v>
      </c>
      <c r="I190" s="368" t="s">
        <v>1016</v>
      </c>
      <c r="J190" s="123"/>
      <c r="K190" s="123"/>
      <c r="L190" s="123" t="s">
        <v>2183</v>
      </c>
    </row>
    <row r="191" spans="1:12" ht="29" x14ac:dyDescent="0.35">
      <c r="A191" s="74">
        <v>910</v>
      </c>
      <c r="B191" s="74">
        <v>20198</v>
      </c>
      <c r="C191" s="73" t="s">
        <v>1281</v>
      </c>
      <c r="D191" s="75" t="s">
        <v>684</v>
      </c>
      <c r="E191" s="75" t="s">
        <v>691</v>
      </c>
      <c r="F191" s="75" t="s">
        <v>2846</v>
      </c>
      <c r="G191" s="73" t="s">
        <v>1002</v>
      </c>
      <c r="H191" s="74">
        <v>6723</v>
      </c>
      <c r="I191" s="74" t="s">
        <v>1016</v>
      </c>
      <c r="J191" s="75"/>
      <c r="K191" s="75" t="s">
        <v>3586</v>
      </c>
      <c r="L191" s="75" t="s">
        <v>3587</v>
      </c>
    </row>
    <row r="192" spans="1:12" ht="43.5" x14ac:dyDescent="0.35">
      <c r="A192" s="74">
        <v>1536</v>
      </c>
      <c r="B192" s="74">
        <v>20197</v>
      </c>
      <c r="C192" s="73" t="s">
        <v>1281</v>
      </c>
      <c r="D192" s="75" t="s">
        <v>688</v>
      </c>
      <c r="E192" s="75" t="s">
        <v>689</v>
      </c>
      <c r="F192" s="75" t="s">
        <v>2845</v>
      </c>
      <c r="G192" s="73" t="s">
        <v>1002</v>
      </c>
      <c r="H192" s="74">
        <v>6753</v>
      </c>
      <c r="I192" s="74" t="s">
        <v>1006</v>
      </c>
      <c r="J192" s="75"/>
      <c r="K192" s="75" t="s">
        <v>3588</v>
      </c>
      <c r="L192" s="75" t="s">
        <v>3589</v>
      </c>
    </row>
    <row r="193" spans="1:12" ht="43.5" x14ac:dyDescent="0.35">
      <c r="A193" s="74">
        <v>1537</v>
      </c>
      <c r="B193" s="74">
        <v>20200</v>
      </c>
      <c r="C193" s="73" t="s">
        <v>1284</v>
      </c>
      <c r="D193" s="75" t="s">
        <v>694</v>
      </c>
      <c r="E193" s="75" t="s">
        <v>695</v>
      </c>
      <c r="F193" s="75" t="s">
        <v>2848</v>
      </c>
      <c r="G193" s="73" t="s">
        <v>1002</v>
      </c>
      <c r="H193" s="74">
        <v>6754</v>
      </c>
      <c r="I193" s="74" t="s">
        <v>1006</v>
      </c>
      <c r="J193" s="75"/>
      <c r="K193" s="75" t="s">
        <v>3590</v>
      </c>
      <c r="L193" s="75" t="s">
        <v>3591</v>
      </c>
    </row>
    <row r="194" spans="1:12" x14ac:dyDescent="0.35">
      <c r="A194" s="368">
        <v>911</v>
      </c>
      <c r="B194" s="368">
        <v>20199</v>
      </c>
      <c r="C194" s="122" t="s">
        <v>1284</v>
      </c>
      <c r="D194" s="123" t="s">
        <v>694</v>
      </c>
      <c r="E194" s="123" t="s">
        <v>695</v>
      </c>
      <c r="F194" s="123" t="s">
        <v>2847</v>
      </c>
      <c r="G194" s="122" t="s">
        <v>1002</v>
      </c>
      <c r="H194" s="368">
        <v>1820</v>
      </c>
      <c r="I194" s="368" t="s">
        <v>1016</v>
      </c>
      <c r="J194" s="123"/>
      <c r="K194" s="123"/>
      <c r="L194" s="123" t="s">
        <v>697</v>
      </c>
    </row>
    <row r="195" spans="1:12" ht="29" x14ac:dyDescent="0.35">
      <c r="A195" s="74">
        <v>913</v>
      </c>
      <c r="B195" s="74">
        <v>20201</v>
      </c>
      <c r="C195" s="73" t="s">
        <v>1284</v>
      </c>
      <c r="D195" s="75" t="s">
        <v>697</v>
      </c>
      <c r="E195" s="75" t="s">
        <v>698</v>
      </c>
      <c r="F195" s="75" t="s">
        <v>2849</v>
      </c>
      <c r="G195" s="73" t="s">
        <v>1002</v>
      </c>
      <c r="H195" s="74">
        <v>6724</v>
      </c>
      <c r="I195" s="74" t="s">
        <v>1016</v>
      </c>
      <c r="J195" s="75"/>
      <c r="K195" s="75" t="s">
        <v>3592</v>
      </c>
      <c r="L195" s="75" t="s">
        <v>3593</v>
      </c>
    </row>
    <row r="196" spans="1:12" ht="43.5" x14ac:dyDescent="0.35">
      <c r="A196" s="74">
        <v>1538</v>
      </c>
      <c r="B196" s="74">
        <v>20203</v>
      </c>
      <c r="C196" s="73" t="s">
        <v>1287</v>
      </c>
      <c r="D196" s="75" t="s">
        <v>701</v>
      </c>
      <c r="E196" s="75" t="s">
        <v>702</v>
      </c>
      <c r="F196" s="75" t="s">
        <v>2851</v>
      </c>
      <c r="G196" s="73" t="s">
        <v>1002</v>
      </c>
      <c r="H196" s="74">
        <v>6755</v>
      </c>
      <c r="I196" s="74" t="s">
        <v>1006</v>
      </c>
      <c r="J196" s="75"/>
      <c r="K196" s="75" t="s">
        <v>3594</v>
      </c>
      <c r="L196" s="75" t="s">
        <v>3595</v>
      </c>
    </row>
    <row r="197" spans="1:12" x14ac:dyDescent="0.35">
      <c r="A197" s="368">
        <v>914</v>
      </c>
      <c r="B197" s="368">
        <v>20202</v>
      </c>
      <c r="C197" s="122" t="s">
        <v>1287</v>
      </c>
      <c r="D197" s="123" t="s">
        <v>701</v>
      </c>
      <c r="E197" s="123" t="s">
        <v>702</v>
      </c>
      <c r="F197" s="123" t="s">
        <v>2850</v>
      </c>
      <c r="G197" s="122" t="s">
        <v>1002</v>
      </c>
      <c r="H197" s="368">
        <v>1835</v>
      </c>
      <c r="I197" s="368" t="s">
        <v>1016</v>
      </c>
      <c r="J197" s="123"/>
      <c r="K197" s="123"/>
      <c r="L197" s="123" t="s">
        <v>704</v>
      </c>
    </row>
    <row r="198" spans="1:12" ht="29" x14ac:dyDescent="0.35">
      <c r="A198" s="74">
        <v>916</v>
      </c>
      <c r="B198" s="74">
        <v>20204</v>
      </c>
      <c r="C198" s="73" t="s">
        <v>1287</v>
      </c>
      <c r="D198" s="75" t="s">
        <v>704</v>
      </c>
      <c r="E198" s="75" t="s">
        <v>705</v>
      </c>
      <c r="F198" s="75" t="s">
        <v>2852</v>
      </c>
      <c r="G198" s="73" t="s">
        <v>1002</v>
      </c>
      <c r="H198" s="74">
        <v>6725</v>
      </c>
      <c r="I198" s="74" t="s">
        <v>1016</v>
      </c>
      <c r="J198" s="75"/>
      <c r="K198" s="75" t="s">
        <v>3596</v>
      </c>
      <c r="L198" s="75" t="s">
        <v>3597</v>
      </c>
    </row>
    <row r="199" spans="1:12" x14ac:dyDescent="0.35">
      <c r="A199" s="368">
        <v>917</v>
      </c>
      <c r="B199" s="368">
        <v>20205</v>
      </c>
      <c r="C199" s="122" t="s">
        <v>1290</v>
      </c>
      <c r="D199" s="123" t="s">
        <v>708</v>
      </c>
      <c r="E199" s="123" t="s">
        <v>709</v>
      </c>
      <c r="F199" s="123" t="s">
        <v>2853</v>
      </c>
      <c r="G199" s="122" t="s">
        <v>1002</v>
      </c>
      <c r="H199" s="368">
        <v>1850</v>
      </c>
      <c r="I199" s="368" t="s">
        <v>1016</v>
      </c>
      <c r="J199" s="123"/>
      <c r="K199" s="123"/>
      <c r="L199" s="123" t="s">
        <v>711</v>
      </c>
    </row>
    <row r="200" spans="1:12" ht="29" x14ac:dyDescent="0.35">
      <c r="A200" s="74">
        <v>919</v>
      </c>
      <c r="B200" s="74">
        <v>20207</v>
      </c>
      <c r="C200" s="73" t="s">
        <v>1290</v>
      </c>
      <c r="D200" s="75" t="s">
        <v>711</v>
      </c>
      <c r="E200" s="75" t="s">
        <v>712</v>
      </c>
      <c r="F200" s="75" t="s">
        <v>2855</v>
      </c>
      <c r="G200" s="73" t="s">
        <v>1002</v>
      </c>
      <c r="H200" s="74">
        <v>6726</v>
      </c>
      <c r="I200" s="74" t="s">
        <v>1016</v>
      </c>
      <c r="J200" s="75"/>
      <c r="K200" s="75" t="s">
        <v>3598</v>
      </c>
      <c r="L200" s="75" t="s">
        <v>3599</v>
      </c>
    </row>
    <row r="201" spans="1:12" ht="43.5" x14ac:dyDescent="0.35">
      <c r="A201" s="74">
        <v>1539</v>
      </c>
      <c r="B201" s="74">
        <v>20206</v>
      </c>
      <c r="C201" s="73" t="s">
        <v>1290</v>
      </c>
      <c r="D201" s="75" t="s">
        <v>708</v>
      </c>
      <c r="E201" s="75" t="s">
        <v>709</v>
      </c>
      <c r="F201" s="75" t="s">
        <v>2854</v>
      </c>
      <c r="G201" s="73" t="s">
        <v>1002</v>
      </c>
      <c r="H201" s="74">
        <v>6756</v>
      </c>
      <c r="I201" s="74" t="s">
        <v>1006</v>
      </c>
      <c r="J201" s="75"/>
      <c r="K201" s="75" t="s">
        <v>3600</v>
      </c>
      <c r="L201" s="75" t="s">
        <v>3601</v>
      </c>
    </row>
    <row r="202" spans="1:12" ht="43.5" x14ac:dyDescent="0.35">
      <c r="A202" s="74">
        <v>1540</v>
      </c>
      <c r="B202" s="74">
        <v>20209</v>
      </c>
      <c r="C202" s="73" t="s">
        <v>1293</v>
      </c>
      <c r="D202" s="75" t="s">
        <v>715</v>
      </c>
      <c r="E202" s="75" t="s">
        <v>716</v>
      </c>
      <c r="F202" s="75" t="s">
        <v>2857</v>
      </c>
      <c r="G202" s="73" t="s">
        <v>1002</v>
      </c>
      <c r="H202" s="74">
        <v>6757</v>
      </c>
      <c r="I202" s="74" t="s">
        <v>1006</v>
      </c>
      <c r="J202" s="75"/>
      <c r="K202" s="75" t="s">
        <v>3602</v>
      </c>
      <c r="L202" s="75" t="s">
        <v>3603</v>
      </c>
    </row>
    <row r="203" spans="1:12" x14ac:dyDescent="0.35">
      <c r="A203" s="368">
        <v>920</v>
      </c>
      <c r="B203" s="368">
        <v>20208</v>
      </c>
      <c r="C203" s="122" t="s">
        <v>1293</v>
      </c>
      <c r="D203" s="123" t="s">
        <v>715</v>
      </c>
      <c r="E203" s="123" t="s">
        <v>716</v>
      </c>
      <c r="F203" s="123" t="s">
        <v>2856</v>
      </c>
      <c r="G203" s="122" t="s">
        <v>1002</v>
      </c>
      <c r="H203" s="368">
        <v>1865</v>
      </c>
      <c r="I203" s="368" t="s">
        <v>1016</v>
      </c>
      <c r="J203" s="123"/>
      <c r="K203" s="123"/>
      <c r="L203" s="123" t="s">
        <v>718</v>
      </c>
    </row>
    <row r="204" spans="1:12" ht="29" x14ac:dyDescent="0.35">
      <c r="A204" s="74">
        <v>922</v>
      </c>
      <c r="B204" s="74">
        <v>20210</v>
      </c>
      <c r="C204" s="73" t="s">
        <v>1293</v>
      </c>
      <c r="D204" s="75" t="s">
        <v>718</v>
      </c>
      <c r="E204" s="75" t="s">
        <v>719</v>
      </c>
      <c r="F204" s="75" t="s">
        <v>2858</v>
      </c>
      <c r="G204" s="73" t="s">
        <v>1002</v>
      </c>
      <c r="H204" s="74">
        <v>6727</v>
      </c>
      <c r="I204" s="74" t="s">
        <v>1016</v>
      </c>
      <c r="J204" s="75"/>
      <c r="K204" s="75" t="s">
        <v>3604</v>
      </c>
      <c r="L204" s="75" t="s">
        <v>3605</v>
      </c>
    </row>
    <row r="205" spans="1:12" ht="29" x14ac:dyDescent="0.35">
      <c r="A205" s="74">
        <v>927</v>
      </c>
      <c r="B205" s="74">
        <v>20211</v>
      </c>
      <c r="C205" s="73">
        <v>69</v>
      </c>
      <c r="D205" s="75" t="s">
        <v>728</v>
      </c>
      <c r="E205" s="75" t="s">
        <v>729</v>
      </c>
      <c r="F205" s="75" t="s">
        <v>2859</v>
      </c>
      <c r="G205" s="73" t="s">
        <v>1002</v>
      </c>
      <c r="H205" s="74">
        <v>1880</v>
      </c>
      <c r="I205" s="74" t="s">
        <v>1016</v>
      </c>
      <c r="J205" s="75"/>
      <c r="K205" s="75"/>
      <c r="L205" s="75" t="s">
        <v>728</v>
      </c>
    </row>
    <row r="206" spans="1:12" ht="29" x14ac:dyDescent="0.35">
      <c r="A206" s="74">
        <v>1551</v>
      </c>
      <c r="B206" s="74">
        <v>20212</v>
      </c>
      <c r="C206" s="73">
        <v>69</v>
      </c>
      <c r="D206" s="75" t="s">
        <v>728</v>
      </c>
      <c r="E206" s="75" t="s">
        <v>729</v>
      </c>
      <c r="F206" s="75" t="s">
        <v>2860</v>
      </c>
      <c r="G206" s="73" t="s">
        <v>1002</v>
      </c>
      <c r="H206" s="74">
        <v>2605</v>
      </c>
      <c r="I206" s="74" t="s">
        <v>1006</v>
      </c>
      <c r="J206" s="75"/>
      <c r="K206" s="75" t="s">
        <v>3393</v>
      </c>
      <c r="L206" s="75" t="s">
        <v>3394</v>
      </c>
    </row>
    <row r="207" spans="1:12" ht="29" x14ac:dyDescent="0.35">
      <c r="A207" s="74">
        <v>1541</v>
      </c>
      <c r="B207" s="74">
        <v>20314</v>
      </c>
      <c r="C207" s="73">
        <v>70</v>
      </c>
      <c r="D207" s="75" t="s">
        <v>2868</v>
      </c>
      <c r="E207" s="75"/>
      <c r="F207" s="75" t="s">
        <v>2862</v>
      </c>
      <c r="G207" s="73" t="s">
        <v>1002</v>
      </c>
      <c r="H207" s="74">
        <v>2580</v>
      </c>
      <c r="I207" s="74" t="s">
        <v>1006</v>
      </c>
      <c r="J207" s="75"/>
      <c r="K207" s="75" t="s">
        <v>3396</v>
      </c>
      <c r="L207" s="75" t="s">
        <v>3397</v>
      </c>
    </row>
    <row r="208" spans="1:12" ht="29" x14ac:dyDescent="0.35">
      <c r="A208" s="74">
        <v>1542</v>
      </c>
      <c r="B208" s="74">
        <v>20315</v>
      </c>
      <c r="C208" s="73">
        <v>70</v>
      </c>
      <c r="D208" s="75" t="s">
        <v>2868</v>
      </c>
      <c r="E208" s="75"/>
      <c r="F208" s="75" t="s">
        <v>2864</v>
      </c>
      <c r="G208" s="73" t="s">
        <v>1002</v>
      </c>
      <c r="H208" s="74">
        <v>2583</v>
      </c>
      <c r="I208" s="74" t="s">
        <v>1006</v>
      </c>
      <c r="J208" s="75"/>
      <c r="K208" s="75" t="s">
        <v>3399</v>
      </c>
      <c r="L208" s="75" t="s">
        <v>3397</v>
      </c>
    </row>
    <row r="209" spans="1:12" ht="29" x14ac:dyDescent="0.35">
      <c r="A209" s="74">
        <v>1543</v>
      </c>
      <c r="B209" s="74">
        <v>20316</v>
      </c>
      <c r="C209" s="73">
        <v>70</v>
      </c>
      <c r="D209" s="75" t="s">
        <v>2868</v>
      </c>
      <c r="E209" s="75"/>
      <c r="F209" s="75" t="s">
        <v>2866</v>
      </c>
      <c r="G209" s="73" t="s">
        <v>1002</v>
      </c>
      <c r="H209" s="74">
        <v>2584</v>
      </c>
      <c r="I209" s="74" t="s">
        <v>1006</v>
      </c>
      <c r="J209" s="75"/>
      <c r="K209" s="75" t="s">
        <v>3401</v>
      </c>
      <c r="L209" s="75" t="s">
        <v>3397</v>
      </c>
    </row>
    <row r="210" spans="1:12" x14ac:dyDescent="0.35">
      <c r="A210" s="74">
        <v>928</v>
      </c>
      <c r="B210" s="74">
        <v>20213</v>
      </c>
      <c r="C210" s="73" t="s">
        <v>1297</v>
      </c>
      <c r="D210" s="75" t="s">
        <v>731</v>
      </c>
      <c r="E210" s="75" t="s">
        <v>732</v>
      </c>
      <c r="F210" s="75" t="s">
        <v>2861</v>
      </c>
      <c r="G210" s="73" t="s">
        <v>1002</v>
      </c>
      <c r="H210" s="74">
        <v>1885</v>
      </c>
      <c r="I210" s="74" t="s">
        <v>1016</v>
      </c>
      <c r="J210" s="75"/>
      <c r="K210" s="75"/>
      <c r="L210" s="75" t="s">
        <v>731</v>
      </c>
    </row>
    <row r="211" spans="1:12" x14ac:dyDescent="0.35">
      <c r="A211" s="74">
        <v>929</v>
      </c>
      <c r="B211" s="74">
        <v>20215</v>
      </c>
      <c r="C211" s="73" t="s">
        <v>1299</v>
      </c>
      <c r="D211" s="75" t="s">
        <v>734</v>
      </c>
      <c r="E211" s="75" t="s">
        <v>735</v>
      </c>
      <c r="F211" s="75" t="s">
        <v>2863</v>
      </c>
      <c r="G211" s="73" t="s">
        <v>1002</v>
      </c>
      <c r="H211" s="74">
        <v>1890</v>
      </c>
      <c r="I211" s="74" t="s">
        <v>1016</v>
      </c>
      <c r="J211" s="75"/>
      <c r="K211" s="75"/>
      <c r="L211" s="75" t="s">
        <v>734</v>
      </c>
    </row>
    <row r="212" spans="1:12" x14ac:dyDescent="0.35">
      <c r="A212" s="74">
        <v>930</v>
      </c>
      <c r="B212" s="74">
        <v>20217</v>
      </c>
      <c r="C212" s="73" t="s">
        <v>1301</v>
      </c>
      <c r="D212" s="75" t="s">
        <v>737</v>
      </c>
      <c r="E212" s="75" t="s">
        <v>738</v>
      </c>
      <c r="F212" s="75" t="s">
        <v>2865</v>
      </c>
      <c r="G212" s="73" t="s">
        <v>1002</v>
      </c>
      <c r="H212" s="74">
        <v>1895</v>
      </c>
      <c r="I212" s="74" t="s">
        <v>1016</v>
      </c>
      <c r="J212" s="75"/>
      <c r="K212" s="75"/>
      <c r="L212" s="75" t="s">
        <v>737</v>
      </c>
    </row>
    <row r="213" spans="1:12" ht="29" x14ac:dyDescent="0.35">
      <c r="A213" s="74">
        <v>931</v>
      </c>
      <c r="B213" s="74">
        <v>20219</v>
      </c>
      <c r="C213" s="73">
        <v>71</v>
      </c>
      <c r="D213" s="75" t="s">
        <v>740</v>
      </c>
      <c r="E213" s="75" t="s">
        <v>741</v>
      </c>
      <c r="F213" s="75" t="s">
        <v>2869</v>
      </c>
      <c r="G213" s="73" t="s">
        <v>1002</v>
      </c>
      <c r="H213" s="74">
        <v>1900</v>
      </c>
      <c r="I213" s="74" t="s">
        <v>1006</v>
      </c>
      <c r="J213" s="75"/>
      <c r="K213" s="75" t="s">
        <v>3606</v>
      </c>
      <c r="L213" s="75" t="s">
        <v>740</v>
      </c>
    </row>
    <row r="214" spans="1:12" ht="29" x14ac:dyDescent="0.35">
      <c r="A214" s="74">
        <v>932</v>
      </c>
      <c r="B214" s="74">
        <v>20220</v>
      </c>
      <c r="C214" s="73" t="s">
        <v>1305</v>
      </c>
      <c r="D214" s="75" t="s">
        <v>2870</v>
      </c>
      <c r="E214" s="75" t="s">
        <v>744</v>
      </c>
      <c r="F214" s="75" t="s">
        <v>2871</v>
      </c>
      <c r="G214" s="73" t="s">
        <v>1002</v>
      </c>
      <c r="H214" s="74">
        <v>1905</v>
      </c>
      <c r="I214" s="74" t="s">
        <v>1016</v>
      </c>
      <c r="J214" s="75"/>
      <c r="K214" s="75"/>
      <c r="L214" s="75" t="s">
        <v>2870</v>
      </c>
    </row>
    <row r="215" spans="1:12" ht="29" x14ac:dyDescent="0.35">
      <c r="A215" s="74">
        <v>933</v>
      </c>
      <c r="B215" s="74">
        <v>20223</v>
      </c>
      <c r="C215" s="73" t="s">
        <v>1305</v>
      </c>
      <c r="D215" s="75" t="s">
        <v>2876</v>
      </c>
      <c r="E215" s="75" t="s">
        <v>746</v>
      </c>
      <c r="F215" s="75" t="s">
        <v>2878</v>
      </c>
      <c r="G215" s="73" t="s">
        <v>1002</v>
      </c>
      <c r="H215" s="74">
        <v>1910</v>
      </c>
      <c r="I215" s="74" t="s">
        <v>1016</v>
      </c>
      <c r="J215" s="75"/>
      <c r="K215" s="75"/>
      <c r="L215" s="75" t="s">
        <v>3409</v>
      </c>
    </row>
    <row r="216" spans="1:12" ht="29" x14ac:dyDescent="0.35">
      <c r="A216" s="74">
        <v>1520</v>
      </c>
      <c r="B216" s="74">
        <v>20221</v>
      </c>
      <c r="C216" s="73" t="s">
        <v>1305</v>
      </c>
      <c r="D216" s="75" t="s">
        <v>2872</v>
      </c>
      <c r="E216" s="75" t="s">
        <v>744</v>
      </c>
      <c r="F216" s="75" t="s">
        <v>2873</v>
      </c>
      <c r="G216" s="73" t="s">
        <v>1002</v>
      </c>
      <c r="H216" s="74">
        <v>2455</v>
      </c>
      <c r="I216" s="74" t="s">
        <v>1006</v>
      </c>
      <c r="J216" s="75"/>
      <c r="K216" s="75" t="s">
        <v>3411</v>
      </c>
      <c r="L216" s="75" t="s">
        <v>3412</v>
      </c>
    </row>
    <row r="217" spans="1:12" ht="29" x14ac:dyDescent="0.35">
      <c r="A217" s="74">
        <v>1521</v>
      </c>
      <c r="B217" s="74">
        <v>20225</v>
      </c>
      <c r="C217" s="73" t="s">
        <v>1308</v>
      </c>
      <c r="D217" s="75" t="s">
        <v>2872</v>
      </c>
      <c r="E217" s="75" t="s">
        <v>749</v>
      </c>
      <c r="F217" s="75" t="s">
        <v>2880</v>
      </c>
      <c r="G217" s="73" t="s">
        <v>1002</v>
      </c>
      <c r="H217" s="74">
        <v>2455</v>
      </c>
      <c r="I217" s="74" t="s">
        <v>1006</v>
      </c>
      <c r="J217" s="75"/>
      <c r="K217" s="75" t="s">
        <v>3413</v>
      </c>
      <c r="L217" s="75" t="s">
        <v>3412</v>
      </c>
    </row>
    <row r="218" spans="1:12" ht="29" x14ac:dyDescent="0.35">
      <c r="A218" s="74">
        <v>934</v>
      </c>
      <c r="B218" s="74">
        <v>20224</v>
      </c>
      <c r="C218" s="73" t="s">
        <v>1308</v>
      </c>
      <c r="D218" s="75" t="s">
        <v>2870</v>
      </c>
      <c r="E218" s="75" t="s">
        <v>749</v>
      </c>
      <c r="F218" s="75" t="s">
        <v>2879</v>
      </c>
      <c r="G218" s="73" t="s">
        <v>1002</v>
      </c>
      <c r="H218" s="74">
        <v>1915</v>
      </c>
      <c r="I218" s="74" t="s">
        <v>1016</v>
      </c>
      <c r="J218" s="75"/>
      <c r="K218" s="75"/>
      <c r="L218" s="75" t="s">
        <v>2870</v>
      </c>
    </row>
    <row r="219" spans="1:12" ht="29" x14ac:dyDescent="0.35">
      <c r="A219" s="74">
        <v>935</v>
      </c>
      <c r="B219" s="74">
        <v>20227</v>
      </c>
      <c r="C219" s="73" t="s">
        <v>1308</v>
      </c>
      <c r="D219" s="75" t="s">
        <v>2876</v>
      </c>
      <c r="E219" s="75" t="s">
        <v>751</v>
      </c>
      <c r="F219" s="75" t="s">
        <v>2882</v>
      </c>
      <c r="G219" s="73" t="s">
        <v>1002</v>
      </c>
      <c r="H219" s="74">
        <v>1920</v>
      </c>
      <c r="I219" s="74" t="s">
        <v>1016</v>
      </c>
      <c r="J219" s="75"/>
      <c r="K219" s="75"/>
      <c r="L219" s="75" t="s">
        <v>3416</v>
      </c>
    </row>
    <row r="220" spans="1:12" ht="29" x14ac:dyDescent="0.35">
      <c r="A220" s="74">
        <v>936</v>
      </c>
      <c r="B220" s="74">
        <v>20228</v>
      </c>
      <c r="C220" s="73" t="s">
        <v>1311</v>
      </c>
      <c r="D220" s="75" t="s">
        <v>2870</v>
      </c>
      <c r="E220" s="75" t="s">
        <v>754</v>
      </c>
      <c r="F220" s="75" t="s">
        <v>2883</v>
      </c>
      <c r="G220" s="73" t="s">
        <v>1002</v>
      </c>
      <c r="H220" s="74">
        <v>1925</v>
      </c>
      <c r="I220" s="74" t="s">
        <v>1016</v>
      </c>
      <c r="J220" s="75"/>
      <c r="K220" s="75"/>
      <c r="L220" s="75" t="s">
        <v>2870</v>
      </c>
    </row>
    <row r="221" spans="1:12" ht="29" x14ac:dyDescent="0.35">
      <c r="A221" s="74">
        <v>937</v>
      </c>
      <c r="B221" s="74">
        <v>20231</v>
      </c>
      <c r="C221" s="73" t="s">
        <v>1311</v>
      </c>
      <c r="D221" s="75" t="s">
        <v>2876</v>
      </c>
      <c r="E221" s="75" t="s">
        <v>756</v>
      </c>
      <c r="F221" s="75" t="s">
        <v>2886</v>
      </c>
      <c r="G221" s="73" t="s">
        <v>1002</v>
      </c>
      <c r="H221" s="74">
        <v>1930</v>
      </c>
      <c r="I221" s="74" t="s">
        <v>1016</v>
      </c>
      <c r="J221" s="75"/>
      <c r="K221" s="75"/>
      <c r="L221" s="75" t="s">
        <v>3419</v>
      </c>
    </row>
    <row r="222" spans="1:12" ht="29" x14ac:dyDescent="0.35">
      <c r="A222" s="74">
        <v>1522</v>
      </c>
      <c r="B222" s="74">
        <v>20229</v>
      </c>
      <c r="C222" s="73" t="s">
        <v>1311</v>
      </c>
      <c r="D222" s="75" t="s">
        <v>2872</v>
      </c>
      <c r="E222" s="75" t="s">
        <v>754</v>
      </c>
      <c r="F222" s="75" t="s">
        <v>2884</v>
      </c>
      <c r="G222" s="73" t="s">
        <v>1002</v>
      </c>
      <c r="H222" s="74">
        <v>2455</v>
      </c>
      <c r="I222" s="74" t="s">
        <v>1006</v>
      </c>
      <c r="J222" s="75"/>
      <c r="K222" s="75" t="s">
        <v>3420</v>
      </c>
      <c r="L222" s="75" t="s">
        <v>3412</v>
      </c>
    </row>
    <row r="223" spans="1:12" ht="43.5" x14ac:dyDescent="0.35">
      <c r="A223" s="74">
        <v>1514</v>
      </c>
      <c r="B223" s="74">
        <v>20233</v>
      </c>
      <c r="C223" s="73">
        <v>74</v>
      </c>
      <c r="D223" s="75" t="s">
        <v>2888</v>
      </c>
      <c r="E223" s="75" t="s">
        <v>762</v>
      </c>
      <c r="F223" s="75" t="s">
        <v>2889</v>
      </c>
      <c r="G223" s="73" t="s">
        <v>1002</v>
      </c>
      <c r="H223" s="74">
        <v>7471</v>
      </c>
      <c r="I223" s="74" t="s">
        <v>1006</v>
      </c>
      <c r="J223" s="75"/>
      <c r="K223" s="75" t="s">
        <v>3607</v>
      </c>
      <c r="L223" s="75" t="s">
        <v>3608</v>
      </c>
    </row>
    <row r="224" spans="1:12" ht="159.5" x14ac:dyDescent="0.35">
      <c r="A224" s="74">
        <v>938</v>
      </c>
      <c r="B224" s="74">
        <v>20232</v>
      </c>
      <c r="C224" s="73">
        <v>74</v>
      </c>
      <c r="D224" s="75" t="s">
        <v>761</v>
      </c>
      <c r="E224" s="75" t="s">
        <v>762</v>
      </c>
      <c r="F224" s="75" t="s">
        <v>2887</v>
      </c>
      <c r="G224" s="73" t="s">
        <v>1002</v>
      </c>
      <c r="H224" s="74">
        <v>7400</v>
      </c>
      <c r="I224" s="74" t="s">
        <v>3286</v>
      </c>
      <c r="J224" s="75"/>
      <c r="K224" s="75" t="s">
        <v>3609</v>
      </c>
      <c r="L224" s="75" t="s">
        <v>3610</v>
      </c>
    </row>
    <row r="225" spans="1:12" ht="43.5" x14ac:dyDescent="0.35">
      <c r="A225" s="315">
        <v>939</v>
      </c>
      <c r="B225" s="315">
        <v>20234</v>
      </c>
      <c r="C225" s="313">
        <v>74</v>
      </c>
      <c r="D225" s="314" t="s">
        <v>763</v>
      </c>
      <c r="E225" s="314" t="s">
        <v>764</v>
      </c>
      <c r="F225" s="314" t="s">
        <v>2890</v>
      </c>
      <c r="G225" s="313" t="s">
        <v>1002</v>
      </c>
      <c r="H225" s="315">
        <v>7410</v>
      </c>
      <c r="I225" s="315" t="s">
        <v>1006</v>
      </c>
      <c r="J225" s="314" t="s">
        <v>3046</v>
      </c>
      <c r="K225" s="314" t="s">
        <v>3611</v>
      </c>
      <c r="L225" s="314" t="s">
        <v>3612</v>
      </c>
    </row>
    <row r="226" spans="1:12" x14ac:dyDescent="0.35">
      <c r="A226" s="368">
        <v>941</v>
      </c>
      <c r="B226" s="368">
        <v>20235</v>
      </c>
      <c r="C226" s="122" t="s">
        <v>1317</v>
      </c>
      <c r="D226" s="123" t="s">
        <v>766</v>
      </c>
      <c r="E226" s="123" t="s">
        <v>767</v>
      </c>
      <c r="F226" s="123" t="s">
        <v>2891</v>
      </c>
      <c r="G226" s="122" t="s">
        <v>1002</v>
      </c>
      <c r="H226" s="368">
        <v>1950</v>
      </c>
      <c r="I226" s="368" t="s">
        <v>1016</v>
      </c>
      <c r="J226" s="123"/>
      <c r="K226" s="123"/>
      <c r="L226" s="123" t="s">
        <v>766</v>
      </c>
    </row>
    <row r="227" spans="1:12" ht="43.5" x14ac:dyDescent="0.35">
      <c r="A227" s="315">
        <v>943</v>
      </c>
      <c r="B227" s="315">
        <v>20237</v>
      </c>
      <c r="C227" s="313" t="s">
        <v>1317</v>
      </c>
      <c r="D227" s="314" t="s">
        <v>768</v>
      </c>
      <c r="E227" s="314" t="s">
        <v>769</v>
      </c>
      <c r="F227" s="314" t="s">
        <v>2893</v>
      </c>
      <c r="G227" s="313" t="s">
        <v>1002</v>
      </c>
      <c r="H227" s="315">
        <v>7411</v>
      </c>
      <c r="I227" s="315" t="s">
        <v>1006</v>
      </c>
      <c r="J227" s="314" t="s">
        <v>3046</v>
      </c>
      <c r="K227" s="314" t="s">
        <v>3613</v>
      </c>
      <c r="L227" s="314" t="s">
        <v>3614</v>
      </c>
    </row>
    <row r="228" spans="1:12" ht="43.5" x14ac:dyDescent="0.35">
      <c r="A228" s="74">
        <v>1515</v>
      </c>
      <c r="B228" s="74">
        <v>20236</v>
      </c>
      <c r="C228" s="73" t="s">
        <v>1317</v>
      </c>
      <c r="D228" s="75" t="s">
        <v>766</v>
      </c>
      <c r="E228" s="75" t="s">
        <v>767</v>
      </c>
      <c r="F228" s="75" t="s">
        <v>2892</v>
      </c>
      <c r="G228" s="73" t="s">
        <v>1002</v>
      </c>
      <c r="H228" s="74">
        <v>7472</v>
      </c>
      <c r="I228" s="74" t="s">
        <v>1006</v>
      </c>
      <c r="J228" s="75"/>
      <c r="K228" s="75" t="s">
        <v>3615</v>
      </c>
      <c r="L228" s="75" t="s">
        <v>3616</v>
      </c>
    </row>
    <row r="229" spans="1:12" ht="43.5" x14ac:dyDescent="0.35">
      <c r="A229" s="74">
        <v>1516</v>
      </c>
      <c r="B229" s="74">
        <v>20239</v>
      </c>
      <c r="C229" s="73" t="s">
        <v>1320</v>
      </c>
      <c r="D229" s="75" t="s">
        <v>771</v>
      </c>
      <c r="E229" s="75" t="s">
        <v>772</v>
      </c>
      <c r="F229" s="75" t="s">
        <v>2895</v>
      </c>
      <c r="G229" s="73" t="s">
        <v>1002</v>
      </c>
      <c r="H229" s="74">
        <v>7473</v>
      </c>
      <c r="I229" s="74" t="s">
        <v>1006</v>
      </c>
      <c r="J229" s="75"/>
      <c r="K229" s="75" t="s">
        <v>3617</v>
      </c>
      <c r="L229" s="75" t="s">
        <v>3618</v>
      </c>
    </row>
    <row r="230" spans="1:12" x14ac:dyDescent="0.35">
      <c r="A230" s="368">
        <v>945</v>
      </c>
      <c r="B230" s="368">
        <v>20238</v>
      </c>
      <c r="C230" s="122" t="s">
        <v>1320</v>
      </c>
      <c r="D230" s="123" t="s">
        <v>771</v>
      </c>
      <c r="E230" s="123" t="s">
        <v>772</v>
      </c>
      <c r="F230" s="123" t="s">
        <v>2894</v>
      </c>
      <c r="G230" s="122" t="s">
        <v>1002</v>
      </c>
      <c r="H230" s="368">
        <v>1965</v>
      </c>
      <c r="I230" s="368" t="s">
        <v>1016</v>
      </c>
      <c r="J230" s="123"/>
      <c r="K230" s="123"/>
      <c r="L230" s="123" t="s">
        <v>771</v>
      </c>
    </row>
    <row r="231" spans="1:12" ht="43.5" x14ac:dyDescent="0.35">
      <c r="A231" s="315">
        <v>946</v>
      </c>
      <c r="B231" s="315">
        <v>20240</v>
      </c>
      <c r="C231" s="313" t="s">
        <v>1320</v>
      </c>
      <c r="D231" s="314" t="s">
        <v>773</v>
      </c>
      <c r="E231" s="314" t="s">
        <v>774</v>
      </c>
      <c r="F231" s="314" t="s">
        <v>2896</v>
      </c>
      <c r="G231" s="313" t="s">
        <v>1002</v>
      </c>
      <c r="H231" s="315">
        <v>7412</v>
      </c>
      <c r="I231" s="315" t="s">
        <v>1006</v>
      </c>
      <c r="J231" s="314" t="s">
        <v>3046</v>
      </c>
      <c r="K231" s="314" t="s">
        <v>3619</v>
      </c>
      <c r="L231" s="314" t="s">
        <v>3620</v>
      </c>
    </row>
    <row r="232" spans="1:12" x14ac:dyDescent="0.35">
      <c r="A232" s="368">
        <v>948</v>
      </c>
      <c r="B232" s="368">
        <v>20241</v>
      </c>
      <c r="C232" s="122" t="s">
        <v>1323</v>
      </c>
      <c r="D232" s="123" t="s">
        <v>776</v>
      </c>
      <c r="E232" s="123" t="s">
        <v>777</v>
      </c>
      <c r="F232" s="123" t="s">
        <v>2897</v>
      </c>
      <c r="G232" s="122" t="s">
        <v>1002</v>
      </c>
      <c r="H232" s="368">
        <v>1980</v>
      </c>
      <c r="I232" s="368" t="s">
        <v>1016</v>
      </c>
      <c r="J232" s="123"/>
      <c r="K232" s="123"/>
      <c r="L232" s="123" t="s">
        <v>776</v>
      </c>
    </row>
    <row r="233" spans="1:12" ht="43.5" x14ac:dyDescent="0.35">
      <c r="A233" s="315">
        <v>949</v>
      </c>
      <c r="B233" s="315">
        <v>20243</v>
      </c>
      <c r="C233" s="313" t="s">
        <v>1323</v>
      </c>
      <c r="D233" s="314" t="s">
        <v>778</v>
      </c>
      <c r="E233" s="314" t="s">
        <v>779</v>
      </c>
      <c r="F233" s="314" t="s">
        <v>2899</v>
      </c>
      <c r="G233" s="313" t="s">
        <v>1002</v>
      </c>
      <c r="H233" s="315">
        <v>7413</v>
      </c>
      <c r="I233" s="315" t="s">
        <v>1006</v>
      </c>
      <c r="J233" s="314" t="s">
        <v>3046</v>
      </c>
      <c r="K233" s="314" t="s">
        <v>3621</v>
      </c>
      <c r="L233" s="314" t="s">
        <v>3622</v>
      </c>
    </row>
    <row r="234" spans="1:12" ht="43.5" x14ac:dyDescent="0.35">
      <c r="A234" s="74">
        <v>1517</v>
      </c>
      <c r="B234" s="74">
        <v>20242</v>
      </c>
      <c r="C234" s="73" t="s">
        <v>1323</v>
      </c>
      <c r="D234" s="75" t="s">
        <v>776</v>
      </c>
      <c r="E234" s="75" t="s">
        <v>777</v>
      </c>
      <c r="F234" s="75" t="s">
        <v>2898</v>
      </c>
      <c r="G234" s="73" t="s">
        <v>1002</v>
      </c>
      <c r="H234" s="74">
        <v>7474</v>
      </c>
      <c r="I234" s="74" t="s">
        <v>1006</v>
      </c>
      <c r="J234" s="75"/>
      <c r="K234" s="75" t="s">
        <v>3623</v>
      </c>
      <c r="L234" s="75" t="s">
        <v>3624</v>
      </c>
    </row>
    <row r="235" spans="1:12" ht="43.5" x14ac:dyDescent="0.35">
      <c r="A235" s="74">
        <v>1518</v>
      </c>
      <c r="B235" s="74">
        <v>20245</v>
      </c>
      <c r="C235" s="73" t="s">
        <v>1326</v>
      </c>
      <c r="D235" s="75" t="s">
        <v>781</v>
      </c>
      <c r="E235" s="75" t="s">
        <v>782</v>
      </c>
      <c r="F235" s="75" t="s">
        <v>2901</v>
      </c>
      <c r="G235" s="73" t="s">
        <v>1002</v>
      </c>
      <c r="H235" s="74">
        <v>7475</v>
      </c>
      <c r="I235" s="74" t="s">
        <v>1006</v>
      </c>
      <c r="J235" s="75"/>
      <c r="K235" s="75" t="s">
        <v>3625</v>
      </c>
      <c r="L235" s="75" t="s">
        <v>3626</v>
      </c>
    </row>
    <row r="236" spans="1:12" x14ac:dyDescent="0.35">
      <c r="A236" s="368">
        <v>951</v>
      </c>
      <c r="B236" s="368">
        <v>20244</v>
      </c>
      <c r="C236" s="122" t="s">
        <v>1326</v>
      </c>
      <c r="D236" s="123" t="s">
        <v>781</v>
      </c>
      <c r="E236" s="123" t="s">
        <v>782</v>
      </c>
      <c r="F236" s="123" t="s">
        <v>2900</v>
      </c>
      <c r="G236" s="122" t="s">
        <v>1002</v>
      </c>
      <c r="H236" s="368">
        <v>1995</v>
      </c>
      <c r="I236" s="368" t="s">
        <v>1016</v>
      </c>
      <c r="J236" s="123"/>
      <c r="K236" s="123"/>
      <c r="L236" s="123" t="s">
        <v>781</v>
      </c>
    </row>
    <row r="237" spans="1:12" ht="43.5" x14ac:dyDescent="0.35">
      <c r="A237" s="315">
        <v>952</v>
      </c>
      <c r="B237" s="315">
        <v>20246</v>
      </c>
      <c r="C237" s="313" t="s">
        <v>1326</v>
      </c>
      <c r="D237" s="314" t="s">
        <v>783</v>
      </c>
      <c r="E237" s="314" t="s">
        <v>784</v>
      </c>
      <c r="F237" s="314" t="s">
        <v>2902</v>
      </c>
      <c r="G237" s="313" t="s">
        <v>1002</v>
      </c>
      <c r="H237" s="315">
        <v>7414</v>
      </c>
      <c r="I237" s="315" t="s">
        <v>1006</v>
      </c>
      <c r="J237" s="314" t="s">
        <v>3046</v>
      </c>
      <c r="K237" s="314" t="s">
        <v>3627</v>
      </c>
      <c r="L237" s="314" t="s">
        <v>3628</v>
      </c>
    </row>
    <row r="238" spans="1:12" x14ac:dyDescent="0.35">
      <c r="A238" s="368">
        <v>954</v>
      </c>
      <c r="B238" s="368">
        <v>20247</v>
      </c>
      <c r="C238" s="122" t="s">
        <v>1329</v>
      </c>
      <c r="D238" s="123" t="s">
        <v>786</v>
      </c>
      <c r="E238" s="123" t="s">
        <v>787</v>
      </c>
      <c r="F238" s="123" t="s">
        <v>2903</v>
      </c>
      <c r="G238" s="122" t="s">
        <v>1002</v>
      </c>
      <c r="H238" s="368">
        <v>2010</v>
      </c>
      <c r="I238" s="368" t="s">
        <v>1016</v>
      </c>
      <c r="J238" s="123"/>
      <c r="K238" s="123"/>
      <c r="L238" s="123" t="s">
        <v>786</v>
      </c>
    </row>
    <row r="239" spans="1:12" ht="43.5" x14ac:dyDescent="0.35">
      <c r="A239" s="315">
        <v>955</v>
      </c>
      <c r="B239" s="315">
        <v>20249</v>
      </c>
      <c r="C239" s="313" t="s">
        <v>1329</v>
      </c>
      <c r="D239" s="314" t="s">
        <v>788</v>
      </c>
      <c r="E239" s="314" t="s">
        <v>789</v>
      </c>
      <c r="F239" s="314" t="s">
        <v>2905</v>
      </c>
      <c r="G239" s="313" t="s">
        <v>1002</v>
      </c>
      <c r="H239" s="315">
        <v>7415</v>
      </c>
      <c r="I239" s="315" t="s">
        <v>1006</v>
      </c>
      <c r="J239" s="314" t="s">
        <v>3046</v>
      </c>
      <c r="K239" s="314" t="s">
        <v>3629</v>
      </c>
      <c r="L239" s="314" t="s">
        <v>3630</v>
      </c>
    </row>
    <row r="240" spans="1:12" ht="43.5" x14ac:dyDescent="0.35">
      <c r="A240" s="74">
        <v>1519</v>
      </c>
      <c r="B240" s="74">
        <v>20248</v>
      </c>
      <c r="C240" s="73" t="s">
        <v>1329</v>
      </c>
      <c r="D240" s="75" t="s">
        <v>786</v>
      </c>
      <c r="E240" s="75" t="s">
        <v>787</v>
      </c>
      <c r="F240" s="75" t="s">
        <v>2904</v>
      </c>
      <c r="G240" s="73" t="s">
        <v>1002</v>
      </c>
      <c r="H240" s="74">
        <v>7476</v>
      </c>
      <c r="I240" s="74" t="s">
        <v>1006</v>
      </c>
      <c r="J240" s="75"/>
      <c r="K240" s="75" t="s">
        <v>3631</v>
      </c>
      <c r="L240" s="75" t="s">
        <v>3632</v>
      </c>
    </row>
    <row r="241" spans="1:12" ht="29" x14ac:dyDescent="0.35">
      <c r="A241" s="74">
        <v>957</v>
      </c>
      <c r="B241" s="74">
        <v>20250</v>
      </c>
      <c r="C241" s="73">
        <v>76</v>
      </c>
      <c r="D241" s="75" t="s">
        <v>800</v>
      </c>
      <c r="E241" s="75" t="s">
        <v>801</v>
      </c>
      <c r="F241" s="75" t="s">
        <v>2906</v>
      </c>
      <c r="G241" s="73" t="s">
        <v>1002</v>
      </c>
      <c r="H241" s="74">
        <v>2025</v>
      </c>
      <c r="I241" s="74" t="s">
        <v>1006</v>
      </c>
      <c r="J241" s="75"/>
      <c r="K241" s="75" t="s">
        <v>3633</v>
      </c>
      <c r="L241" s="75" t="s">
        <v>800</v>
      </c>
    </row>
    <row r="242" spans="1:12" ht="29" x14ac:dyDescent="0.35">
      <c r="A242" s="74">
        <v>958</v>
      </c>
      <c r="B242" s="74">
        <v>20251</v>
      </c>
      <c r="C242" s="73">
        <v>76</v>
      </c>
      <c r="D242" s="75" t="s">
        <v>802</v>
      </c>
      <c r="E242" s="75" t="s">
        <v>803</v>
      </c>
      <c r="F242" s="75" t="s">
        <v>2909</v>
      </c>
      <c r="G242" s="73" t="s">
        <v>1002</v>
      </c>
      <c r="H242" s="74">
        <v>2030</v>
      </c>
      <c r="I242" s="74" t="s">
        <v>1006</v>
      </c>
      <c r="J242" s="75"/>
      <c r="K242" s="75" t="s">
        <v>3634</v>
      </c>
      <c r="L242" s="75" t="s">
        <v>802</v>
      </c>
    </row>
    <row r="243" spans="1:12" ht="29" x14ac:dyDescent="0.35">
      <c r="A243" s="74">
        <v>959</v>
      </c>
      <c r="B243" s="74">
        <v>20253</v>
      </c>
      <c r="C243" s="73">
        <v>76</v>
      </c>
      <c r="D243" s="75" t="s">
        <v>806</v>
      </c>
      <c r="E243" s="75" t="s">
        <v>807</v>
      </c>
      <c r="F243" s="75" t="s">
        <v>2910</v>
      </c>
      <c r="G243" s="73" t="s">
        <v>1002</v>
      </c>
      <c r="H243" s="74">
        <v>2035</v>
      </c>
      <c r="I243" s="74" t="s">
        <v>1016</v>
      </c>
      <c r="J243" s="75"/>
      <c r="K243" s="75"/>
      <c r="L243" s="75" t="s">
        <v>806</v>
      </c>
    </row>
    <row r="244" spans="1:12" ht="29" x14ac:dyDescent="0.35">
      <c r="A244" s="74">
        <v>960</v>
      </c>
      <c r="B244" s="74">
        <v>20254</v>
      </c>
      <c r="C244" s="73">
        <v>76</v>
      </c>
      <c r="D244" s="75" t="s">
        <v>808</v>
      </c>
      <c r="E244" s="75" t="s">
        <v>809</v>
      </c>
      <c r="F244" s="75" t="s">
        <v>2911</v>
      </c>
      <c r="G244" s="73" t="s">
        <v>1002</v>
      </c>
      <c r="H244" s="74">
        <v>2040</v>
      </c>
      <c r="I244" s="74" t="s">
        <v>1016</v>
      </c>
      <c r="J244" s="75"/>
      <c r="K244" s="75"/>
      <c r="L244" s="75" t="s">
        <v>808</v>
      </c>
    </row>
    <row r="245" spans="1:12" ht="29" x14ac:dyDescent="0.35">
      <c r="A245" s="74">
        <v>995</v>
      </c>
      <c r="B245" s="74">
        <v>20255</v>
      </c>
      <c r="C245" s="73">
        <v>77</v>
      </c>
      <c r="D245" s="75" t="s">
        <v>811</v>
      </c>
      <c r="E245" s="75" t="s">
        <v>812</v>
      </c>
      <c r="F245" s="75" t="s">
        <v>2912</v>
      </c>
      <c r="G245" s="73" t="s">
        <v>1002</v>
      </c>
      <c r="H245" s="74">
        <v>2045</v>
      </c>
      <c r="I245" s="74" t="s">
        <v>1006</v>
      </c>
      <c r="J245" s="75"/>
      <c r="K245" s="75" t="s">
        <v>3635</v>
      </c>
      <c r="L245" s="75" t="s">
        <v>811</v>
      </c>
    </row>
    <row r="246" spans="1:12" ht="29" x14ac:dyDescent="0.35">
      <c r="A246" s="74">
        <v>996</v>
      </c>
      <c r="B246" s="74">
        <v>20256</v>
      </c>
      <c r="C246" s="73">
        <v>77</v>
      </c>
      <c r="D246" s="75" t="s">
        <v>2913</v>
      </c>
      <c r="E246" s="75" t="s">
        <v>814</v>
      </c>
      <c r="F246" s="75" t="s">
        <v>2914</v>
      </c>
      <c r="G246" s="73" t="s">
        <v>1002</v>
      </c>
      <c r="H246" s="74">
        <v>2050</v>
      </c>
      <c r="I246" s="74" t="s">
        <v>1006</v>
      </c>
      <c r="J246" s="75"/>
      <c r="K246" s="75" t="s">
        <v>3636</v>
      </c>
      <c r="L246" s="75" t="s">
        <v>813</v>
      </c>
    </row>
    <row r="247" spans="1:12" ht="29" x14ac:dyDescent="0.35">
      <c r="A247" s="74">
        <v>998</v>
      </c>
      <c r="B247" s="74">
        <v>20258</v>
      </c>
      <c r="C247" s="73">
        <v>77</v>
      </c>
      <c r="D247" s="75" t="s">
        <v>817</v>
      </c>
      <c r="E247" s="75" t="s">
        <v>818</v>
      </c>
      <c r="F247" s="75" t="s">
        <v>2915</v>
      </c>
      <c r="G247" s="73" t="s">
        <v>1002</v>
      </c>
      <c r="H247" s="74">
        <v>2060</v>
      </c>
      <c r="I247" s="74" t="s">
        <v>1016</v>
      </c>
      <c r="J247" s="75"/>
      <c r="K247" s="75"/>
      <c r="L247" s="75" t="s">
        <v>817</v>
      </c>
    </row>
    <row r="248" spans="1:12" ht="29" x14ac:dyDescent="0.35">
      <c r="A248" s="74">
        <v>999</v>
      </c>
      <c r="B248" s="74">
        <v>20259</v>
      </c>
      <c r="C248" s="73">
        <v>77</v>
      </c>
      <c r="D248" s="75" t="s">
        <v>819</v>
      </c>
      <c r="E248" s="75" t="s">
        <v>820</v>
      </c>
      <c r="F248" s="75" t="s">
        <v>2916</v>
      </c>
      <c r="G248" s="73" t="s">
        <v>1002</v>
      </c>
      <c r="H248" s="74">
        <v>2065</v>
      </c>
      <c r="I248" s="74" t="s">
        <v>1016</v>
      </c>
      <c r="J248" s="75"/>
      <c r="K248" s="75"/>
      <c r="L248" s="75" t="s">
        <v>819</v>
      </c>
    </row>
    <row r="249" spans="1:12" ht="29" x14ac:dyDescent="0.35">
      <c r="A249" s="74">
        <v>1000</v>
      </c>
      <c r="B249" s="74">
        <v>20260</v>
      </c>
      <c r="C249" s="73">
        <v>78</v>
      </c>
      <c r="D249" s="75" t="s">
        <v>824</v>
      </c>
      <c r="E249" s="75" t="s">
        <v>825</v>
      </c>
      <c r="F249" s="75" t="s">
        <v>2917</v>
      </c>
      <c r="G249" s="73" t="s">
        <v>1002</v>
      </c>
      <c r="H249" s="74">
        <v>2070</v>
      </c>
      <c r="I249" s="74" t="s">
        <v>1006</v>
      </c>
      <c r="J249" s="75"/>
      <c r="K249" s="75" t="s">
        <v>3637</v>
      </c>
      <c r="L249" s="75" t="s">
        <v>3469</v>
      </c>
    </row>
    <row r="250" spans="1:12" ht="29" x14ac:dyDescent="0.35">
      <c r="A250" s="74">
        <v>1001</v>
      </c>
      <c r="B250" s="74">
        <v>20261</v>
      </c>
      <c r="C250" s="73">
        <v>78</v>
      </c>
      <c r="D250" s="75" t="s">
        <v>826</v>
      </c>
      <c r="E250" s="75" t="s">
        <v>827</v>
      </c>
      <c r="F250" s="75" t="s">
        <v>2918</v>
      </c>
      <c r="G250" s="73" t="s">
        <v>1002</v>
      </c>
      <c r="H250" s="74">
        <v>2075</v>
      </c>
      <c r="I250" s="74" t="s">
        <v>1006</v>
      </c>
      <c r="J250" s="75"/>
      <c r="K250" s="75" t="s">
        <v>3638</v>
      </c>
      <c r="L250" s="75" t="s">
        <v>3472</v>
      </c>
    </row>
    <row r="251" spans="1:12" ht="29" x14ac:dyDescent="0.35">
      <c r="A251" s="74">
        <v>1003</v>
      </c>
      <c r="B251" s="74">
        <v>20263</v>
      </c>
      <c r="C251" s="73">
        <v>78</v>
      </c>
      <c r="D251" s="75" t="s">
        <v>830</v>
      </c>
      <c r="E251" s="75" t="s">
        <v>831</v>
      </c>
      <c r="F251" s="75" t="s">
        <v>2919</v>
      </c>
      <c r="G251" s="73" t="s">
        <v>1002</v>
      </c>
      <c r="H251" s="74">
        <v>2085</v>
      </c>
      <c r="I251" s="74" t="s">
        <v>1016</v>
      </c>
      <c r="J251" s="75"/>
      <c r="K251" s="75"/>
      <c r="L251" s="75" t="s">
        <v>830</v>
      </c>
    </row>
    <row r="252" spans="1:12" ht="29" x14ac:dyDescent="0.35">
      <c r="A252" s="74">
        <v>1004</v>
      </c>
      <c r="B252" s="74">
        <v>20264</v>
      </c>
      <c r="C252" s="73">
        <v>78</v>
      </c>
      <c r="D252" s="75" t="s">
        <v>832</v>
      </c>
      <c r="E252" s="75" t="s">
        <v>833</v>
      </c>
      <c r="F252" s="75" t="s">
        <v>2920</v>
      </c>
      <c r="G252" s="73" t="s">
        <v>1002</v>
      </c>
      <c r="H252" s="74">
        <v>2090</v>
      </c>
      <c r="I252" s="74" t="s">
        <v>1016</v>
      </c>
      <c r="J252" s="75"/>
      <c r="K252" s="75"/>
      <c r="L252" s="75" t="s">
        <v>832</v>
      </c>
    </row>
    <row r="253" spans="1:12" ht="29" x14ac:dyDescent="0.35">
      <c r="A253" s="74">
        <v>1005</v>
      </c>
      <c r="B253" s="74">
        <v>20265</v>
      </c>
      <c r="C253" s="73">
        <v>79</v>
      </c>
      <c r="D253" s="75" t="s">
        <v>837</v>
      </c>
      <c r="E253" s="75" t="s">
        <v>838</v>
      </c>
      <c r="F253" s="75" t="s">
        <v>2921</v>
      </c>
      <c r="G253" s="73" t="s">
        <v>1002</v>
      </c>
      <c r="H253" s="74">
        <v>2095</v>
      </c>
      <c r="I253" s="74" t="s">
        <v>1006</v>
      </c>
      <c r="J253" s="75"/>
      <c r="K253" s="75" t="s">
        <v>3639</v>
      </c>
      <c r="L253" s="75" t="s">
        <v>837</v>
      </c>
    </row>
    <row r="254" spans="1:12" ht="29" x14ac:dyDescent="0.35">
      <c r="A254" s="74">
        <v>1006</v>
      </c>
      <c r="B254" s="74">
        <v>20266</v>
      </c>
      <c r="C254" s="73">
        <v>79</v>
      </c>
      <c r="D254" s="75" t="s">
        <v>839</v>
      </c>
      <c r="E254" s="75" t="s">
        <v>840</v>
      </c>
      <c r="F254" s="75" t="s">
        <v>2922</v>
      </c>
      <c r="G254" s="73" t="s">
        <v>1002</v>
      </c>
      <c r="H254" s="74">
        <v>2100</v>
      </c>
      <c r="I254" s="74" t="s">
        <v>1006</v>
      </c>
      <c r="J254" s="75"/>
      <c r="K254" s="75" t="s">
        <v>3640</v>
      </c>
      <c r="L254" s="75" t="s">
        <v>839</v>
      </c>
    </row>
    <row r="255" spans="1:12" ht="29" x14ac:dyDescent="0.35">
      <c r="A255" s="74">
        <v>1008</v>
      </c>
      <c r="B255" s="74">
        <v>20268</v>
      </c>
      <c r="C255" s="73">
        <v>79</v>
      </c>
      <c r="D255" s="75" t="s">
        <v>844</v>
      </c>
      <c r="E255" s="75" t="s">
        <v>845</v>
      </c>
      <c r="F255" s="75" t="s">
        <v>2923</v>
      </c>
      <c r="G255" s="73" t="s">
        <v>1002</v>
      </c>
      <c r="H255" s="74">
        <v>2110</v>
      </c>
      <c r="I255" s="74" t="s">
        <v>1016</v>
      </c>
      <c r="J255" s="75"/>
      <c r="K255" s="75"/>
      <c r="L255" s="75" t="s">
        <v>844</v>
      </c>
    </row>
    <row r="256" spans="1:12" ht="29" x14ac:dyDescent="0.35">
      <c r="A256" s="74">
        <v>1009</v>
      </c>
      <c r="B256" s="74">
        <v>20269</v>
      </c>
      <c r="C256" s="73">
        <v>79</v>
      </c>
      <c r="D256" s="75" t="s">
        <v>846</v>
      </c>
      <c r="E256" s="75" t="s">
        <v>847</v>
      </c>
      <c r="F256" s="75" t="s">
        <v>2924</v>
      </c>
      <c r="G256" s="73" t="s">
        <v>1002</v>
      </c>
      <c r="H256" s="74">
        <v>2115</v>
      </c>
      <c r="I256" s="74" t="s">
        <v>1016</v>
      </c>
      <c r="J256" s="75"/>
      <c r="K256" s="75"/>
      <c r="L256" s="75" t="s">
        <v>846</v>
      </c>
    </row>
    <row r="257" spans="1:12" ht="29" x14ac:dyDescent="0.35">
      <c r="A257" s="74">
        <v>1066</v>
      </c>
      <c r="B257" s="74">
        <v>20270</v>
      </c>
      <c r="C257" s="73">
        <v>80</v>
      </c>
      <c r="D257" s="75" t="s">
        <v>2319</v>
      </c>
      <c r="E257" s="75" t="s">
        <v>850</v>
      </c>
      <c r="F257" s="75" t="s">
        <v>2925</v>
      </c>
      <c r="G257" s="73" t="s">
        <v>1002</v>
      </c>
      <c r="H257" s="74">
        <v>8001</v>
      </c>
      <c r="I257" s="74" t="s">
        <v>3481</v>
      </c>
      <c r="J257" s="75"/>
      <c r="K257" s="75" t="s">
        <v>3641</v>
      </c>
      <c r="L257" s="75" t="s">
        <v>3482</v>
      </c>
    </row>
    <row r="258" spans="1:12" ht="29" x14ac:dyDescent="0.35">
      <c r="A258" s="74">
        <v>1556</v>
      </c>
      <c r="B258" s="74">
        <v>20322</v>
      </c>
      <c r="C258" s="73">
        <v>81</v>
      </c>
      <c r="D258" s="75" t="s">
        <v>2975</v>
      </c>
      <c r="E258" s="75" t="s">
        <v>1377</v>
      </c>
      <c r="F258" s="75" t="s">
        <v>2976</v>
      </c>
      <c r="G258" s="73" t="s">
        <v>1002</v>
      </c>
      <c r="H258" s="74">
        <v>8101</v>
      </c>
      <c r="I258" s="74" t="s">
        <v>1006</v>
      </c>
      <c r="J258" s="75"/>
      <c r="K258" s="75" t="s">
        <v>3484</v>
      </c>
      <c r="L258" s="75" t="s">
        <v>3485</v>
      </c>
    </row>
    <row r="259" spans="1:12" ht="29" x14ac:dyDescent="0.35">
      <c r="A259" s="74">
        <v>1557</v>
      </c>
      <c r="B259" s="74">
        <v>20322</v>
      </c>
      <c r="C259" s="73">
        <v>81</v>
      </c>
      <c r="D259" s="75" t="s">
        <v>2975</v>
      </c>
      <c r="E259" s="75" t="s">
        <v>1377</v>
      </c>
      <c r="F259" s="75" t="s">
        <v>2976</v>
      </c>
      <c r="G259" s="73" t="s">
        <v>1002</v>
      </c>
      <c r="H259" s="74">
        <v>8102</v>
      </c>
      <c r="I259" s="74" t="s">
        <v>1006</v>
      </c>
      <c r="J259" s="75"/>
      <c r="K259" s="75" t="s">
        <v>3487</v>
      </c>
      <c r="L259" s="75" t="s">
        <v>3485</v>
      </c>
    </row>
    <row r="260" spans="1:12" ht="29" x14ac:dyDescent="0.35">
      <c r="A260" s="74">
        <v>1558</v>
      </c>
      <c r="B260" s="74">
        <v>20322</v>
      </c>
      <c r="C260" s="73">
        <v>81</v>
      </c>
      <c r="D260" s="75" t="s">
        <v>2975</v>
      </c>
      <c r="E260" s="75" t="s">
        <v>1377</v>
      </c>
      <c r="F260" s="75" t="s">
        <v>2976</v>
      </c>
      <c r="G260" s="73" t="s">
        <v>1002</v>
      </c>
      <c r="H260" s="74">
        <v>8103</v>
      </c>
      <c r="I260" s="74" t="s">
        <v>1006</v>
      </c>
      <c r="J260" s="75"/>
      <c r="K260" s="75" t="s">
        <v>3489</v>
      </c>
      <c r="L260" s="75" t="s">
        <v>3485</v>
      </c>
    </row>
    <row r="261" spans="1:12" ht="29" x14ac:dyDescent="0.35">
      <c r="A261" s="74">
        <v>1259</v>
      </c>
      <c r="B261" s="74">
        <v>20276</v>
      </c>
      <c r="C261" s="73" t="s">
        <v>1356</v>
      </c>
      <c r="D261" s="75" t="s">
        <v>2936</v>
      </c>
      <c r="E261" s="75" t="s">
        <v>3490</v>
      </c>
      <c r="F261" s="75" t="s">
        <v>2937</v>
      </c>
      <c r="G261" s="73" t="s">
        <v>1002</v>
      </c>
      <c r="H261" s="74">
        <v>8110</v>
      </c>
      <c r="I261" s="74" t="s">
        <v>1006</v>
      </c>
      <c r="J261" s="75"/>
      <c r="K261" s="75" t="s">
        <v>3484</v>
      </c>
      <c r="L261" s="75" t="s">
        <v>3492</v>
      </c>
    </row>
    <row r="262" spans="1:12" ht="43.5" x14ac:dyDescent="0.35">
      <c r="A262" s="74">
        <v>1775</v>
      </c>
      <c r="B262" s="74">
        <v>20297</v>
      </c>
      <c r="C262" s="73" t="s">
        <v>1239</v>
      </c>
      <c r="D262" s="75" t="s">
        <v>2978</v>
      </c>
      <c r="E262" s="75" t="s">
        <v>1377</v>
      </c>
      <c r="F262" s="75" t="s">
        <v>2979</v>
      </c>
      <c r="G262" s="73" t="s">
        <v>1002</v>
      </c>
      <c r="H262" s="74">
        <v>9201</v>
      </c>
      <c r="I262" s="74" t="s">
        <v>3642</v>
      </c>
      <c r="J262" s="75"/>
      <c r="K262" s="75" t="s">
        <v>3643</v>
      </c>
      <c r="L262" s="75" t="s">
        <v>3644</v>
      </c>
    </row>
    <row r="263" spans="1:12" ht="29" x14ac:dyDescent="0.35">
      <c r="A263" s="74">
        <v>1777</v>
      </c>
      <c r="B263" s="74">
        <v>20297</v>
      </c>
      <c r="C263" s="73" t="s">
        <v>1239</v>
      </c>
      <c r="D263" s="75" t="s">
        <v>2978</v>
      </c>
      <c r="E263" s="75" t="s">
        <v>1377</v>
      </c>
      <c r="F263" s="75" t="s">
        <v>2979</v>
      </c>
      <c r="G263" s="73" t="s">
        <v>1002</v>
      </c>
      <c r="H263" s="74">
        <v>9211</v>
      </c>
      <c r="I263" s="75" t="s">
        <v>3498</v>
      </c>
      <c r="J263" s="75"/>
      <c r="K263" s="75" t="s">
        <v>3645</v>
      </c>
      <c r="L263" s="75" t="s">
        <v>3646</v>
      </c>
    </row>
    <row r="264" spans="1:12" x14ac:dyDescent="0.35">
      <c r="A264" s="74">
        <v>1462</v>
      </c>
      <c r="B264" s="74">
        <v>20297</v>
      </c>
      <c r="C264" s="73" t="s">
        <v>1239</v>
      </c>
      <c r="D264" s="75" t="s">
        <v>2978</v>
      </c>
      <c r="E264" s="75" t="s">
        <v>1377</v>
      </c>
      <c r="F264" s="75" t="s">
        <v>2979</v>
      </c>
      <c r="G264" s="73" t="s">
        <v>1002</v>
      </c>
      <c r="H264" s="74">
        <v>9000</v>
      </c>
      <c r="I264" s="74" t="s">
        <v>1016</v>
      </c>
      <c r="J264" s="75"/>
      <c r="K264" s="75" t="s">
        <v>3495</v>
      </c>
      <c r="L264" s="75" t="s">
        <v>3496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80B3D-EC30-4B90-99CD-A7E5C8944166}">
  <dimension ref="A1:G46"/>
  <sheetViews>
    <sheetView zoomScaleNormal="100" workbookViewId="0">
      <pane ySplit="1" topLeftCell="A5" activePane="bottomLeft" state="frozen"/>
      <selection pane="bottomLeft" activeCell="D7" sqref="D7"/>
    </sheetView>
  </sheetViews>
  <sheetFormatPr defaultColWidth="9.26953125" defaultRowHeight="14.5" x14ac:dyDescent="0.35"/>
  <cols>
    <col min="1" max="1" width="9.26953125" style="4"/>
    <col min="2" max="2" width="37.7265625" style="6" customWidth="1"/>
    <col min="3" max="3" width="9.26953125" style="4"/>
    <col min="4" max="4" width="116.26953125" style="4" customWidth="1"/>
    <col min="5" max="5" width="14.7265625" style="22" customWidth="1"/>
    <col min="6" max="16384" width="9.26953125" style="4"/>
  </cols>
  <sheetData>
    <row r="1" spans="1:5" x14ac:dyDescent="0.35">
      <c r="A1" s="285" t="s">
        <v>3647</v>
      </c>
      <c r="B1" s="286" t="s">
        <v>3648</v>
      </c>
      <c r="C1" s="287" t="s">
        <v>3649</v>
      </c>
      <c r="D1" s="287" t="s">
        <v>1001</v>
      </c>
      <c r="E1" s="288" t="s">
        <v>1688</v>
      </c>
    </row>
    <row r="2" spans="1:5" x14ac:dyDescent="0.35">
      <c r="A2" s="371" t="s">
        <v>3650</v>
      </c>
      <c r="B2" s="376">
        <v>2310</v>
      </c>
      <c r="C2" s="371" t="s">
        <v>3651</v>
      </c>
      <c r="D2" s="371" t="s">
        <v>3652</v>
      </c>
      <c r="E2" s="289" t="s">
        <v>3653</v>
      </c>
    </row>
    <row r="3" spans="1:5" x14ac:dyDescent="0.35">
      <c r="A3" s="373" t="s">
        <v>3650</v>
      </c>
      <c r="B3" s="375" t="s">
        <v>3654</v>
      </c>
      <c r="C3" s="373" t="s">
        <v>3655</v>
      </c>
      <c r="D3" s="373" t="s">
        <v>3656</v>
      </c>
      <c r="E3" s="289" t="s">
        <v>3653</v>
      </c>
    </row>
    <row r="4" spans="1:5" x14ac:dyDescent="0.35">
      <c r="A4" s="373" t="s">
        <v>3650</v>
      </c>
      <c r="B4" s="374" t="s">
        <v>3657</v>
      </c>
      <c r="C4" s="373" t="s">
        <v>3655</v>
      </c>
      <c r="D4" s="373" t="s">
        <v>3658</v>
      </c>
      <c r="E4" s="289" t="s">
        <v>3653</v>
      </c>
    </row>
    <row r="5" spans="1:5" x14ac:dyDescent="0.35">
      <c r="A5" s="371" t="s">
        <v>3650</v>
      </c>
      <c r="B5" s="376" t="s">
        <v>3659</v>
      </c>
      <c r="C5" s="373" t="s">
        <v>3651</v>
      </c>
      <c r="D5" s="373" t="s">
        <v>3660</v>
      </c>
      <c r="E5" s="289" t="s">
        <v>3653</v>
      </c>
    </row>
    <row r="6" spans="1:5" x14ac:dyDescent="0.35">
      <c r="A6" s="148" t="s">
        <v>3650</v>
      </c>
      <c r="B6" s="390" t="s">
        <v>3661</v>
      </c>
      <c r="C6" s="392" t="s">
        <v>3651</v>
      </c>
      <c r="D6" s="392" t="s">
        <v>3662</v>
      </c>
      <c r="E6" s="393" t="s">
        <v>3653</v>
      </c>
    </row>
    <row r="7" spans="1:5" ht="43.5" x14ac:dyDescent="0.35">
      <c r="A7" s="371" t="s">
        <v>3650</v>
      </c>
      <c r="B7" s="372" t="s">
        <v>3663</v>
      </c>
      <c r="C7" s="373" t="s">
        <v>3655</v>
      </c>
      <c r="D7" s="373" t="s">
        <v>3664</v>
      </c>
      <c r="E7" s="289" t="s">
        <v>3653</v>
      </c>
    </row>
    <row r="8" spans="1:5" x14ac:dyDescent="0.35">
      <c r="A8" s="371" t="s">
        <v>3650</v>
      </c>
      <c r="B8" s="372" t="s">
        <v>3665</v>
      </c>
      <c r="C8" s="373" t="s">
        <v>3655</v>
      </c>
      <c r="D8" s="373" t="s">
        <v>3666</v>
      </c>
      <c r="E8" s="289" t="s">
        <v>3653</v>
      </c>
    </row>
    <row r="9" spans="1:5" x14ac:dyDescent="0.35">
      <c r="A9" s="371" t="s">
        <v>3650</v>
      </c>
      <c r="B9" s="372" t="s">
        <v>3667</v>
      </c>
      <c r="C9" s="373" t="s">
        <v>3655</v>
      </c>
      <c r="D9" s="373" t="s">
        <v>3668</v>
      </c>
      <c r="E9" s="289" t="s">
        <v>3653</v>
      </c>
    </row>
    <row r="10" spans="1:5" x14ac:dyDescent="0.35">
      <c r="A10" s="371" t="s">
        <v>3650</v>
      </c>
      <c r="B10" s="372" t="s">
        <v>3669</v>
      </c>
      <c r="C10" s="373" t="s">
        <v>3655</v>
      </c>
      <c r="D10" s="373" t="s">
        <v>3670</v>
      </c>
      <c r="E10" s="289" t="s">
        <v>3653</v>
      </c>
    </row>
    <row r="11" spans="1:5" ht="3" customHeight="1" x14ac:dyDescent="0.35">
      <c r="A11" s="290"/>
      <c r="B11" s="291"/>
      <c r="C11" s="290"/>
      <c r="D11" s="290"/>
      <c r="E11" s="292"/>
    </row>
    <row r="12" spans="1:5" x14ac:dyDescent="0.35">
      <c r="A12" s="371" t="s">
        <v>3671</v>
      </c>
      <c r="B12" s="372" t="s">
        <v>3672</v>
      </c>
      <c r="C12" s="371" t="s">
        <v>3655</v>
      </c>
      <c r="D12" s="371" t="s">
        <v>3673</v>
      </c>
      <c r="E12" s="296" t="s">
        <v>3674</v>
      </c>
    </row>
    <row r="13" spans="1:5" x14ac:dyDescent="0.35">
      <c r="A13" s="371" t="s">
        <v>3671</v>
      </c>
      <c r="B13" s="372" t="s">
        <v>3675</v>
      </c>
      <c r="C13" s="371" t="s">
        <v>3655</v>
      </c>
      <c r="D13" s="371" t="s">
        <v>3676</v>
      </c>
      <c r="E13" s="296" t="s">
        <v>3674</v>
      </c>
    </row>
    <row r="14" spans="1:5" x14ac:dyDescent="0.35">
      <c r="A14" s="371" t="s">
        <v>3671</v>
      </c>
      <c r="B14" s="372" t="s">
        <v>3677</v>
      </c>
      <c r="C14" s="371" t="s">
        <v>3651</v>
      </c>
      <c r="D14" s="371" t="s">
        <v>3678</v>
      </c>
      <c r="E14" s="296" t="s">
        <v>3679</v>
      </c>
    </row>
    <row r="15" spans="1:5" ht="4" customHeight="1" x14ac:dyDescent="0.35">
      <c r="A15" s="290"/>
      <c r="B15" s="291"/>
      <c r="C15" s="290"/>
      <c r="D15" s="290"/>
      <c r="E15" s="292"/>
    </row>
    <row r="16" spans="1:5" x14ac:dyDescent="0.35">
      <c r="A16" s="371" t="s">
        <v>3680</v>
      </c>
      <c r="B16" s="372" t="s">
        <v>3681</v>
      </c>
      <c r="C16" s="371" t="s">
        <v>3655</v>
      </c>
      <c r="D16" s="371" t="s">
        <v>3682</v>
      </c>
      <c r="E16" s="296" t="s">
        <v>3683</v>
      </c>
    </row>
    <row r="17" spans="1:7" x14ac:dyDescent="0.35">
      <c r="A17" s="148" t="s">
        <v>3680</v>
      </c>
      <c r="B17" s="391" t="s">
        <v>3684</v>
      </c>
      <c r="C17" s="148" t="s">
        <v>3655</v>
      </c>
      <c r="D17" s="148" t="s">
        <v>3685</v>
      </c>
      <c r="E17" s="298" t="s">
        <v>3683</v>
      </c>
    </row>
    <row r="18" spans="1:7" ht="29" x14ac:dyDescent="0.35">
      <c r="A18" s="371" t="s">
        <v>3680</v>
      </c>
      <c r="B18" s="377" t="s">
        <v>3686</v>
      </c>
      <c r="C18" s="371" t="s">
        <v>3687</v>
      </c>
      <c r="D18" s="371" t="s">
        <v>3688</v>
      </c>
      <c r="E18" s="296" t="s">
        <v>3683</v>
      </c>
      <c r="F18" s="4" t="s">
        <v>3689</v>
      </c>
      <c r="G18" s="4" t="s">
        <v>3690</v>
      </c>
    </row>
    <row r="19" spans="1:7" x14ac:dyDescent="0.35">
      <c r="A19" s="371" t="s">
        <v>3680</v>
      </c>
      <c r="B19" s="372" t="s">
        <v>3691</v>
      </c>
      <c r="C19" s="371" t="s">
        <v>3655</v>
      </c>
      <c r="D19" s="371" t="s">
        <v>3692</v>
      </c>
      <c r="E19" s="296" t="s">
        <v>3683</v>
      </c>
    </row>
    <row r="20" spans="1:7" ht="3.4" customHeight="1" x14ac:dyDescent="0.35">
      <c r="A20" s="293"/>
      <c r="B20" s="294"/>
      <c r="C20" s="293"/>
      <c r="D20" s="293"/>
      <c r="E20" s="295"/>
    </row>
    <row r="21" spans="1:7" x14ac:dyDescent="0.35">
      <c r="A21" s="371" t="s">
        <v>3680</v>
      </c>
      <c r="B21" s="372" t="s">
        <v>3693</v>
      </c>
      <c r="C21" s="371" t="s">
        <v>3655</v>
      </c>
      <c r="D21" s="371" t="s">
        <v>3694</v>
      </c>
      <c r="E21" s="296" t="s">
        <v>3695</v>
      </c>
    </row>
    <row r="22" spans="1:7" x14ac:dyDescent="0.35">
      <c r="A22" s="371" t="s">
        <v>3680</v>
      </c>
      <c r="B22" s="376" t="s">
        <v>3696</v>
      </c>
      <c r="C22" s="371" t="s">
        <v>3655</v>
      </c>
      <c r="D22" s="371" t="s">
        <v>3697</v>
      </c>
      <c r="E22" s="296" t="s">
        <v>3695</v>
      </c>
    </row>
    <row r="23" spans="1:7" x14ac:dyDescent="0.35">
      <c r="A23" s="371" t="s">
        <v>3680</v>
      </c>
      <c r="B23" s="376" t="s">
        <v>3698</v>
      </c>
      <c r="C23" s="371" t="s">
        <v>3655</v>
      </c>
      <c r="D23" s="371" t="s">
        <v>3699</v>
      </c>
      <c r="E23" s="296" t="s">
        <v>3695</v>
      </c>
    </row>
    <row r="24" spans="1:7" x14ac:dyDescent="0.35">
      <c r="A24" s="371" t="s">
        <v>3680</v>
      </c>
      <c r="B24" s="378" t="s">
        <v>3700</v>
      </c>
      <c r="C24" s="371" t="s">
        <v>3655</v>
      </c>
      <c r="D24" s="371" t="s">
        <v>3701</v>
      </c>
      <c r="E24" s="296" t="s">
        <v>3695</v>
      </c>
    </row>
    <row r="25" spans="1:7" x14ac:dyDescent="0.35">
      <c r="A25" s="371" t="s">
        <v>3680</v>
      </c>
      <c r="B25" s="378" t="s">
        <v>3702</v>
      </c>
      <c r="C25" s="371" t="s">
        <v>3655</v>
      </c>
      <c r="D25" s="371" t="s">
        <v>3703</v>
      </c>
      <c r="E25" s="296" t="s">
        <v>3695</v>
      </c>
    </row>
    <row r="26" spans="1:7" x14ac:dyDescent="0.35">
      <c r="A26" s="371" t="s">
        <v>3680</v>
      </c>
      <c r="B26" s="376" t="s">
        <v>3704</v>
      </c>
      <c r="C26" s="371" t="s">
        <v>3655</v>
      </c>
      <c r="D26" s="371" t="s">
        <v>3705</v>
      </c>
      <c r="E26" s="296" t="s">
        <v>3695</v>
      </c>
    </row>
    <row r="27" spans="1:7" x14ac:dyDescent="0.35">
      <c r="A27" s="148" t="s">
        <v>3680</v>
      </c>
      <c r="B27" s="388" t="s">
        <v>3706</v>
      </c>
      <c r="C27" s="389" t="s">
        <v>3655</v>
      </c>
      <c r="D27" s="389" t="s">
        <v>3707</v>
      </c>
      <c r="E27" s="298" t="s">
        <v>3695</v>
      </c>
    </row>
    <row r="28" spans="1:7" x14ac:dyDescent="0.35">
      <c r="A28" s="371" t="s">
        <v>3680</v>
      </c>
      <c r="B28" s="378" t="s">
        <v>3708</v>
      </c>
      <c r="C28" s="371" t="s">
        <v>3655</v>
      </c>
      <c r="D28" s="371" t="s">
        <v>3709</v>
      </c>
      <c r="E28" s="296" t="s">
        <v>3695</v>
      </c>
    </row>
    <row r="29" spans="1:7" x14ac:dyDescent="0.35">
      <c r="A29" s="371" t="s">
        <v>3680</v>
      </c>
      <c r="B29" s="376" t="s">
        <v>3710</v>
      </c>
      <c r="C29" s="371" t="s">
        <v>3655</v>
      </c>
      <c r="D29" s="371" t="s">
        <v>3711</v>
      </c>
      <c r="E29" s="296" t="s">
        <v>3695</v>
      </c>
    </row>
    <row r="30" spans="1:7" ht="3.4" customHeight="1" x14ac:dyDescent="0.35">
      <c r="A30" s="369"/>
      <c r="B30" s="370"/>
      <c r="C30" s="369"/>
      <c r="D30" s="369"/>
      <c r="E30" s="295"/>
    </row>
    <row r="31" spans="1:7" ht="29" x14ac:dyDescent="0.35">
      <c r="A31" s="371" t="s">
        <v>3680</v>
      </c>
      <c r="B31" s="376" t="s">
        <v>3712</v>
      </c>
      <c r="C31" s="371" t="s">
        <v>3655</v>
      </c>
      <c r="D31" s="371" t="s">
        <v>3713</v>
      </c>
      <c r="E31" s="296" t="s">
        <v>3679</v>
      </c>
    </row>
    <row r="32" spans="1:7" ht="29" x14ac:dyDescent="0.35">
      <c r="A32" s="371" t="s">
        <v>3680</v>
      </c>
      <c r="B32" s="376" t="s">
        <v>3714</v>
      </c>
      <c r="C32" s="371" t="s">
        <v>3687</v>
      </c>
      <c r="D32" s="371" t="s">
        <v>3715</v>
      </c>
      <c r="E32" s="296" t="s">
        <v>3679</v>
      </c>
    </row>
    <row r="33" spans="1:5" x14ac:dyDescent="0.35">
      <c r="A33" s="389" t="s">
        <v>3680</v>
      </c>
      <c r="B33" s="390" t="s">
        <v>3112</v>
      </c>
      <c r="C33" s="389" t="s">
        <v>3655</v>
      </c>
      <c r="D33" s="389" t="s">
        <v>3716</v>
      </c>
      <c r="E33" s="298" t="s">
        <v>3679</v>
      </c>
    </row>
    <row r="34" spans="1:5" x14ac:dyDescent="0.35">
      <c r="A34" s="371" t="s">
        <v>3680</v>
      </c>
      <c r="B34" s="376" t="s">
        <v>3717</v>
      </c>
      <c r="C34" s="371" t="s">
        <v>3655</v>
      </c>
      <c r="D34" s="371" t="s">
        <v>3718</v>
      </c>
      <c r="E34" s="296" t="s">
        <v>3679</v>
      </c>
    </row>
    <row r="35" spans="1:5" x14ac:dyDescent="0.35">
      <c r="A35" s="371" t="s">
        <v>3680</v>
      </c>
      <c r="B35" s="376" t="s">
        <v>3719</v>
      </c>
      <c r="C35" s="371" t="s">
        <v>3655</v>
      </c>
      <c r="D35" s="371" t="s">
        <v>3720</v>
      </c>
      <c r="E35" s="296" t="s">
        <v>3679</v>
      </c>
    </row>
    <row r="36" spans="1:5" x14ac:dyDescent="0.35">
      <c r="A36" s="371" t="s">
        <v>3680</v>
      </c>
      <c r="B36" s="376" t="s">
        <v>3721</v>
      </c>
      <c r="C36" s="371" t="s">
        <v>3655</v>
      </c>
      <c r="D36" s="371" t="s">
        <v>3722</v>
      </c>
      <c r="E36" s="296" t="s">
        <v>3679</v>
      </c>
    </row>
    <row r="37" spans="1:5" x14ac:dyDescent="0.35">
      <c r="A37" s="371" t="s">
        <v>3680</v>
      </c>
      <c r="B37" s="376" t="s">
        <v>3723</v>
      </c>
      <c r="C37" s="371" t="s">
        <v>3655</v>
      </c>
      <c r="D37" s="371" t="s">
        <v>3724</v>
      </c>
      <c r="E37" s="296" t="s">
        <v>3679</v>
      </c>
    </row>
    <row r="38" spans="1:5" x14ac:dyDescent="0.35">
      <c r="A38" s="371" t="s">
        <v>3680</v>
      </c>
      <c r="B38" s="378" t="s">
        <v>3725</v>
      </c>
      <c r="C38" s="371" t="s">
        <v>3655</v>
      </c>
      <c r="D38" s="371" t="s">
        <v>3726</v>
      </c>
      <c r="E38" s="296" t="s">
        <v>3679</v>
      </c>
    </row>
    <row r="39" spans="1:5" x14ac:dyDescent="0.35">
      <c r="A39" s="371" t="s">
        <v>3680</v>
      </c>
      <c r="B39" s="376" t="s">
        <v>3277</v>
      </c>
      <c r="C39" s="371" t="s">
        <v>3655</v>
      </c>
      <c r="D39" s="371" t="s">
        <v>3727</v>
      </c>
      <c r="E39" s="296" t="s">
        <v>3679</v>
      </c>
    </row>
    <row r="40" spans="1:5" x14ac:dyDescent="0.35">
      <c r="A40" s="379" t="s">
        <v>3680</v>
      </c>
      <c r="B40" s="380" t="s">
        <v>3728</v>
      </c>
      <c r="C40" s="379" t="s">
        <v>3655</v>
      </c>
      <c r="D40" s="379" t="s">
        <v>3729</v>
      </c>
      <c r="E40" s="296" t="s">
        <v>3679</v>
      </c>
    </row>
    <row r="41" spans="1:5" x14ac:dyDescent="0.35">
      <c r="A41" s="371" t="s">
        <v>3680</v>
      </c>
      <c r="B41" s="376" t="s">
        <v>3730</v>
      </c>
      <c r="C41" s="371" t="s">
        <v>3655</v>
      </c>
      <c r="D41" s="371" t="s">
        <v>3731</v>
      </c>
      <c r="E41" s="296" t="s">
        <v>3679</v>
      </c>
    </row>
    <row r="42" spans="1:5" x14ac:dyDescent="0.35">
      <c r="A42" s="371" t="s">
        <v>3680</v>
      </c>
      <c r="B42" s="376" t="s">
        <v>3732</v>
      </c>
      <c r="C42" s="371" t="s">
        <v>3655</v>
      </c>
      <c r="D42" s="371" t="s">
        <v>3733</v>
      </c>
      <c r="E42" s="296" t="s">
        <v>3679</v>
      </c>
    </row>
    <row r="43" spans="1:5" x14ac:dyDescent="0.35">
      <c r="A43" s="371" t="s">
        <v>3680</v>
      </c>
      <c r="B43" s="376" t="s">
        <v>3734</v>
      </c>
      <c r="C43" s="371" t="s">
        <v>3687</v>
      </c>
      <c r="D43" s="371" t="s">
        <v>3735</v>
      </c>
      <c r="E43" s="296" t="s">
        <v>3679</v>
      </c>
    </row>
    <row r="44" spans="1:5" x14ac:dyDescent="0.35">
      <c r="A44" s="371" t="s">
        <v>3680</v>
      </c>
      <c r="B44" s="376" t="s">
        <v>3736</v>
      </c>
      <c r="C44" s="371" t="s">
        <v>3687</v>
      </c>
      <c r="D44" s="371" t="s">
        <v>3737</v>
      </c>
      <c r="E44" s="296" t="s">
        <v>3679</v>
      </c>
    </row>
    <row r="45" spans="1:5" x14ac:dyDescent="0.35">
      <c r="A45" s="371" t="s">
        <v>3680</v>
      </c>
      <c r="B45" s="376" t="s">
        <v>3738</v>
      </c>
      <c r="C45" s="371" t="s">
        <v>3651</v>
      </c>
      <c r="D45" s="371" t="s">
        <v>3739</v>
      </c>
      <c r="E45" s="296" t="s">
        <v>3679</v>
      </c>
    </row>
    <row r="46" spans="1:5" x14ac:dyDescent="0.35">
      <c r="A46" s="148" t="s">
        <v>3680</v>
      </c>
      <c r="B46" s="297"/>
      <c r="C46" s="148"/>
      <c r="D46" s="148"/>
      <c r="E46" s="298"/>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BA2CA-557E-4C80-B705-B46934F78EC9}">
  <dimension ref="A1:B22"/>
  <sheetViews>
    <sheetView topLeftCell="A4" workbookViewId="0">
      <selection activeCell="A22" sqref="A22"/>
    </sheetView>
  </sheetViews>
  <sheetFormatPr defaultRowHeight="14.5" x14ac:dyDescent="0.35"/>
  <sheetData>
    <row r="1" spans="1:2" x14ac:dyDescent="0.35">
      <c r="A1" t="s">
        <v>3740</v>
      </c>
    </row>
    <row r="2" spans="1:2" x14ac:dyDescent="0.35">
      <c r="B2" t="s">
        <v>3741</v>
      </c>
    </row>
    <row r="3" spans="1:2" x14ac:dyDescent="0.35">
      <c r="B3" t="s">
        <v>3742</v>
      </c>
    </row>
    <row r="4" spans="1:2" x14ac:dyDescent="0.35">
      <c r="B4" t="s">
        <v>3743</v>
      </c>
    </row>
    <row r="5" spans="1:2" x14ac:dyDescent="0.35">
      <c r="B5" t="s">
        <v>3744</v>
      </c>
    </row>
    <row r="6" spans="1:2" x14ac:dyDescent="0.35">
      <c r="B6" t="s">
        <v>3745</v>
      </c>
    </row>
    <row r="7" spans="1:2" x14ac:dyDescent="0.35">
      <c r="B7" t="s">
        <v>3746</v>
      </c>
    </row>
    <row r="8" spans="1:2" x14ac:dyDescent="0.35">
      <c r="B8" t="s">
        <v>3747</v>
      </c>
    </row>
    <row r="9" spans="1:2" x14ac:dyDescent="0.35">
      <c r="B9" t="s">
        <v>3748</v>
      </c>
    </row>
    <row r="10" spans="1:2" x14ac:dyDescent="0.35">
      <c r="B10" t="s">
        <v>3749</v>
      </c>
    </row>
    <row r="11" spans="1:2" x14ac:dyDescent="0.35">
      <c r="B11" t="s">
        <v>3750</v>
      </c>
    </row>
    <row r="12" spans="1:2" x14ac:dyDescent="0.35">
      <c r="B12" t="s">
        <v>3751</v>
      </c>
    </row>
    <row r="13" spans="1:2" x14ac:dyDescent="0.35">
      <c r="B13" t="s">
        <v>3752</v>
      </c>
    </row>
    <row r="14" spans="1:2" x14ac:dyDescent="0.35">
      <c r="B14" t="s">
        <v>3753</v>
      </c>
    </row>
    <row r="15" spans="1:2" x14ac:dyDescent="0.35">
      <c r="B15" t="s">
        <v>3754</v>
      </c>
    </row>
    <row r="16" spans="1:2" x14ac:dyDescent="0.35">
      <c r="B16" t="s">
        <v>3755</v>
      </c>
    </row>
    <row r="17" spans="1:2" x14ac:dyDescent="0.35">
      <c r="A17" t="s">
        <v>3756</v>
      </c>
    </row>
    <row r="18" spans="1:2" x14ac:dyDescent="0.35">
      <c r="B18" t="s">
        <v>3757</v>
      </c>
    </row>
    <row r="19" spans="1:2" x14ac:dyDescent="0.35">
      <c r="B19" t="s">
        <v>3758</v>
      </c>
    </row>
    <row r="20" spans="1:2" x14ac:dyDescent="0.35">
      <c r="A20" t="s">
        <v>3759</v>
      </c>
    </row>
    <row r="21" spans="1:2" x14ac:dyDescent="0.35">
      <c r="A21" t="s">
        <v>3760</v>
      </c>
    </row>
    <row r="22" spans="1:2" x14ac:dyDescent="0.35">
      <c r="A22" t="s">
        <v>3761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0591A-8A28-4969-9EA7-06D4D70B99E2}">
  <dimension ref="A1:B23"/>
  <sheetViews>
    <sheetView topLeftCell="A7" workbookViewId="0">
      <selection activeCell="E24" sqref="E24"/>
    </sheetView>
  </sheetViews>
  <sheetFormatPr defaultRowHeight="14.5" x14ac:dyDescent="0.35"/>
  <sheetData>
    <row r="1" spans="1:2" x14ac:dyDescent="0.35">
      <c r="A1" t="s">
        <v>3762</v>
      </c>
    </row>
    <row r="2" spans="1:2" x14ac:dyDescent="0.35">
      <c r="B2" t="s">
        <v>3763</v>
      </c>
    </row>
    <row r="3" spans="1:2" x14ac:dyDescent="0.35">
      <c r="B3" t="s">
        <v>3764</v>
      </c>
    </row>
    <row r="4" spans="1:2" x14ac:dyDescent="0.35">
      <c r="B4" t="s">
        <v>3765</v>
      </c>
    </row>
    <row r="5" spans="1:2" x14ac:dyDescent="0.35">
      <c r="B5" t="s">
        <v>3766</v>
      </c>
    </row>
    <row r="6" spans="1:2" x14ac:dyDescent="0.35">
      <c r="B6" t="s">
        <v>3767</v>
      </c>
    </row>
    <row r="7" spans="1:2" x14ac:dyDescent="0.35">
      <c r="B7" t="s">
        <v>3768</v>
      </c>
    </row>
    <row r="8" spans="1:2" x14ac:dyDescent="0.35">
      <c r="B8" t="s">
        <v>3769</v>
      </c>
    </row>
    <row r="9" spans="1:2" x14ac:dyDescent="0.35">
      <c r="B9" t="s">
        <v>3770</v>
      </c>
    </row>
    <row r="10" spans="1:2" x14ac:dyDescent="0.35">
      <c r="B10" t="s">
        <v>3771</v>
      </c>
    </row>
    <row r="11" spans="1:2" x14ac:dyDescent="0.35">
      <c r="B11" t="s">
        <v>3772</v>
      </c>
    </row>
    <row r="12" spans="1:2" x14ac:dyDescent="0.35">
      <c r="B12" t="s">
        <v>3773</v>
      </c>
    </row>
    <row r="13" spans="1:2" x14ac:dyDescent="0.35">
      <c r="B13" t="s">
        <v>3774</v>
      </c>
    </row>
    <row r="14" spans="1:2" x14ac:dyDescent="0.35">
      <c r="B14" t="s">
        <v>3775</v>
      </c>
    </row>
    <row r="15" spans="1:2" x14ac:dyDescent="0.35">
      <c r="B15" t="s">
        <v>3776</v>
      </c>
    </row>
    <row r="16" spans="1:2" x14ac:dyDescent="0.35">
      <c r="B16" t="s">
        <v>3777</v>
      </c>
    </row>
    <row r="17" spans="1:2" x14ac:dyDescent="0.35">
      <c r="B17" t="s">
        <v>3778</v>
      </c>
    </row>
    <row r="18" spans="1:2" x14ac:dyDescent="0.35">
      <c r="B18" t="s">
        <v>3779</v>
      </c>
    </row>
    <row r="19" spans="1:2" x14ac:dyDescent="0.35">
      <c r="B19" t="s">
        <v>3780</v>
      </c>
    </row>
    <row r="20" spans="1:2" x14ac:dyDescent="0.35">
      <c r="B20" t="s">
        <v>3781</v>
      </c>
    </row>
    <row r="21" spans="1:2" x14ac:dyDescent="0.35">
      <c r="A21" t="s">
        <v>3782</v>
      </c>
    </row>
    <row r="22" spans="1:2" x14ac:dyDescent="0.35">
      <c r="A22" t="s">
        <v>3783</v>
      </c>
    </row>
    <row r="23" spans="1:2" x14ac:dyDescent="0.35">
      <c r="A23" t="s">
        <v>3784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BuildPineLine xmlns="0b715e9c-0117-4764-b53a-22aa5fed91a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DAC16EE8712A54095AF1EA245CBC14C" ma:contentTypeVersion="12" ma:contentTypeDescription="Create a new document." ma:contentTypeScope="" ma:versionID="9f202a4c72df4fff1b69fce7c49825f5">
  <xsd:schema xmlns:xsd="http://www.w3.org/2001/XMLSchema" xmlns:xs="http://www.w3.org/2001/XMLSchema" xmlns:p="http://schemas.microsoft.com/office/2006/metadata/properties" xmlns:ns2="0b715e9c-0117-4764-b53a-22aa5fed91a4" xmlns:ns3="a0fd5276-802f-4a00-8263-c97d054ff87c" targetNamespace="http://schemas.microsoft.com/office/2006/metadata/properties" ma:root="true" ma:fieldsID="171cbb78d1014a9aee36e46525f618a0" ns2:_="" ns3:_="">
    <xsd:import namespace="0b715e9c-0117-4764-b53a-22aa5fed91a4"/>
    <xsd:import namespace="a0fd5276-802f-4a00-8263-c97d054ff87c"/>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ObjectDetectorVersions"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OCR" minOccurs="0"/>
                <xsd:element ref="ns2:BuildPineLin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715e9c-0117-4764-b53a-22aa5fed91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BuildPineLine" ma:index="19" nillable="true" ma:displayName="Build Pine Line" ma:format="Dropdown" ma:internalName="BuildPineLin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0fd5276-802f-4a00-8263-c97d054ff87c"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12093A0-49EB-4CFC-8154-4F5C67582AA4}">
  <ds:schemaRefs>
    <ds:schemaRef ds:uri="http://schemas.microsoft.com/sharepoint/v3/contenttype/forms"/>
  </ds:schemaRefs>
</ds:datastoreItem>
</file>

<file path=customXml/itemProps2.xml><?xml version="1.0" encoding="utf-8"?>
<ds:datastoreItem xmlns:ds="http://schemas.openxmlformats.org/officeDocument/2006/customXml" ds:itemID="{9F1B8130-13D2-4C4A-BC1C-FDA00F926A6B}">
  <ds:schemaRefs>
    <ds:schemaRef ds:uri="http://schemas.microsoft.com/office/2006/metadata/properties"/>
    <ds:schemaRef ds:uri="http://schemas.microsoft.com/office/infopath/2007/PartnerControls"/>
    <ds:schemaRef ds:uri="0b715e9c-0117-4764-b53a-22aa5fed91a4"/>
  </ds:schemaRefs>
</ds:datastoreItem>
</file>

<file path=customXml/itemProps3.xml><?xml version="1.0" encoding="utf-8"?>
<ds:datastoreItem xmlns:ds="http://schemas.openxmlformats.org/officeDocument/2006/customXml" ds:itemID="{367F7936-863F-4EED-892C-F0E61E01BB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715e9c-0117-4764-b53a-22aa5fed91a4"/>
    <ds:schemaRef ds:uri="a0fd5276-802f-4a00-8263-c97d054ff8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UB Fields</vt:lpstr>
      <vt:lpstr>OCR2DE Rules</vt:lpstr>
      <vt:lpstr>Output Fields_OLD</vt:lpstr>
      <vt:lpstr>Final Edit Rules</vt:lpstr>
      <vt:lpstr>Reject Rules</vt:lpstr>
      <vt:lpstr>Reject Rules (2)</vt:lpstr>
      <vt:lpstr>Output Fields</vt:lpstr>
      <vt:lpstr>OutputPrep Rules Old</vt:lpstr>
      <vt:lpstr>OutputPrep Rules</vt:lpstr>
      <vt:lpstr>Multi-page Changes</vt:lpstr>
      <vt:lpstr>OCR2WDE-UB-SQL</vt:lpstr>
      <vt:lpstr>UB-Fields-SQL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Roussi Ivanov</dc:creator>
  <cp:keywords/>
  <dc:description/>
  <cp:lastModifiedBy>Potru, Anupama</cp:lastModifiedBy>
  <cp:revision/>
  <dcterms:created xsi:type="dcterms:W3CDTF">2020-08-31T20:17:15Z</dcterms:created>
  <dcterms:modified xsi:type="dcterms:W3CDTF">2026-05-07T10:10:38Z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0x010100FDAC16EE8712A54095AF1EA245CBC14C</vt:lpwstr>
  </property>
</Properties>
</file>